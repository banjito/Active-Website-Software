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AMP ALL\Client Files\04. Blank Test Reports\Blank Test Forms ATS 25\"/>
    </mc:Choice>
  </mc:AlternateContent>
  <xr:revisionPtr revIDLastSave="0" documentId="13_ncr:1_{A11D4DC7-842C-46FC-BE0E-BEC7A895226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 Sheet" sheetId="1" r:id="rId1"/>
    <sheet name="TCF" sheetId="2" r:id="rId2"/>
  </sheets>
  <definedNames>
    <definedName name="_xlnm.Print_Area" localSheetId="0">'Test Sheet'!$A$1:$AM$62</definedName>
  </definedNames>
  <calcPr calcId="191029"/>
  <fileRecoveryPr autoRecover="0"/>
</workbook>
</file>

<file path=xl/calcChain.xml><?xml version="1.0" encoding="utf-8"?>
<calcChain xmlns="http://schemas.openxmlformats.org/spreadsheetml/2006/main">
  <c r="B137" i="2" l="1"/>
  <c r="B136" i="2"/>
  <c r="B135" i="2"/>
  <c r="B134" i="2"/>
  <c r="B132" i="2"/>
  <c r="B131" i="2"/>
  <c r="B130" i="2"/>
  <c r="B129" i="2"/>
  <c r="B127" i="2"/>
  <c r="B126" i="2"/>
  <c r="B125" i="2"/>
  <c r="B124" i="2"/>
  <c r="B122" i="2"/>
  <c r="B121" i="2"/>
  <c r="B120" i="2"/>
  <c r="B119" i="2"/>
  <c r="B117" i="2"/>
  <c r="B116" i="2"/>
  <c r="B115" i="2"/>
  <c r="B114" i="2"/>
  <c r="B112" i="2"/>
  <c r="B111" i="2"/>
  <c r="B110" i="2"/>
  <c r="B109" i="2"/>
  <c r="B107" i="2"/>
  <c r="B106" i="2"/>
  <c r="B105" i="2"/>
  <c r="B104" i="2"/>
  <c r="B102" i="2"/>
  <c r="B101" i="2"/>
  <c r="B100" i="2"/>
  <c r="B99" i="2"/>
  <c r="B97" i="2"/>
  <c r="B96" i="2"/>
  <c r="B95" i="2"/>
  <c r="B94" i="2"/>
  <c r="B92" i="2"/>
  <c r="B91" i="2"/>
  <c r="B90" i="2"/>
  <c r="B89" i="2"/>
  <c r="B87" i="2"/>
  <c r="B86" i="2"/>
  <c r="B85" i="2"/>
  <c r="B84" i="2"/>
  <c r="B82" i="2"/>
  <c r="B81" i="2"/>
  <c r="B80" i="2"/>
  <c r="B79" i="2"/>
  <c r="B77" i="2"/>
  <c r="B76" i="2"/>
  <c r="B75" i="2"/>
  <c r="B74" i="2"/>
  <c r="B72" i="2"/>
  <c r="B71" i="2"/>
  <c r="B70" i="2"/>
  <c r="B69" i="2"/>
  <c r="B67" i="2"/>
  <c r="B66" i="2"/>
  <c r="B65" i="2"/>
  <c r="B64" i="2"/>
  <c r="B62" i="2"/>
  <c r="B61" i="2"/>
  <c r="B60" i="2"/>
  <c r="B59" i="2"/>
  <c r="B57" i="2"/>
  <c r="B56" i="2"/>
  <c r="B55" i="2"/>
  <c r="B54" i="2"/>
  <c r="B52" i="2"/>
  <c r="B51" i="2"/>
  <c r="B50" i="2"/>
  <c r="B49" i="2"/>
  <c r="B47" i="2"/>
  <c r="B46" i="2"/>
  <c r="B45" i="2"/>
  <c r="B44" i="2"/>
  <c r="B42" i="2"/>
  <c r="B41" i="2"/>
  <c r="B40" i="2"/>
  <c r="B39" i="2"/>
  <c r="B37" i="2"/>
  <c r="B36" i="2"/>
  <c r="B35" i="2"/>
  <c r="B34" i="2"/>
  <c r="B32" i="2"/>
  <c r="B31" i="2"/>
  <c r="B30" i="2"/>
  <c r="B29" i="2"/>
  <c r="B27" i="2"/>
  <c r="B26" i="2"/>
  <c r="B25" i="2"/>
  <c r="B24" i="2"/>
  <c r="B22" i="2"/>
  <c r="B21" i="2"/>
  <c r="B20" i="2"/>
  <c r="B19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P5" i="1"/>
</calcChain>
</file>

<file path=xl/sharedStrings.xml><?xml version="1.0" encoding="utf-8"?>
<sst xmlns="http://schemas.openxmlformats.org/spreadsheetml/2006/main" count="186" uniqueCount="49">
  <si>
    <t>Customer</t>
  </si>
  <si>
    <t>Address</t>
  </si>
  <si>
    <t>Technicians</t>
  </si>
  <si>
    <t>User</t>
  </si>
  <si>
    <t>Date</t>
  </si>
  <si>
    <t>Temp.</t>
  </si>
  <si>
    <t>°C</t>
  </si>
  <si>
    <t>Humidity</t>
  </si>
  <si>
    <t>%</t>
  </si>
  <si>
    <t>Eqpt. Location</t>
  </si>
  <si>
    <t>Manufacturer</t>
  </si>
  <si>
    <t>Serial Number</t>
  </si>
  <si>
    <t>Comments:</t>
  </si>
  <si>
    <t>Job #</t>
  </si>
  <si>
    <t>°F</t>
  </si>
  <si>
    <t>PASS</t>
  </si>
  <si>
    <t>Substation</t>
  </si>
  <si>
    <t>Identifier</t>
  </si>
  <si>
    <t>Test Equipment Used</t>
  </si>
  <si>
    <t>AMP ID:</t>
  </si>
  <si>
    <t>Serial Number:</t>
  </si>
  <si>
    <t>Nameplate Data</t>
  </si>
  <si>
    <t>Results</t>
  </si>
  <si>
    <t>Catalog Number</t>
  </si>
  <si>
    <t>KVA</t>
  </si>
  <si>
    <t>/</t>
  </si>
  <si>
    <t xml:space="preserve">Temp. Rise </t>
  </si>
  <si>
    <t>Impendance</t>
  </si>
  <si>
    <t>Winding Material</t>
  </si>
  <si>
    <t>Primary</t>
  </si>
  <si>
    <t>Secondary</t>
  </si>
  <si>
    <t>Winding Under Test</t>
  </si>
  <si>
    <t>Voltages (V)</t>
  </si>
  <si>
    <t>Winding Connections</t>
  </si>
  <si>
    <t>Insulation Correction Factors (20C)</t>
  </si>
  <si>
    <t>Tempurature</t>
  </si>
  <si>
    <t>Multiplier</t>
  </si>
  <si>
    <t>Type of Value</t>
  </si>
  <si>
    <t>Arbitrarily selected as a floor factor</t>
  </si>
  <si>
    <t>Interpolated</t>
  </si>
  <si>
    <t>NETA VALUE</t>
  </si>
  <si>
    <t>Electrical - Applied Voltage Test</t>
  </si>
  <si>
    <t>BIL</t>
  </si>
  <si>
    <t>kV</t>
  </si>
  <si>
    <t>Duration (s)</t>
  </si>
  <si>
    <t>Test Frequency (Hz)</t>
  </si>
  <si>
    <t>Test Voltage (kV)</t>
  </si>
  <si>
    <t>Hipot:</t>
  </si>
  <si>
    <t>Cal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</si>
</sst>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rgb="FF351D13"/>
      <name val="Calibri"/>
      <family val="2"/>
      <scheme val="minor"/>
    </font>
    <font>
      <b/>
      <sz val="10"/>
      <color rgb="FF6633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DAB56C"/>
      </bottom>
      <diagonal/>
    </border>
    <border>
      <left/>
      <right/>
      <top style="medium">
        <color rgb="FFDAB56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6" fillId="2" borderId="8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" fillId="0" borderId="10" xfId="0" applyFont="1" applyBorder="1" applyAlignment="1" applyProtection="1">
      <alignment vertical="top" wrapText="1"/>
      <protection locked="0"/>
    </xf>
    <xf numFmtId="0" fontId="5" fillId="0" borderId="3" xfId="0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16" xfId="0" applyBorder="1"/>
    <xf numFmtId="0" fontId="1" fillId="0" borderId="3" xfId="0" applyFont="1" applyBorder="1"/>
    <xf numFmtId="0" fontId="1" fillId="0" borderId="16" xfId="0" applyFont="1" applyBorder="1"/>
    <xf numFmtId="0" fontId="0" fillId="0" borderId="5" xfId="0" applyBorder="1"/>
    <xf numFmtId="165" fontId="0" fillId="0" borderId="3" xfId="0" applyNumberFormat="1" applyBorder="1"/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/>
    <xf numFmtId="0" fontId="6" fillId="2" borderId="0" xfId="0" applyFont="1" applyFill="1" applyAlignment="1">
      <alignment horizontal="left" vertical="center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right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164" fontId="6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vertical="center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DAB56C"/>
      <color rgb="FF9C0006"/>
      <color rgb="FFFFC7CE"/>
      <color rgb="FFC6EFCE"/>
      <color rgb="FF006100"/>
      <color rgb="FF351D13"/>
      <color rgb="FF663300"/>
      <color rgb="FFF26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62"/>
  <sheetViews>
    <sheetView showGridLines="0" tabSelected="1" view="pageLayout" zoomScale="74" zoomScaleNormal="100" zoomScalePageLayoutView="74" workbookViewId="0">
      <selection activeCell="F3" sqref="F3:X3"/>
    </sheetView>
  </sheetViews>
  <sheetFormatPr defaultColWidth="2.54296875" defaultRowHeight="11.5" customHeight="1" x14ac:dyDescent="0.35"/>
  <cols>
    <col min="1" max="19" width="2.54296875" style="2"/>
    <col min="20" max="20" width="2.54296875" style="2" customWidth="1"/>
    <col min="21" max="16384" width="2.54296875" style="2"/>
  </cols>
  <sheetData>
    <row r="1" spans="1:39" ht="5.5" customHeight="1" x14ac:dyDescent="0.3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</row>
    <row r="2" spans="1:39" ht="11.5" customHeight="1" x14ac:dyDescent="0.35">
      <c r="B2" s="59" t="s">
        <v>0</v>
      </c>
      <c r="C2" s="59"/>
      <c r="D2" s="59"/>
      <c r="E2" s="59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3"/>
      <c r="Z2" s="42" t="s">
        <v>13</v>
      </c>
      <c r="AA2" s="42"/>
      <c r="AB2" s="42"/>
      <c r="AC2" s="42"/>
      <c r="AD2" s="42"/>
      <c r="AE2" s="50"/>
      <c r="AF2" s="50"/>
      <c r="AG2" s="50"/>
      <c r="AH2" s="50"/>
      <c r="AI2" s="4"/>
      <c r="AJ2" s="57" t="s">
        <v>15</v>
      </c>
      <c r="AK2" s="57"/>
      <c r="AL2" s="57"/>
      <c r="AM2" s="5"/>
    </row>
    <row r="3" spans="1:39" ht="11.5" customHeight="1" x14ac:dyDescent="0.35">
      <c r="B3" s="59" t="s">
        <v>1</v>
      </c>
      <c r="C3" s="59"/>
      <c r="D3" s="59"/>
      <c r="E3" s="59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3"/>
      <c r="Z3" s="42" t="s">
        <v>2</v>
      </c>
      <c r="AA3" s="42"/>
      <c r="AB3" s="42"/>
      <c r="AC3" s="42"/>
      <c r="AD3" s="42"/>
      <c r="AE3" s="55"/>
      <c r="AF3" s="55"/>
      <c r="AG3" s="55"/>
      <c r="AH3" s="55"/>
      <c r="AI3" s="4"/>
      <c r="AJ3" s="57"/>
      <c r="AK3" s="57"/>
      <c r="AL3" s="57"/>
      <c r="AM3" s="5"/>
    </row>
    <row r="4" spans="1:39" ht="11.5" customHeight="1" x14ac:dyDescent="0.35">
      <c r="B4" s="59" t="s">
        <v>3</v>
      </c>
      <c r="C4" s="59"/>
      <c r="D4" s="59"/>
      <c r="E4" s="59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57"/>
      <c r="AK4" s="57"/>
      <c r="AL4" s="57"/>
      <c r="AM4" s="5"/>
    </row>
    <row r="5" spans="1:39" ht="11.5" customHeight="1" x14ac:dyDescent="0.35">
      <c r="B5" s="59" t="s">
        <v>4</v>
      </c>
      <c r="C5" s="59"/>
      <c r="D5" s="59"/>
      <c r="E5" s="59"/>
      <c r="F5" s="56"/>
      <c r="G5" s="56"/>
      <c r="H5" s="56"/>
      <c r="I5" s="56"/>
      <c r="J5" s="4"/>
      <c r="K5" s="35" t="s">
        <v>5</v>
      </c>
      <c r="L5" s="35"/>
      <c r="M5" s="50"/>
      <c r="N5" s="50"/>
      <c r="O5" s="4" t="s">
        <v>14</v>
      </c>
      <c r="P5" s="54">
        <f>ROUND((M5-32)*5/9,1)</f>
        <v>-17.8</v>
      </c>
      <c r="Q5" s="54"/>
      <c r="R5" s="4" t="s">
        <v>6</v>
      </c>
      <c r="S5" s="35" t="s">
        <v>7</v>
      </c>
      <c r="T5" s="35"/>
      <c r="U5" s="35"/>
      <c r="V5" s="35"/>
      <c r="W5" s="1"/>
      <c r="X5" s="6" t="s">
        <v>8</v>
      </c>
      <c r="Y5" s="4"/>
      <c r="Z5" s="42" t="s">
        <v>16</v>
      </c>
      <c r="AA5" s="42"/>
      <c r="AB5" s="42"/>
      <c r="AC5" s="42"/>
      <c r="AD5" s="42"/>
      <c r="AE5" s="58"/>
      <c r="AF5" s="58"/>
      <c r="AG5" s="58"/>
      <c r="AH5" s="58"/>
      <c r="AI5" s="58"/>
      <c r="AJ5" s="58"/>
      <c r="AK5" s="58"/>
      <c r="AL5" s="58"/>
      <c r="AM5" s="4"/>
    </row>
    <row r="6" spans="1:39" ht="11.5" customHeight="1" x14ac:dyDescent="0.35">
      <c r="B6" s="59" t="s">
        <v>17</v>
      </c>
      <c r="C6" s="59"/>
      <c r="D6" s="59"/>
      <c r="E6" s="59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4"/>
      <c r="Z6" s="42" t="s">
        <v>9</v>
      </c>
      <c r="AA6" s="42"/>
      <c r="AB6" s="42"/>
      <c r="AC6" s="42"/>
      <c r="AD6" s="42"/>
      <c r="AE6" s="60"/>
      <c r="AF6" s="60"/>
      <c r="AG6" s="60"/>
      <c r="AH6" s="60"/>
      <c r="AI6" s="60"/>
      <c r="AJ6" s="60"/>
      <c r="AK6" s="60"/>
      <c r="AL6" s="60"/>
      <c r="AM6" s="4"/>
    </row>
    <row r="7" spans="1:39" ht="11.5" customHeight="1" thickBot="1" x14ac:dyDescent="0.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ht="11.5" customHeight="1" x14ac:dyDescent="0.35">
      <c r="A8" s="8" t="s">
        <v>21</v>
      </c>
      <c r="B8" s="9"/>
      <c r="C8" s="9"/>
      <c r="D8" s="9"/>
      <c r="E8" s="9"/>
      <c r="F8" s="10"/>
      <c r="G8" s="11"/>
      <c r="H8" s="11"/>
      <c r="I8" s="11"/>
      <c r="J8" s="11"/>
      <c r="K8" s="11"/>
      <c r="L8" s="11"/>
      <c r="M8" s="11"/>
      <c r="N8" s="11"/>
      <c r="O8" s="11"/>
      <c r="U8" s="11"/>
      <c r="V8" s="11"/>
      <c r="W8" s="12"/>
      <c r="X8" s="11"/>
      <c r="Y8" s="12"/>
      <c r="AF8" s="12"/>
      <c r="AG8" s="12"/>
      <c r="AH8" s="12"/>
      <c r="AI8" s="12"/>
      <c r="AJ8" s="12"/>
      <c r="AK8" s="12"/>
      <c r="AL8" s="12"/>
      <c r="AM8" s="12"/>
    </row>
    <row r="9" spans="1:39" ht="11.5" customHeight="1" x14ac:dyDescent="0.35">
      <c r="A9" s="8"/>
      <c r="B9" s="9"/>
      <c r="C9" s="9"/>
      <c r="D9" s="9"/>
      <c r="E9" s="9"/>
      <c r="F9" s="10"/>
      <c r="G9" s="11"/>
      <c r="H9" s="11"/>
      <c r="I9" s="11"/>
      <c r="J9" s="11"/>
      <c r="K9" s="11"/>
      <c r="L9" s="11"/>
      <c r="M9" s="11"/>
      <c r="N9" s="11"/>
      <c r="O9" s="11"/>
      <c r="U9" s="11"/>
      <c r="V9" s="11"/>
      <c r="W9" s="12"/>
      <c r="X9" s="11"/>
      <c r="Y9" s="12"/>
      <c r="AF9" s="12"/>
      <c r="AG9" s="12"/>
      <c r="AH9" s="12"/>
      <c r="AI9" s="12"/>
      <c r="AJ9" s="12"/>
      <c r="AK9" s="12"/>
      <c r="AL9" s="12"/>
      <c r="AM9" s="12"/>
    </row>
    <row r="10" spans="1:39" ht="11.5" customHeight="1" x14ac:dyDescent="0.3">
      <c r="A10" s="8"/>
      <c r="B10" s="38" t="s">
        <v>10</v>
      </c>
      <c r="C10" s="38"/>
      <c r="D10" s="38"/>
      <c r="E10" s="38"/>
      <c r="F10" s="52"/>
      <c r="G10" s="52"/>
      <c r="H10" s="52"/>
      <c r="I10" s="52"/>
      <c r="J10" s="52"/>
      <c r="K10" s="52"/>
      <c r="L10" s="52"/>
      <c r="M10" s="13"/>
      <c r="N10" s="39" t="s">
        <v>23</v>
      </c>
      <c r="O10" s="39"/>
      <c r="P10" s="39"/>
      <c r="Q10" s="39"/>
      <c r="R10" s="39"/>
      <c r="S10" s="40"/>
      <c r="T10" s="40"/>
      <c r="U10" s="40"/>
      <c r="V10" s="40"/>
      <c r="W10" s="40"/>
      <c r="X10" s="40"/>
      <c r="Y10" s="13"/>
      <c r="Z10" s="41" t="s">
        <v>11</v>
      </c>
      <c r="AA10" s="41"/>
      <c r="AB10" s="41"/>
      <c r="AC10" s="41"/>
      <c r="AD10" s="40"/>
      <c r="AE10" s="40"/>
      <c r="AF10" s="40"/>
      <c r="AG10" s="40"/>
      <c r="AH10" s="40"/>
      <c r="AI10" s="40"/>
      <c r="AM10" s="4"/>
    </row>
    <row r="11" spans="1:39" ht="11.5" customHeight="1" x14ac:dyDescent="0.3">
      <c r="B11" s="38" t="s">
        <v>24</v>
      </c>
      <c r="C11" s="38"/>
      <c r="D11" s="38"/>
      <c r="E11" s="38"/>
      <c r="F11" s="40"/>
      <c r="G11" s="40"/>
      <c r="H11" s="40"/>
      <c r="I11" s="14" t="s">
        <v>25</v>
      </c>
      <c r="J11" s="40"/>
      <c r="K11" s="40"/>
      <c r="L11" s="40"/>
      <c r="N11" s="39" t="s">
        <v>26</v>
      </c>
      <c r="O11" s="39"/>
      <c r="P11" s="39"/>
      <c r="Q11" s="39"/>
      <c r="R11" s="39"/>
      <c r="S11" s="44"/>
      <c r="T11" s="44"/>
      <c r="U11" s="44"/>
      <c r="V11" s="44"/>
      <c r="W11" s="44"/>
      <c r="X11" s="44"/>
      <c r="Y11" s="13"/>
      <c r="Z11" s="41" t="s">
        <v>27</v>
      </c>
      <c r="AA11" s="41"/>
      <c r="AB11" s="41"/>
      <c r="AC11" s="41"/>
      <c r="AD11" s="44"/>
      <c r="AE11" s="44"/>
      <c r="AF11" s="44"/>
      <c r="AG11" s="44"/>
      <c r="AH11" s="44"/>
      <c r="AI11" s="44"/>
    </row>
    <row r="12" spans="1:39" ht="11.5" customHeight="1" x14ac:dyDescent="0.3">
      <c r="AL12" s="13"/>
    </row>
    <row r="13" spans="1:39" ht="11.5" customHeight="1" x14ac:dyDescent="0.3">
      <c r="F13" s="45" t="s">
        <v>32</v>
      </c>
      <c r="G13" s="45"/>
      <c r="H13" s="45"/>
      <c r="I13" s="45"/>
      <c r="J13" s="45"/>
      <c r="K13" s="45"/>
      <c r="L13" s="45"/>
      <c r="M13" s="15"/>
      <c r="N13" s="45" t="s">
        <v>33</v>
      </c>
      <c r="O13" s="45"/>
      <c r="P13" s="45"/>
      <c r="Q13" s="45"/>
      <c r="R13" s="45"/>
      <c r="S13" s="45"/>
      <c r="T13" s="15"/>
      <c r="U13" s="48" t="s">
        <v>28</v>
      </c>
      <c r="V13" s="48"/>
      <c r="W13" s="48"/>
      <c r="X13" s="48"/>
      <c r="Y13" s="48"/>
      <c r="Z13" s="48"/>
      <c r="AB13" s="68" t="s">
        <v>42</v>
      </c>
      <c r="AC13" s="68"/>
      <c r="AD13" s="68"/>
      <c r="AE13" s="66"/>
      <c r="AF13" s="66"/>
      <c r="AG13" s="66"/>
      <c r="AH13" s="66"/>
    </row>
    <row r="14" spans="1:39" ht="11.5" customHeight="1" x14ac:dyDescent="0.3">
      <c r="B14" s="39" t="s">
        <v>29</v>
      </c>
      <c r="C14" s="39"/>
      <c r="D14" s="39"/>
      <c r="E14" s="39"/>
      <c r="F14" s="46"/>
      <c r="G14" s="44"/>
      <c r="H14" s="44"/>
      <c r="I14" s="16" t="s">
        <v>25</v>
      </c>
      <c r="J14" s="44"/>
      <c r="K14" s="44"/>
      <c r="L14" s="47"/>
      <c r="M14" s="13"/>
      <c r="N14" s="46"/>
      <c r="O14" s="44"/>
      <c r="P14" s="44"/>
      <c r="Q14" s="44"/>
      <c r="R14" s="44"/>
      <c r="S14" s="47"/>
      <c r="T14" s="13"/>
      <c r="U14" s="43"/>
      <c r="V14" s="43"/>
      <c r="W14" s="43"/>
      <c r="X14" s="43"/>
      <c r="Y14" s="43"/>
      <c r="Z14" s="43"/>
      <c r="AB14" s="67"/>
      <c r="AC14" s="69"/>
      <c r="AD14" s="70" t="s">
        <v>43</v>
      </c>
    </row>
    <row r="15" spans="1:39" ht="11.5" customHeight="1" x14ac:dyDescent="0.3">
      <c r="B15" s="39" t="s">
        <v>30</v>
      </c>
      <c r="C15" s="39"/>
      <c r="D15" s="39"/>
      <c r="E15" s="39"/>
      <c r="F15" s="62"/>
      <c r="G15" s="40"/>
      <c r="H15" s="40"/>
      <c r="I15" s="17" t="s">
        <v>25</v>
      </c>
      <c r="J15" s="40"/>
      <c r="K15" s="40"/>
      <c r="L15" s="61"/>
      <c r="M15" s="13"/>
      <c r="N15" s="46"/>
      <c r="O15" s="44"/>
      <c r="P15" s="44"/>
      <c r="Q15" s="44"/>
      <c r="R15" s="44"/>
      <c r="S15" s="47"/>
      <c r="T15" s="13"/>
      <c r="U15" s="43"/>
      <c r="V15" s="43"/>
      <c r="W15" s="43"/>
      <c r="X15" s="43"/>
      <c r="Y15" s="43"/>
      <c r="Z15" s="43"/>
      <c r="AB15" s="67"/>
      <c r="AC15" s="69"/>
      <c r="AD15" s="70" t="s">
        <v>43</v>
      </c>
    </row>
    <row r="16" spans="1:39" ht="11.5" customHeight="1" x14ac:dyDescent="0.35"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L16" s="4"/>
      <c r="AM16" s="4"/>
    </row>
    <row r="17" spans="1:39" ht="11.5" customHeight="1" thickBot="1" x14ac:dyDescent="0.4">
      <c r="A17" s="20"/>
      <c r="B17" s="20"/>
      <c r="C17" s="20"/>
      <c r="D17" s="20"/>
      <c r="E17" s="20"/>
      <c r="F17" s="20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7"/>
      <c r="AL17" s="7"/>
      <c r="AM17" s="7"/>
    </row>
    <row r="18" spans="1:39" ht="11.5" customHeight="1" x14ac:dyDescent="0.35">
      <c r="A18" s="21" t="s">
        <v>41</v>
      </c>
      <c r="B18" s="22"/>
      <c r="C18" s="22"/>
      <c r="D18" s="22"/>
      <c r="E18" s="22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</row>
    <row r="19" spans="1:39" ht="11.5" customHeight="1" x14ac:dyDescent="0.35">
      <c r="A19" s="8"/>
      <c r="B19" s="10"/>
      <c r="C19" s="10"/>
      <c r="D19" s="10"/>
      <c r="E19" s="10"/>
      <c r="F19" s="12"/>
      <c r="G19" s="12"/>
      <c r="H19" s="12"/>
      <c r="I19" s="12"/>
      <c r="J19" s="12"/>
      <c r="Z19" s="12"/>
      <c r="AA19" s="12"/>
      <c r="AB19" s="12"/>
      <c r="AC19" s="12"/>
      <c r="AD19" s="12"/>
      <c r="AE19" s="4"/>
      <c r="AF19" s="4"/>
      <c r="AG19" s="4"/>
      <c r="AH19" s="4"/>
      <c r="AI19" s="4"/>
      <c r="AJ19" s="12"/>
      <c r="AK19" s="12"/>
      <c r="AL19" s="10"/>
      <c r="AM19" s="12"/>
    </row>
    <row r="20" spans="1:39" ht="11.5" customHeight="1" x14ac:dyDescent="0.35">
      <c r="A20" s="8"/>
      <c r="B20" s="4"/>
      <c r="N20" s="4"/>
      <c r="O20" s="4"/>
      <c r="P20" s="4"/>
      <c r="Q20" s="4"/>
      <c r="R20" s="4"/>
      <c r="S20" s="4"/>
      <c r="T20" s="4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4"/>
      <c r="AL20" s="10"/>
      <c r="AM20" s="12"/>
    </row>
    <row r="21" spans="1:39" ht="11.5" customHeight="1" x14ac:dyDescent="0.35">
      <c r="A21" s="8"/>
      <c r="D21" s="72" t="s">
        <v>31</v>
      </c>
      <c r="E21" s="72"/>
      <c r="F21" s="72"/>
      <c r="G21" s="72"/>
      <c r="H21" s="72"/>
      <c r="I21" s="72" t="s">
        <v>46</v>
      </c>
      <c r="J21" s="72"/>
      <c r="K21" s="72"/>
      <c r="L21" s="72"/>
      <c r="M21" s="72" t="s">
        <v>45</v>
      </c>
      <c r="N21" s="72"/>
      <c r="O21" s="72"/>
      <c r="P21" s="72"/>
      <c r="Q21" s="72"/>
      <c r="R21" s="74" t="s">
        <v>44</v>
      </c>
      <c r="S21" s="74"/>
      <c r="T21" s="74"/>
      <c r="U21" s="78" t="s">
        <v>22</v>
      </c>
      <c r="V21" s="79"/>
      <c r="W21" s="80"/>
      <c r="AL21" s="10"/>
      <c r="AM21" s="12"/>
    </row>
    <row r="22" spans="1:39" ht="11.5" customHeight="1" x14ac:dyDescent="0.35">
      <c r="A22" s="8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4"/>
      <c r="S22" s="74"/>
      <c r="T22" s="74"/>
      <c r="U22" s="75"/>
      <c r="V22" s="76"/>
      <c r="W22" s="81"/>
      <c r="AL22" s="10"/>
      <c r="AM22" s="12"/>
    </row>
    <row r="23" spans="1:39" ht="11.5" customHeight="1" x14ac:dyDescent="0.35">
      <c r="A23" s="4"/>
      <c r="D23" s="36" t="s">
        <v>29</v>
      </c>
      <c r="E23" s="36"/>
      <c r="F23" s="36"/>
      <c r="G23" s="36"/>
      <c r="H23" s="36"/>
      <c r="I23" s="36"/>
      <c r="J23" s="36"/>
      <c r="K23" s="36"/>
      <c r="L23" s="36"/>
      <c r="M23" s="37"/>
      <c r="N23" s="37"/>
      <c r="O23" s="37"/>
      <c r="P23" s="37"/>
      <c r="Q23" s="37"/>
      <c r="R23" s="65"/>
      <c r="S23" s="65"/>
      <c r="T23" s="65"/>
      <c r="U23" s="77"/>
      <c r="V23" s="77"/>
      <c r="W23" s="77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L23" s="10"/>
    </row>
    <row r="24" spans="1:39" ht="11.5" customHeight="1" x14ac:dyDescent="0.35">
      <c r="A24" s="4"/>
      <c r="D24" s="36" t="s">
        <v>30</v>
      </c>
      <c r="E24" s="36"/>
      <c r="F24" s="36"/>
      <c r="G24" s="36"/>
      <c r="H24" s="36"/>
      <c r="I24" s="36"/>
      <c r="J24" s="36"/>
      <c r="K24" s="36"/>
      <c r="L24" s="36"/>
      <c r="M24" s="37"/>
      <c r="N24" s="37"/>
      <c r="O24" s="37"/>
      <c r="P24" s="37"/>
      <c r="Q24" s="37"/>
      <c r="R24" s="65"/>
      <c r="S24" s="65"/>
      <c r="T24" s="65"/>
      <c r="U24" s="77"/>
      <c r="V24" s="77"/>
      <c r="W24" s="77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L24" s="10"/>
    </row>
    <row r="25" spans="1:39" ht="11.5" customHeight="1" x14ac:dyDescent="0.35">
      <c r="A25" s="4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10"/>
      <c r="AL25" s="10"/>
    </row>
    <row r="26" spans="1:39" ht="11.5" customHeight="1" thickBot="1" x14ac:dyDescent="0.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1.5" customHeight="1" x14ac:dyDescent="0.35">
      <c r="A27" s="8" t="s">
        <v>18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pans="1:39" ht="11.5" customHeight="1" x14ac:dyDescent="0.35">
      <c r="A28" s="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1:39" ht="11.5" customHeight="1" x14ac:dyDescent="0.35">
      <c r="A29" s="12"/>
      <c r="B29" s="4" t="s">
        <v>47</v>
      </c>
      <c r="C29" s="4"/>
      <c r="D29" s="49"/>
      <c r="E29" s="49"/>
      <c r="F29" s="49"/>
      <c r="G29" s="49"/>
      <c r="H29" s="49"/>
      <c r="I29" s="49"/>
      <c r="J29" s="49"/>
      <c r="K29" s="51" t="s">
        <v>20</v>
      </c>
      <c r="L29" s="51"/>
      <c r="M29" s="51"/>
      <c r="N29" s="51"/>
      <c r="O29" s="51"/>
      <c r="P29" s="49"/>
      <c r="Q29" s="49"/>
      <c r="R29" s="49"/>
      <c r="S29" s="49"/>
      <c r="T29" s="49"/>
      <c r="U29" s="49"/>
      <c r="V29" s="4"/>
      <c r="W29" s="51" t="s">
        <v>19</v>
      </c>
      <c r="X29" s="51"/>
      <c r="Y29" s="51"/>
      <c r="Z29" s="50"/>
      <c r="AA29" s="50"/>
      <c r="AB29" s="50"/>
      <c r="AC29" s="50"/>
      <c r="AG29" s="82" t="s">
        <v>48</v>
      </c>
      <c r="AH29" s="76"/>
      <c r="AI29" s="76"/>
      <c r="AJ29" s="76"/>
      <c r="AK29" s="76"/>
      <c r="AM29" s="12"/>
    </row>
    <row r="30" spans="1:39" ht="11.5" customHeight="1" x14ac:dyDescent="0.35">
      <c r="A30" s="12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M30" s="12"/>
    </row>
    <row r="31" spans="1:39" ht="11.5" customHeight="1" thickBot="1" x14ac:dyDescent="0.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1.5" customHeight="1" x14ac:dyDescent="0.35">
      <c r="A32" s="8" t="s">
        <v>12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1:39" ht="11.5" customHeight="1" x14ac:dyDescent="0.35">
      <c r="A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pans="1:39" ht="11.5" customHeight="1" x14ac:dyDescent="0.35">
      <c r="A34" s="8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12"/>
    </row>
    <row r="35" spans="1:39" ht="11.5" customHeight="1" x14ac:dyDescent="0.35">
      <c r="A35" s="8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12"/>
    </row>
    <row r="36" spans="1:39" ht="11.5" customHeight="1" x14ac:dyDescent="0.35">
      <c r="A36" s="8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12"/>
    </row>
    <row r="37" spans="1:39" ht="11.5" customHeight="1" x14ac:dyDescent="0.35">
      <c r="A37" s="8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12"/>
    </row>
    <row r="38" spans="1:39" ht="11.5" customHeight="1" x14ac:dyDescent="0.35">
      <c r="A38" s="8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12"/>
    </row>
    <row r="39" spans="1:39" ht="11.5" customHeight="1" x14ac:dyDescent="0.35">
      <c r="A39" s="8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12"/>
    </row>
    <row r="40" spans="1:39" ht="11.5" customHeight="1" x14ac:dyDescent="0.35">
      <c r="A40" s="8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12"/>
    </row>
    <row r="41" spans="1:39" ht="11.5" customHeight="1" x14ac:dyDescent="0.35">
      <c r="A41" s="8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12"/>
    </row>
    <row r="42" spans="1:39" ht="11.5" customHeight="1" x14ac:dyDescent="0.35">
      <c r="A42" s="8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12"/>
    </row>
    <row r="43" spans="1:39" ht="11.5" customHeight="1" x14ac:dyDescent="0.35">
      <c r="A43" s="8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12"/>
    </row>
    <row r="44" spans="1:39" ht="11.5" customHeight="1" x14ac:dyDescent="0.35">
      <c r="A44" s="8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12"/>
    </row>
    <row r="45" spans="1:39" ht="11.5" customHeight="1" x14ac:dyDescent="0.35">
      <c r="A45" s="8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12"/>
    </row>
    <row r="46" spans="1:39" ht="11.5" customHeight="1" x14ac:dyDescent="0.35">
      <c r="A46" s="8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12"/>
    </row>
    <row r="47" spans="1:39" ht="11.5" customHeight="1" x14ac:dyDescent="0.35">
      <c r="A47" s="8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12"/>
    </row>
    <row r="48" spans="1:39" ht="11.5" customHeight="1" x14ac:dyDescent="0.35">
      <c r="A48" s="8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12"/>
    </row>
    <row r="49" spans="1:39" ht="11.5" customHeight="1" x14ac:dyDescent="0.35">
      <c r="A49" s="8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12"/>
    </row>
    <row r="50" spans="1:39" ht="11.5" customHeight="1" x14ac:dyDescent="0.35">
      <c r="A50" s="8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12"/>
    </row>
    <row r="51" spans="1:39" ht="11.5" customHeight="1" x14ac:dyDescent="0.35">
      <c r="A51" s="8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12"/>
    </row>
    <row r="52" spans="1:39" ht="11.5" customHeight="1" x14ac:dyDescent="0.35">
      <c r="A52" s="8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12"/>
    </row>
    <row r="53" spans="1:39" ht="11.5" customHeight="1" x14ac:dyDescent="0.35">
      <c r="A53" s="8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12"/>
    </row>
    <row r="54" spans="1:39" ht="11.5" customHeight="1" x14ac:dyDescent="0.35">
      <c r="A54" s="8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12"/>
    </row>
    <row r="55" spans="1:39" ht="11.5" customHeight="1" x14ac:dyDescent="0.35">
      <c r="A55" s="8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12"/>
    </row>
    <row r="56" spans="1:39" ht="11.5" customHeight="1" x14ac:dyDescent="0.35">
      <c r="A56" s="8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12"/>
    </row>
    <row r="57" spans="1:39" ht="11.5" customHeight="1" x14ac:dyDescent="0.35">
      <c r="A57" s="8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12"/>
    </row>
    <row r="58" spans="1:39" ht="11.5" customHeight="1" x14ac:dyDescent="0.35">
      <c r="A58" s="19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12"/>
    </row>
    <row r="59" spans="1:39" ht="11.5" customHeight="1" x14ac:dyDescent="0.35">
      <c r="A59" s="12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12"/>
    </row>
    <row r="60" spans="1:39" ht="11.5" customHeight="1" x14ac:dyDescent="0.35">
      <c r="A60" s="12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12"/>
    </row>
    <row r="61" spans="1:39" ht="11.5" customHeight="1" x14ac:dyDescent="0.35">
      <c r="A61" s="12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12"/>
    </row>
    <row r="62" spans="1:39" ht="11.5" customHeight="1" thickBot="1" x14ac:dyDescent="0.4">
      <c r="A62" s="7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7"/>
    </row>
  </sheetData>
  <sheetProtection formatCells="0" selectLockedCells="1"/>
  <dataConsolidate/>
  <mergeCells count="75">
    <mergeCell ref="D23:H23"/>
    <mergeCell ref="D24:H24"/>
    <mergeCell ref="I21:L22"/>
    <mergeCell ref="M21:Q22"/>
    <mergeCell ref="R21:T22"/>
    <mergeCell ref="U21:W22"/>
    <mergeCell ref="I24:L24"/>
    <mergeCell ref="M23:Q23"/>
    <mergeCell ref="M24:Q24"/>
    <mergeCell ref="R23:T23"/>
    <mergeCell ref="R24:T24"/>
    <mergeCell ref="U23:W23"/>
    <mergeCell ref="U24:W24"/>
    <mergeCell ref="AB13:AD13"/>
    <mergeCell ref="AB14:AC14"/>
    <mergeCell ref="AB15:AC15"/>
    <mergeCell ref="A1:AM1"/>
    <mergeCell ref="K5:L5"/>
    <mergeCell ref="S5:V5"/>
    <mergeCell ref="Z6:AD6"/>
    <mergeCell ref="Z2:AD2"/>
    <mergeCell ref="AE2:AH2"/>
    <mergeCell ref="M5:N5"/>
    <mergeCell ref="P5:Q5"/>
    <mergeCell ref="Z3:AD3"/>
    <mergeCell ref="F4:X4"/>
    <mergeCell ref="F5:I5"/>
    <mergeCell ref="F2:X2"/>
    <mergeCell ref="AJ2:AL4"/>
    <mergeCell ref="AE3:AH3"/>
    <mergeCell ref="Z5:AD5"/>
    <mergeCell ref="AE5:AL5"/>
    <mergeCell ref="B2:E2"/>
    <mergeCell ref="B3:E3"/>
    <mergeCell ref="B4:E4"/>
    <mergeCell ref="B5:E5"/>
    <mergeCell ref="B6:E6"/>
    <mergeCell ref="AE6:AL6"/>
    <mergeCell ref="F3:X3"/>
    <mergeCell ref="F6:X6"/>
    <mergeCell ref="F10:L10"/>
    <mergeCell ref="F13:L13"/>
    <mergeCell ref="B10:E10"/>
    <mergeCell ref="F14:H14"/>
    <mergeCell ref="J14:L14"/>
    <mergeCell ref="J15:L15"/>
    <mergeCell ref="F15:H15"/>
    <mergeCell ref="N10:R10"/>
    <mergeCell ref="N11:R11"/>
    <mergeCell ref="B15:E15"/>
    <mergeCell ref="B14:E14"/>
    <mergeCell ref="B11:E11"/>
    <mergeCell ref="F11:H11"/>
    <mergeCell ref="J11:L11"/>
    <mergeCell ref="D29:J29"/>
    <mergeCell ref="P29:U29"/>
    <mergeCell ref="Z29:AC29"/>
    <mergeCell ref="W29:Y29"/>
    <mergeCell ref="K29:O29"/>
    <mergeCell ref="AD10:AI10"/>
    <mergeCell ref="AD11:AI11"/>
    <mergeCell ref="N13:S13"/>
    <mergeCell ref="N14:S14"/>
    <mergeCell ref="N15:S15"/>
    <mergeCell ref="U13:Z13"/>
    <mergeCell ref="U14:Z14"/>
    <mergeCell ref="U15:Z15"/>
    <mergeCell ref="Z10:AC10"/>
    <mergeCell ref="Z11:AC11"/>
    <mergeCell ref="S10:X10"/>
    <mergeCell ref="S11:X11"/>
    <mergeCell ref="D21:H22"/>
    <mergeCell ref="I23:L23"/>
    <mergeCell ref="B34:AL61"/>
    <mergeCell ref="AH29:AK29"/>
  </mergeCells>
  <phoneticPr fontId="2" type="noConversion"/>
  <conditionalFormatting sqref="AJ2">
    <cfRule type="cellIs" dxfId="3" priority="27" operator="equal">
      <formula>"LIMITED SERVICE"</formula>
    </cfRule>
    <cfRule type="cellIs" dxfId="2" priority="30" operator="equal">
      <formula>"""PASS"""</formula>
    </cfRule>
  </conditionalFormatting>
  <conditionalFormatting sqref="AJ2 U23:U24">
    <cfRule type="cellIs" dxfId="1" priority="29" operator="equal">
      <formula>"PASS"</formula>
    </cfRule>
  </conditionalFormatting>
  <conditionalFormatting sqref="AJ2 U23:U24">
    <cfRule type="cellIs" dxfId="0" priority="28" operator="equal">
      <formula>"FAIL"</formula>
    </cfRule>
  </conditionalFormatting>
  <dataValidations disablePrompts="1" count="6">
    <dataValidation type="list" allowBlank="1" showInputMessage="1" showErrorMessage="1" sqref="N14:N15" xr:uid="{B505F7B2-538F-4CD5-95E1-90F4507742A3}">
      <formula1>"Delta, Wye, Single Phase"</formula1>
    </dataValidation>
    <dataValidation type="list" allowBlank="1" showInputMessage="1" showErrorMessage="1" sqref="U14:U15" xr:uid="{E97AD4D3-4B22-4F9B-A376-BCB2964931C0}">
      <formula1>"Copper, Aluminum"</formula1>
    </dataValidation>
    <dataValidation type="list" allowBlank="1" showInputMessage="1" showErrorMessage="1" sqref="AM2:AM4 AJ2" xr:uid="{FD88D42F-4C2C-4489-B3FE-AA52572567EE}">
      <formula1>#REF!</formula1>
    </dataValidation>
    <dataValidation type="list" allowBlank="1" showInputMessage="1" showErrorMessage="1" sqref="I23:L24" xr:uid="{DB54C596-DBF1-4D67-A6AF-768096BF4132}">
      <formula1>"10,15,19,26,34,50,70,95,140"</formula1>
    </dataValidation>
    <dataValidation type="list" allowBlank="1" showInputMessage="1" showErrorMessage="1" sqref="M23:Q24" xr:uid="{D89097A4-DA95-49DC-977B-686C9AC35093}">
      <formula1>"50,60"</formula1>
    </dataValidation>
    <dataValidation type="list" allowBlank="1" showInputMessage="1" showErrorMessage="1" sqref="U23:W23" xr:uid="{D68277AA-DFB9-48FD-B90B-BCA257CFCABF}">
      <formula1>"Pass,Fail"</formula1>
    </dataValidation>
  </dataValidations>
  <printOptions horizontalCentered="1"/>
  <pageMargins left="0.5" right="0.5" top="1" bottom="0.5" header="0.3" footer="0.3"/>
  <pageSetup scale="96" fitToHeight="0" orientation="portrait" r:id="rId1"/>
  <headerFooter>
    <oddHeader xml:space="preserve">&amp;L  &amp;G
                &amp;C&amp;"-,Bold"&amp;13Transformer
Applied Voltage Test
&amp;R&amp;"-,Bold"&amp;12&amp;K000000&amp;G
&amp;14 </oddHeader>
    <oddFooter>&amp;L&amp;8&amp;K00-041AMPQES.COM&amp;C&amp;"Arial,Regular"&amp;9Sheet &amp;P of &amp;N&amp;R&amp;8 &amp;K00-041256-513-8255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8BD2-91A3-407A-B7A1-5E8C67935495}">
  <dimension ref="A1:C138"/>
  <sheetViews>
    <sheetView topLeftCell="A117" workbookViewId="0">
      <selection activeCell="C35" sqref="C35"/>
    </sheetView>
  </sheetViews>
  <sheetFormatPr defaultRowHeight="14.5" x14ac:dyDescent="0.35"/>
  <cols>
    <col min="1" max="1" width="14.90625" customWidth="1"/>
    <col min="2" max="2" width="18.26953125" customWidth="1"/>
    <col min="3" max="3" width="36.36328125" customWidth="1"/>
  </cols>
  <sheetData>
    <row r="1" spans="1:3" ht="15.5" x14ac:dyDescent="0.35">
      <c r="A1" s="63" t="s">
        <v>34</v>
      </c>
      <c r="B1" s="64"/>
      <c r="C1" s="27"/>
    </row>
    <row r="2" spans="1:3" ht="15.5" x14ac:dyDescent="0.35">
      <c r="A2" s="26"/>
      <c r="B2" s="28"/>
      <c r="C2" s="29"/>
    </row>
    <row r="3" spans="1:3" x14ac:dyDescent="0.35">
      <c r="A3" s="30" t="s">
        <v>35</v>
      </c>
      <c r="B3" s="30" t="s">
        <v>36</v>
      </c>
      <c r="C3" s="31" t="s">
        <v>37</v>
      </c>
    </row>
    <row r="4" spans="1:3" x14ac:dyDescent="0.35">
      <c r="A4" s="32">
        <v>-24</v>
      </c>
      <c r="B4" s="33">
        <f>ROUND(0.252*EXP(0.0691*A4),3)</f>
        <v>4.8000000000000001E-2</v>
      </c>
      <c r="C4" s="29" t="s">
        <v>38</v>
      </c>
    </row>
    <row r="5" spans="1:3" x14ac:dyDescent="0.35">
      <c r="A5" s="32">
        <v>-23</v>
      </c>
      <c r="B5" s="33">
        <f t="shared" ref="B5:B67" si="0">ROUND(0.252*EXP(0.0691*A5),3)</f>
        <v>5.0999999999999997E-2</v>
      </c>
      <c r="C5" s="29" t="s">
        <v>39</v>
      </c>
    </row>
    <row r="6" spans="1:3" x14ac:dyDescent="0.35">
      <c r="A6" s="32">
        <v>-22</v>
      </c>
      <c r="B6" s="33">
        <f t="shared" si="0"/>
        <v>5.5E-2</v>
      </c>
      <c r="C6" s="29" t="s">
        <v>39</v>
      </c>
    </row>
    <row r="7" spans="1:3" x14ac:dyDescent="0.35">
      <c r="A7" s="32">
        <v>-21</v>
      </c>
      <c r="B7" s="33">
        <f t="shared" si="0"/>
        <v>5.8999999999999997E-2</v>
      </c>
      <c r="C7" s="29" t="s">
        <v>39</v>
      </c>
    </row>
    <row r="8" spans="1:3" x14ac:dyDescent="0.35">
      <c r="A8" s="32">
        <v>-20</v>
      </c>
      <c r="B8" s="33">
        <f t="shared" si="0"/>
        <v>6.3E-2</v>
      </c>
      <c r="C8" s="29" t="s">
        <v>39</v>
      </c>
    </row>
    <row r="9" spans="1:3" x14ac:dyDescent="0.35">
      <c r="A9" s="32">
        <v>-19</v>
      </c>
      <c r="B9" s="33">
        <f t="shared" si="0"/>
        <v>6.8000000000000005E-2</v>
      </c>
      <c r="C9" s="29" t="s">
        <v>39</v>
      </c>
    </row>
    <row r="10" spans="1:3" x14ac:dyDescent="0.35">
      <c r="A10" s="32">
        <v>-18</v>
      </c>
      <c r="B10" s="33">
        <f t="shared" si="0"/>
        <v>7.2999999999999995E-2</v>
      </c>
      <c r="C10" s="29" t="s">
        <v>39</v>
      </c>
    </row>
    <row r="11" spans="1:3" x14ac:dyDescent="0.35">
      <c r="A11" s="32">
        <v>-17</v>
      </c>
      <c r="B11" s="33">
        <f t="shared" si="0"/>
        <v>7.8E-2</v>
      </c>
      <c r="C11" s="29" t="s">
        <v>39</v>
      </c>
    </row>
    <row r="12" spans="1:3" x14ac:dyDescent="0.35">
      <c r="A12" s="32">
        <v>-16</v>
      </c>
      <c r="B12" s="33">
        <f t="shared" si="0"/>
        <v>8.3000000000000004E-2</v>
      </c>
      <c r="C12" s="29" t="s">
        <v>39</v>
      </c>
    </row>
    <row r="13" spans="1:3" x14ac:dyDescent="0.35">
      <c r="A13" s="32">
        <v>-15</v>
      </c>
      <c r="B13" s="33">
        <f t="shared" si="0"/>
        <v>8.8999999999999996E-2</v>
      </c>
      <c r="C13" s="29" t="s">
        <v>39</v>
      </c>
    </row>
    <row r="14" spans="1:3" x14ac:dyDescent="0.35">
      <c r="A14" s="32">
        <v>-14</v>
      </c>
      <c r="B14" s="33">
        <f t="shared" si="0"/>
        <v>9.6000000000000002E-2</v>
      </c>
      <c r="C14" s="29" t="s">
        <v>39</v>
      </c>
    </row>
    <row r="15" spans="1:3" x14ac:dyDescent="0.35">
      <c r="A15" s="32">
        <v>-13</v>
      </c>
      <c r="B15" s="33">
        <f t="shared" si="0"/>
        <v>0.10299999999999999</v>
      </c>
      <c r="C15" s="29" t="s">
        <v>39</v>
      </c>
    </row>
    <row r="16" spans="1:3" x14ac:dyDescent="0.35">
      <c r="A16" s="32">
        <v>-12</v>
      </c>
      <c r="B16" s="33">
        <f t="shared" si="0"/>
        <v>0.11</v>
      </c>
      <c r="C16" s="29" t="s">
        <v>39</v>
      </c>
    </row>
    <row r="17" spans="1:3" x14ac:dyDescent="0.35">
      <c r="A17" s="32">
        <v>-11</v>
      </c>
      <c r="B17" s="33">
        <f t="shared" si="0"/>
        <v>0.11799999999999999</v>
      </c>
      <c r="C17" s="29" t="s">
        <v>39</v>
      </c>
    </row>
    <row r="18" spans="1:3" x14ac:dyDescent="0.35">
      <c r="A18" s="32">
        <v>-10</v>
      </c>
      <c r="B18" s="33">
        <v>0.125</v>
      </c>
      <c r="C18" s="29" t="s">
        <v>40</v>
      </c>
    </row>
    <row r="19" spans="1:3" x14ac:dyDescent="0.35">
      <c r="A19" s="32">
        <v>-9</v>
      </c>
      <c r="B19" s="33">
        <f t="shared" si="0"/>
        <v>0.13500000000000001</v>
      </c>
      <c r="C19" s="29" t="s">
        <v>39</v>
      </c>
    </row>
    <row r="20" spans="1:3" x14ac:dyDescent="0.35">
      <c r="A20" s="32">
        <v>-8</v>
      </c>
      <c r="B20" s="33">
        <f t="shared" si="0"/>
        <v>0.14499999999999999</v>
      </c>
      <c r="C20" s="29" t="s">
        <v>39</v>
      </c>
    </row>
    <row r="21" spans="1:3" x14ac:dyDescent="0.35">
      <c r="A21" s="32">
        <v>-7</v>
      </c>
      <c r="B21" s="33">
        <f t="shared" si="0"/>
        <v>0.155</v>
      </c>
      <c r="C21" s="29" t="s">
        <v>39</v>
      </c>
    </row>
    <row r="22" spans="1:3" x14ac:dyDescent="0.35">
      <c r="A22" s="32">
        <v>-6</v>
      </c>
      <c r="B22" s="33">
        <f t="shared" si="0"/>
        <v>0.16600000000000001</v>
      </c>
      <c r="C22" s="29" t="s">
        <v>39</v>
      </c>
    </row>
    <row r="23" spans="1:3" x14ac:dyDescent="0.35">
      <c r="A23" s="32">
        <v>-5</v>
      </c>
      <c r="B23" s="33">
        <v>0.18</v>
      </c>
      <c r="C23" s="29" t="s">
        <v>40</v>
      </c>
    </row>
    <row r="24" spans="1:3" x14ac:dyDescent="0.35">
      <c r="A24" s="32">
        <v>-4</v>
      </c>
      <c r="B24" s="33">
        <f t="shared" si="0"/>
        <v>0.191</v>
      </c>
      <c r="C24" s="29" t="s">
        <v>39</v>
      </c>
    </row>
    <row r="25" spans="1:3" x14ac:dyDescent="0.35">
      <c r="A25" s="32">
        <v>-3</v>
      </c>
      <c r="B25" s="33">
        <f t="shared" si="0"/>
        <v>0.20499999999999999</v>
      </c>
      <c r="C25" s="29" t="s">
        <v>39</v>
      </c>
    </row>
    <row r="26" spans="1:3" x14ac:dyDescent="0.35">
      <c r="A26" s="32">
        <v>-2</v>
      </c>
      <c r="B26" s="33">
        <f t="shared" si="0"/>
        <v>0.219</v>
      </c>
      <c r="C26" s="29" t="s">
        <v>39</v>
      </c>
    </row>
    <row r="27" spans="1:3" x14ac:dyDescent="0.35">
      <c r="A27" s="32">
        <v>-1</v>
      </c>
      <c r="B27" s="33">
        <f t="shared" si="0"/>
        <v>0.23499999999999999</v>
      </c>
      <c r="C27" s="29" t="s">
        <v>39</v>
      </c>
    </row>
    <row r="28" spans="1:3" x14ac:dyDescent="0.35">
      <c r="A28" s="32">
        <v>0</v>
      </c>
      <c r="B28" s="33">
        <v>0.25</v>
      </c>
      <c r="C28" s="29" t="s">
        <v>40</v>
      </c>
    </row>
    <row r="29" spans="1:3" x14ac:dyDescent="0.35">
      <c r="A29" s="32">
        <v>1</v>
      </c>
      <c r="B29" s="33">
        <f t="shared" si="0"/>
        <v>0.27</v>
      </c>
      <c r="C29" s="29" t="s">
        <v>39</v>
      </c>
    </row>
    <row r="30" spans="1:3" x14ac:dyDescent="0.35">
      <c r="A30" s="32">
        <v>2</v>
      </c>
      <c r="B30" s="33">
        <f t="shared" si="0"/>
        <v>0.28899999999999998</v>
      </c>
      <c r="C30" s="29" t="s">
        <v>39</v>
      </c>
    </row>
    <row r="31" spans="1:3" x14ac:dyDescent="0.35">
      <c r="A31" s="32">
        <v>3</v>
      </c>
      <c r="B31" s="33">
        <f t="shared" si="0"/>
        <v>0.31</v>
      </c>
      <c r="C31" s="29" t="s">
        <v>39</v>
      </c>
    </row>
    <row r="32" spans="1:3" x14ac:dyDescent="0.35">
      <c r="A32" s="32">
        <v>4</v>
      </c>
      <c r="B32" s="33">
        <f t="shared" si="0"/>
        <v>0.33200000000000002</v>
      </c>
      <c r="C32" s="29" t="s">
        <v>39</v>
      </c>
    </row>
    <row r="33" spans="1:3" x14ac:dyDescent="0.35">
      <c r="A33" s="32">
        <v>5</v>
      </c>
      <c r="B33" s="33">
        <v>0.36</v>
      </c>
      <c r="C33" s="29" t="s">
        <v>40</v>
      </c>
    </row>
    <row r="34" spans="1:3" x14ac:dyDescent="0.35">
      <c r="A34" s="32">
        <v>6</v>
      </c>
      <c r="B34" s="33">
        <f t="shared" si="0"/>
        <v>0.38100000000000001</v>
      </c>
      <c r="C34" s="29" t="s">
        <v>39</v>
      </c>
    </row>
    <row r="35" spans="1:3" x14ac:dyDescent="0.35">
      <c r="A35" s="32">
        <v>7</v>
      </c>
      <c r="B35" s="33">
        <f t="shared" si="0"/>
        <v>0.40899999999999997</v>
      </c>
      <c r="C35" s="29" t="s">
        <v>39</v>
      </c>
    </row>
    <row r="36" spans="1:3" x14ac:dyDescent="0.35">
      <c r="A36" s="32">
        <v>8</v>
      </c>
      <c r="B36" s="33">
        <f t="shared" si="0"/>
        <v>0.438</v>
      </c>
      <c r="C36" s="29" t="s">
        <v>39</v>
      </c>
    </row>
    <row r="37" spans="1:3" x14ac:dyDescent="0.35">
      <c r="A37" s="32">
        <v>9</v>
      </c>
      <c r="B37" s="33">
        <f t="shared" si="0"/>
        <v>0.46899999999999997</v>
      </c>
      <c r="C37" s="29" t="s">
        <v>39</v>
      </c>
    </row>
    <row r="38" spans="1:3" x14ac:dyDescent="0.35">
      <c r="A38" s="32">
        <v>10</v>
      </c>
      <c r="B38" s="33">
        <v>0.5</v>
      </c>
      <c r="C38" s="29" t="s">
        <v>40</v>
      </c>
    </row>
    <row r="39" spans="1:3" x14ac:dyDescent="0.35">
      <c r="A39" s="32">
        <v>11</v>
      </c>
      <c r="B39" s="33">
        <f t="shared" si="0"/>
        <v>0.53900000000000003</v>
      </c>
      <c r="C39" s="29" t="s">
        <v>39</v>
      </c>
    </row>
    <row r="40" spans="1:3" x14ac:dyDescent="0.35">
      <c r="A40" s="32">
        <v>12</v>
      </c>
      <c r="B40" s="33">
        <f t="shared" si="0"/>
        <v>0.57699999999999996</v>
      </c>
      <c r="C40" s="29" t="s">
        <v>39</v>
      </c>
    </row>
    <row r="41" spans="1:3" x14ac:dyDescent="0.35">
      <c r="A41" s="32">
        <v>13</v>
      </c>
      <c r="B41" s="33">
        <f t="shared" si="0"/>
        <v>0.61899999999999999</v>
      </c>
      <c r="C41" s="29" t="s">
        <v>39</v>
      </c>
    </row>
    <row r="42" spans="1:3" x14ac:dyDescent="0.35">
      <c r="A42" s="32">
        <v>14</v>
      </c>
      <c r="B42" s="33">
        <f t="shared" si="0"/>
        <v>0.66300000000000003</v>
      </c>
      <c r="C42" s="29" t="s">
        <v>39</v>
      </c>
    </row>
    <row r="43" spans="1:3" x14ac:dyDescent="0.35">
      <c r="A43" s="32">
        <v>15</v>
      </c>
      <c r="B43" s="33">
        <v>0.75</v>
      </c>
      <c r="C43" s="29" t="s">
        <v>40</v>
      </c>
    </row>
    <row r="44" spans="1:3" x14ac:dyDescent="0.35">
      <c r="A44" s="32">
        <v>16</v>
      </c>
      <c r="B44" s="33">
        <f t="shared" si="0"/>
        <v>0.76100000000000001</v>
      </c>
      <c r="C44" s="29" t="s">
        <v>39</v>
      </c>
    </row>
    <row r="45" spans="1:3" x14ac:dyDescent="0.35">
      <c r="A45" s="32">
        <v>17</v>
      </c>
      <c r="B45" s="33">
        <f t="shared" si="0"/>
        <v>0.81599999999999995</v>
      </c>
      <c r="C45" s="29" t="s">
        <v>39</v>
      </c>
    </row>
    <row r="46" spans="1:3" x14ac:dyDescent="0.35">
      <c r="A46" s="32">
        <v>18</v>
      </c>
      <c r="B46" s="33">
        <f t="shared" si="0"/>
        <v>0.874</v>
      </c>
      <c r="C46" s="29" t="s">
        <v>39</v>
      </c>
    </row>
    <row r="47" spans="1:3" x14ac:dyDescent="0.35">
      <c r="A47" s="32">
        <v>19</v>
      </c>
      <c r="B47" s="33">
        <f t="shared" si="0"/>
        <v>0.93700000000000006</v>
      </c>
      <c r="C47" s="29" t="s">
        <v>39</v>
      </c>
    </row>
    <row r="48" spans="1:3" x14ac:dyDescent="0.35">
      <c r="A48" s="32">
        <v>20</v>
      </c>
      <c r="B48" s="33">
        <v>1</v>
      </c>
      <c r="C48" s="29" t="s">
        <v>40</v>
      </c>
    </row>
    <row r="49" spans="1:3" x14ac:dyDescent="0.35">
      <c r="A49" s="32">
        <v>21</v>
      </c>
      <c r="B49" s="33">
        <f t="shared" si="0"/>
        <v>1.075</v>
      </c>
      <c r="C49" s="29" t="s">
        <v>39</v>
      </c>
    </row>
    <row r="50" spans="1:3" x14ac:dyDescent="0.35">
      <c r="A50" s="32">
        <v>22</v>
      </c>
      <c r="B50" s="33">
        <f t="shared" si="0"/>
        <v>1.1519999999999999</v>
      </c>
      <c r="C50" s="29" t="s">
        <v>39</v>
      </c>
    </row>
    <row r="51" spans="1:3" x14ac:dyDescent="0.35">
      <c r="A51" s="32">
        <v>23</v>
      </c>
      <c r="B51" s="33">
        <f t="shared" si="0"/>
        <v>1.2350000000000001</v>
      </c>
      <c r="C51" s="29" t="s">
        <v>39</v>
      </c>
    </row>
    <row r="52" spans="1:3" x14ac:dyDescent="0.35">
      <c r="A52" s="32">
        <v>24</v>
      </c>
      <c r="B52" s="33">
        <f t="shared" si="0"/>
        <v>1.323</v>
      </c>
      <c r="C52" s="29" t="s">
        <v>39</v>
      </c>
    </row>
    <row r="53" spans="1:3" x14ac:dyDescent="0.35">
      <c r="A53" s="32">
        <v>25</v>
      </c>
      <c r="B53" s="33">
        <v>1.4</v>
      </c>
      <c r="C53" s="29" t="s">
        <v>40</v>
      </c>
    </row>
    <row r="54" spans="1:3" x14ac:dyDescent="0.35">
      <c r="A54" s="32">
        <v>26</v>
      </c>
      <c r="B54" s="33">
        <f t="shared" si="0"/>
        <v>1.5189999999999999</v>
      </c>
      <c r="C54" s="29" t="s">
        <v>39</v>
      </c>
    </row>
    <row r="55" spans="1:3" x14ac:dyDescent="0.35">
      <c r="A55" s="32">
        <v>27</v>
      </c>
      <c r="B55" s="33">
        <f t="shared" si="0"/>
        <v>1.6279999999999999</v>
      </c>
      <c r="C55" s="29" t="s">
        <v>39</v>
      </c>
    </row>
    <row r="56" spans="1:3" x14ac:dyDescent="0.35">
      <c r="A56" s="32">
        <v>28</v>
      </c>
      <c r="B56" s="33">
        <f t="shared" si="0"/>
        <v>1.7450000000000001</v>
      </c>
      <c r="C56" s="29" t="s">
        <v>39</v>
      </c>
    </row>
    <row r="57" spans="1:3" x14ac:dyDescent="0.35">
      <c r="A57" s="32">
        <v>29</v>
      </c>
      <c r="B57" s="33">
        <f t="shared" si="0"/>
        <v>1.869</v>
      </c>
      <c r="C57" s="29" t="s">
        <v>39</v>
      </c>
    </row>
    <row r="58" spans="1:3" x14ac:dyDescent="0.35">
      <c r="A58" s="32">
        <v>30</v>
      </c>
      <c r="B58" s="33">
        <v>1.98</v>
      </c>
      <c r="C58" s="29" t="s">
        <v>40</v>
      </c>
    </row>
    <row r="59" spans="1:3" x14ac:dyDescent="0.35">
      <c r="A59" s="32">
        <v>31</v>
      </c>
      <c r="B59" s="33">
        <f t="shared" si="0"/>
        <v>2.1459999999999999</v>
      </c>
      <c r="C59" s="29" t="s">
        <v>39</v>
      </c>
    </row>
    <row r="60" spans="1:3" x14ac:dyDescent="0.35">
      <c r="A60" s="32">
        <v>32</v>
      </c>
      <c r="B60" s="33">
        <f t="shared" si="0"/>
        <v>2.2999999999999998</v>
      </c>
      <c r="C60" s="29" t="s">
        <v>39</v>
      </c>
    </row>
    <row r="61" spans="1:3" x14ac:dyDescent="0.35">
      <c r="A61" s="32">
        <v>33</v>
      </c>
      <c r="B61" s="33">
        <f t="shared" si="0"/>
        <v>2.464</v>
      </c>
      <c r="C61" s="29" t="s">
        <v>39</v>
      </c>
    </row>
    <row r="62" spans="1:3" x14ac:dyDescent="0.35">
      <c r="A62" s="32">
        <v>34</v>
      </c>
      <c r="B62" s="33">
        <f t="shared" si="0"/>
        <v>2.641</v>
      </c>
      <c r="C62" s="29" t="s">
        <v>39</v>
      </c>
    </row>
    <row r="63" spans="1:3" x14ac:dyDescent="0.35">
      <c r="A63" s="32">
        <v>35</v>
      </c>
      <c r="B63" s="33">
        <v>2.8</v>
      </c>
      <c r="C63" s="29" t="s">
        <v>40</v>
      </c>
    </row>
    <row r="64" spans="1:3" x14ac:dyDescent="0.35">
      <c r="A64" s="32">
        <v>36</v>
      </c>
      <c r="B64" s="33">
        <f t="shared" si="0"/>
        <v>3.032</v>
      </c>
      <c r="C64" s="29" t="s">
        <v>39</v>
      </c>
    </row>
    <row r="65" spans="1:3" x14ac:dyDescent="0.35">
      <c r="A65" s="32">
        <v>37</v>
      </c>
      <c r="B65" s="33">
        <f t="shared" si="0"/>
        <v>3.2490000000000001</v>
      </c>
      <c r="C65" s="29" t="s">
        <v>39</v>
      </c>
    </row>
    <row r="66" spans="1:3" x14ac:dyDescent="0.35">
      <c r="A66" s="32">
        <v>38</v>
      </c>
      <c r="B66" s="33">
        <f t="shared" si="0"/>
        <v>3.4820000000000002</v>
      </c>
      <c r="C66" s="29" t="s">
        <v>39</v>
      </c>
    </row>
    <row r="67" spans="1:3" x14ac:dyDescent="0.35">
      <c r="A67" s="32">
        <v>39</v>
      </c>
      <c r="B67" s="33">
        <f t="shared" si="0"/>
        <v>3.7309999999999999</v>
      </c>
      <c r="C67" s="29" t="s">
        <v>39</v>
      </c>
    </row>
    <row r="68" spans="1:3" x14ac:dyDescent="0.35">
      <c r="A68" s="32">
        <v>40</v>
      </c>
      <c r="B68" s="33">
        <v>3.95</v>
      </c>
      <c r="C68" s="29" t="s">
        <v>40</v>
      </c>
    </row>
    <row r="69" spans="1:3" x14ac:dyDescent="0.35">
      <c r="A69" s="32">
        <v>41</v>
      </c>
      <c r="B69" s="33">
        <f t="shared" ref="B69:B132" si="1">ROUND(0.252*EXP(0.0691*A69),3)</f>
        <v>4.2839999999999998</v>
      </c>
      <c r="C69" s="29" t="s">
        <v>39</v>
      </c>
    </row>
    <row r="70" spans="1:3" x14ac:dyDescent="0.35">
      <c r="A70" s="32">
        <v>42</v>
      </c>
      <c r="B70" s="33">
        <f t="shared" si="1"/>
        <v>4.59</v>
      </c>
      <c r="C70" s="29" t="s">
        <v>39</v>
      </c>
    </row>
    <row r="71" spans="1:3" x14ac:dyDescent="0.35">
      <c r="A71" s="32">
        <v>43</v>
      </c>
      <c r="B71" s="33">
        <f t="shared" si="1"/>
        <v>4.9180000000000001</v>
      </c>
      <c r="C71" s="29" t="s">
        <v>39</v>
      </c>
    </row>
    <row r="72" spans="1:3" x14ac:dyDescent="0.35">
      <c r="A72" s="32">
        <v>44</v>
      </c>
      <c r="B72" s="33">
        <f t="shared" si="1"/>
        <v>5.27</v>
      </c>
      <c r="C72" s="29" t="s">
        <v>39</v>
      </c>
    </row>
    <row r="73" spans="1:3" x14ac:dyDescent="0.35">
      <c r="A73" s="32">
        <v>45</v>
      </c>
      <c r="B73" s="33">
        <v>5.6</v>
      </c>
      <c r="C73" s="29" t="s">
        <v>40</v>
      </c>
    </row>
    <row r="74" spans="1:3" x14ac:dyDescent="0.35">
      <c r="A74" s="32">
        <v>46</v>
      </c>
      <c r="B74" s="33">
        <f t="shared" si="1"/>
        <v>6.0510000000000002</v>
      </c>
      <c r="C74" s="29" t="s">
        <v>39</v>
      </c>
    </row>
    <row r="75" spans="1:3" x14ac:dyDescent="0.35">
      <c r="A75" s="32">
        <v>47</v>
      </c>
      <c r="B75" s="33">
        <f t="shared" si="1"/>
        <v>6.484</v>
      </c>
      <c r="C75" s="29" t="s">
        <v>39</v>
      </c>
    </row>
    <row r="76" spans="1:3" x14ac:dyDescent="0.35">
      <c r="A76" s="32">
        <v>48</v>
      </c>
      <c r="B76" s="33">
        <f t="shared" si="1"/>
        <v>6.9480000000000004</v>
      </c>
      <c r="C76" s="29" t="s">
        <v>39</v>
      </c>
    </row>
    <row r="77" spans="1:3" x14ac:dyDescent="0.35">
      <c r="A77" s="32">
        <v>49</v>
      </c>
      <c r="B77" s="33">
        <f t="shared" si="1"/>
        <v>7.4450000000000003</v>
      </c>
      <c r="C77" s="29" t="s">
        <v>39</v>
      </c>
    </row>
    <row r="78" spans="1:3" x14ac:dyDescent="0.35">
      <c r="A78" s="32">
        <v>50</v>
      </c>
      <c r="B78" s="33">
        <v>7.85</v>
      </c>
      <c r="C78" s="29" t="s">
        <v>40</v>
      </c>
    </row>
    <row r="79" spans="1:3" x14ac:dyDescent="0.35">
      <c r="A79" s="32">
        <v>51</v>
      </c>
      <c r="B79" s="33">
        <f t="shared" si="1"/>
        <v>8.5489999999999995</v>
      </c>
      <c r="C79" s="29" t="s">
        <v>39</v>
      </c>
    </row>
    <row r="80" spans="1:3" x14ac:dyDescent="0.35">
      <c r="A80" s="32">
        <v>52</v>
      </c>
      <c r="B80" s="33">
        <f t="shared" si="1"/>
        <v>9.16</v>
      </c>
      <c r="C80" s="29" t="s">
        <v>39</v>
      </c>
    </row>
    <row r="81" spans="1:3" x14ac:dyDescent="0.35">
      <c r="A81" s="32">
        <v>53</v>
      </c>
      <c r="B81" s="33">
        <f t="shared" si="1"/>
        <v>9.8160000000000007</v>
      </c>
      <c r="C81" s="29" t="s">
        <v>39</v>
      </c>
    </row>
    <row r="82" spans="1:3" x14ac:dyDescent="0.35">
      <c r="A82" s="32">
        <v>54</v>
      </c>
      <c r="B82" s="33">
        <f t="shared" si="1"/>
        <v>10.518000000000001</v>
      </c>
      <c r="C82" s="29" t="s">
        <v>39</v>
      </c>
    </row>
    <row r="83" spans="1:3" x14ac:dyDescent="0.35">
      <c r="A83" s="32">
        <v>55</v>
      </c>
      <c r="B83" s="33">
        <v>11.2</v>
      </c>
      <c r="C83" s="29" t="s">
        <v>40</v>
      </c>
    </row>
    <row r="84" spans="1:3" x14ac:dyDescent="0.35">
      <c r="A84" s="32">
        <v>56</v>
      </c>
      <c r="B84" s="33">
        <f t="shared" si="1"/>
        <v>12.077</v>
      </c>
      <c r="C84" s="29" t="s">
        <v>39</v>
      </c>
    </row>
    <row r="85" spans="1:3" x14ac:dyDescent="0.35">
      <c r="A85" s="32">
        <v>57</v>
      </c>
      <c r="B85" s="33">
        <f t="shared" si="1"/>
        <v>12.941000000000001</v>
      </c>
      <c r="C85" s="29" t="s">
        <v>39</v>
      </c>
    </row>
    <row r="86" spans="1:3" x14ac:dyDescent="0.35">
      <c r="A86" s="32">
        <v>58</v>
      </c>
      <c r="B86" s="33">
        <f t="shared" si="1"/>
        <v>13.866</v>
      </c>
      <c r="C86" s="29" t="s">
        <v>39</v>
      </c>
    </row>
    <row r="87" spans="1:3" x14ac:dyDescent="0.35">
      <c r="A87" s="32">
        <v>59</v>
      </c>
      <c r="B87" s="33">
        <f t="shared" si="1"/>
        <v>14.859</v>
      </c>
      <c r="C87" s="29" t="s">
        <v>39</v>
      </c>
    </row>
    <row r="88" spans="1:3" x14ac:dyDescent="0.35">
      <c r="A88" s="32">
        <v>60</v>
      </c>
      <c r="B88" s="33">
        <v>15.85</v>
      </c>
      <c r="C88" s="29" t="s">
        <v>40</v>
      </c>
    </row>
    <row r="89" spans="1:3" x14ac:dyDescent="0.35">
      <c r="A89" s="32">
        <v>61</v>
      </c>
      <c r="B89" s="33">
        <f t="shared" si="1"/>
        <v>17.061</v>
      </c>
      <c r="C89" s="29" t="s">
        <v>39</v>
      </c>
    </row>
    <row r="90" spans="1:3" x14ac:dyDescent="0.35">
      <c r="A90" s="32">
        <v>62</v>
      </c>
      <c r="B90" s="33">
        <f t="shared" si="1"/>
        <v>18.280999999999999</v>
      </c>
      <c r="C90" s="29" t="s">
        <v>39</v>
      </c>
    </row>
    <row r="91" spans="1:3" x14ac:dyDescent="0.35">
      <c r="A91" s="32">
        <v>63</v>
      </c>
      <c r="B91" s="33">
        <f t="shared" si="1"/>
        <v>19.588999999999999</v>
      </c>
      <c r="C91" s="29" t="s">
        <v>39</v>
      </c>
    </row>
    <row r="92" spans="1:3" x14ac:dyDescent="0.35">
      <c r="A92" s="32">
        <v>64</v>
      </c>
      <c r="B92" s="33">
        <f t="shared" si="1"/>
        <v>20.991</v>
      </c>
      <c r="C92" s="29" t="s">
        <v>39</v>
      </c>
    </row>
    <row r="93" spans="1:3" x14ac:dyDescent="0.35">
      <c r="A93" s="32">
        <v>65</v>
      </c>
      <c r="B93" s="33">
        <v>22.4</v>
      </c>
      <c r="C93" s="29" t="s">
        <v>40</v>
      </c>
    </row>
    <row r="94" spans="1:3" x14ac:dyDescent="0.35">
      <c r="A94" s="32">
        <v>66</v>
      </c>
      <c r="B94" s="33">
        <f t="shared" si="1"/>
        <v>24.100999999999999</v>
      </c>
      <c r="C94" s="29" t="s">
        <v>39</v>
      </c>
    </row>
    <row r="95" spans="1:3" x14ac:dyDescent="0.35">
      <c r="A95" s="32">
        <v>67</v>
      </c>
      <c r="B95" s="33">
        <f t="shared" si="1"/>
        <v>25.826000000000001</v>
      </c>
      <c r="C95" s="29" t="s">
        <v>39</v>
      </c>
    </row>
    <row r="96" spans="1:3" x14ac:dyDescent="0.35">
      <c r="A96" s="32">
        <v>68</v>
      </c>
      <c r="B96" s="33">
        <f t="shared" si="1"/>
        <v>27.672999999999998</v>
      </c>
      <c r="C96" s="29" t="s">
        <v>39</v>
      </c>
    </row>
    <row r="97" spans="1:3" x14ac:dyDescent="0.35">
      <c r="A97" s="32">
        <v>69</v>
      </c>
      <c r="B97" s="33">
        <f t="shared" si="1"/>
        <v>29.652999999999999</v>
      </c>
      <c r="C97" s="29" t="s">
        <v>39</v>
      </c>
    </row>
    <row r="98" spans="1:3" x14ac:dyDescent="0.35">
      <c r="A98" s="32">
        <v>70</v>
      </c>
      <c r="B98" s="33">
        <v>31.75</v>
      </c>
      <c r="C98" s="29" t="s">
        <v>40</v>
      </c>
    </row>
    <row r="99" spans="1:3" x14ac:dyDescent="0.35">
      <c r="A99" s="32">
        <v>71</v>
      </c>
      <c r="B99" s="33">
        <f t="shared" si="1"/>
        <v>34.048000000000002</v>
      </c>
      <c r="C99" s="29" t="s">
        <v>39</v>
      </c>
    </row>
    <row r="100" spans="1:3" x14ac:dyDescent="0.35">
      <c r="A100" s="32">
        <v>72</v>
      </c>
      <c r="B100" s="33">
        <f t="shared" si="1"/>
        <v>36.484000000000002</v>
      </c>
      <c r="C100" s="29" t="s">
        <v>39</v>
      </c>
    </row>
    <row r="101" spans="1:3" x14ac:dyDescent="0.35">
      <c r="A101" s="32">
        <v>73</v>
      </c>
      <c r="B101" s="33">
        <f t="shared" si="1"/>
        <v>39.094000000000001</v>
      </c>
      <c r="C101" s="29" t="s">
        <v>39</v>
      </c>
    </row>
    <row r="102" spans="1:3" x14ac:dyDescent="0.35">
      <c r="A102" s="32">
        <v>74</v>
      </c>
      <c r="B102" s="33">
        <f t="shared" si="1"/>
        <v>41.890999999999998</v>
      </c>
      <c r="C102" s="29" t="s">
        <v>39</v>
      </c>
    </row>
    <row r="103" spans="1:3" x14ac:dyDescent="0.35">
      <c r="A103" s="32">
        <v>75</v>
      </c>
      <c r="B103" s="33">
        <v>44.7</v>
      </c>
      <c r="C103" s="29" t="s">
        <v>40</v>
      </c>
    </row>
    <row r="104" spans="1:3" x14ac:dyDescent="0.35">
      <c r="A104" s="32">
        <v>76</v>
      </c>
      <c r="B104" s="33">
        <f t="shared" si="1"/>
        <v>48.1</v>
      </c>
      <c r="C104" s="29" t="s">
        <v>39</v>
      </c>
    </row>
    <row r="105" spans="1:3" x14ac:dyDescent="0.35">
      <c r="A105" s="32">
        <v>77</v>
      </c>
      <c r="B105" s="33">
        <f t="shared" si="1"/>
        <v>51.540999999999997</v>
      </c>
      <c r="C105" s="29" t="s">
        <v>39</v>
      </c>
    </row>
    <row r="106" spans="1:3" x14ac:dyDescent="0.35">
      <c r="A106" s="32">
        <v>78</v>
      </c>
      <c r="B106" s="33">
        <f t="shared" si="1"/>
        <v>55.228000000000002</v>
      </c>
      <c r="C106" s="29" t="s">
        <v>39</v>
      </c>
    </row>
    <row r="107" spans="1:3" x14ac:dyDescent="0.35">
      <c r="A107" s="32">
        <v>79</v>
      </c>
      <c r="B107" s="33">
        <f t="shared" si="1"/>
        <v>59.179000000000002</v>
      </c>
      <c r="C107" s="29" t="s">
        <v>39</v>
      </c>
    </row>
    <row r="108" spans="1:3" x14ac:dyDescent="0.35">
      <c r="A108" s="32">
        <v>80</v>
      </c>
      <c r="B108" s="33">
        <v>63.5</v>
      </c>
      <c r="C108" s="29" t="s">
        <v>40</v>
      </c>
    </row>
    <row r="109" spans="1:3" x14ac:dyDescent="0.35">
      <c r="A109" s="32">
        <v>81</v>
      </c>
      <c r="B109" s="33">
        <f t="shared" si="1"/>
        <v>67.95</v>
      </c>
      <c r="C109" s="29" t="s">
        <v>39</v>
      </c>
    </row>
    <row r="110" spans="1:3" x14ac:dyDescent="0.35">
      <c r="A110" s="32">
        <v>82</v>
      </c>
      <c r="B110" s="33">
        <f t="shared" si="1"/>
        <v>72.811000000000007</v>
      </c>
      <c r="C110" s="29" t="s">
        <v>39</v>
      </c>
    </row>
    <row r="111" spans="1:3" x14ac:dyDescent="0.35">
      <c r="A111" s="32">
        <v>83</v>
      </c>
      <c r="B111" s="33">
        <f t="shared" si="1"/>
        <v>78.021000000000001</v>
      </c>
      <c r="C111" s="29" t="s">
        <v>39</v>
      </c>
    </row>
    <row r="112" spans="1:3" x14ac:dyDescent="0.35">
      <c r="A112" s="32">
        <v>84</v>
      </c>
      <c r="B112" s="33">
        <f t="shared" si="1"/>
        <v>83.602999999999994</v>
      </c>
      <c r="C112" s="29" t="s">
        <v>39</v>
      </c>
    </row>
    <row r="113" spans="1:3" x14ac:dyDescent="0.35">
      <c r="A113" s="32">
        <v>85</v>
      </c>
      <c r="B113" s="33">
        <v>89.789000000000001</v>
      </c>
      <c r="C113" s="29" t="s">
        <v>40</v>
      </c>
    </row>
    <row r="114" spans="1:3" x14ac:dyDescent="0.35">
      <c r="A114" s="32">
        <v>86</v>
      </c>
      <c r="B114" s="33">
        <f t="shared" si="1"/>
        <v>95.992999999999995</v>
      </c>
      <c r="C114" s="29" t="s">
        <v>39</v>
      </c>
    </row>
    <row r="115" spans="1:3" x14ac:dyDescent="0.35">
      <c r="A115" s="32">
        <v>87</v>
      </c>
      <c r="B115" s="33">
        <f t="shared" si="1"/>
        <v>102.861</v>
      </c>
      <c r="C115" s="29" t="s">
        <v>39</v>
      </c>
    </row>
    <row r="116" spans="1:3" x14ac:dyDescent="0.35">
      <c r="A116" s="32">
        <v>88</v>
      </c>
      <c r="B116" s="33">
        <f t="shared" si="1"/>
        <v>110.21899999999999</v>
      </c>
      <c r="C116" s="29" t="s">
        <v>39</v>
      </c>
    </row>
    <row r="117" spans="1:3" x14ac:dyDescent="0.35">
      <c r="A117" s="32">
        <v>89</v>
      </c>
      <c r="B117" s="33">
        <f t="shared" si="1"/>
        <v>118.105</v>
      </c>
      <c r="C117" s="29" t="s">
        <v>39</v>
      </c>
    </row>
    <row r="118" spans="1:3" x14ac:dyDescent="0.35">
      <c r="A118" s="32">
        <v>90</v>
      </c>
      <c r="B118" s="33">
        <v>127</v>
      </c>
      <c r="C118" s="29" t="s">
        <v>40</v>
      </c>
    </row>
    <row r="119" spans="1:3" x14ac:dyDescent="0.35">
      <c r="A119" s="32">
        <v>91</v>
      </c>
      <c r="B119" s="33">
        <f t="shared" si="1"/>
        <v>135.60900000000001</v>
      </c>
      <c r="C119" s="29" t="s">
        <v>39</v>
      </c>
    </row>
    <row r="120" spans="1:3" x14ac:dyDescent="0.35">
      <c r="A120" s="32">
        <v>92</v>
      </c>
      <c r="B120" s="33">
        <f t="shared" si="1"/>
        <v>145.31100000000001</v>
      </c>
      <c r="C120" s="29" t="s">
        <v>39</v>
      </c>
    </row>
    <row r="121" spans="1:3" x14ac:dyDescent="0.35">
      <c r="A121" s="32">
        <v>93</v>
      </c>
      <c r="B121" s="33">
        <f t="shared" si="1"/>
        <v>155.70699999999999</v>
      </c>
      <c r="C121" s="29" t="s">
        <v>39</v>
      </c>
    </row>
    <row r="122" spans="1:3" x14ac:dyDescent="0.35">
      <c r="A122" s="32">
        <v>94</v>
      </c>
      <c r="B122" s="33">
        <f t="shared" si="1"/>
        <v>166.846</v>
      </c>
      <c r="C122" s="29" t="s">
        <v>39</v>
      </c>
    </row>
    <row r="123" spans="1:3" x14ac:dyDescent="0.35">
      <c r="A123" s="32">
        <v>95</v>
      </c>
      <c r="B123" s="33">
        <v>180</v>
      </c>
      <c r="C123" s="29" t="s">
        <v>40</v>
      </c>
    </row>
    <row r="124" spans="1:3" x14ac:dyDescent="0.35">
      <c r="A124" s="32">
        <v>96</v>
      </c>
      <c r="B124" s="33">
        <f t="shared" si="1"/>
        <v>191.57400000000001</v>
      </c>
      <c r="C124" s="29" t="s">
        <v>39</v>
      </c>
    </row>
    <row r="125" spans="1:3" x14ac:dyDescent="0.35">
      <c r="A125" s="32">
        <v>97</v>
      </c>
      <c r="B125" s="33">
        <f t="shared" si="1"/>
        <v>205.28</v>
      </c>
      <c r="C125" s="29" t="s">
        <v>39</v>
      </c>
    </row>
    <row r="126" spans="1:3" x14ac:dyDescent="0.35">
      <c r="A126" s="32">
        <v>98</v>
      </c>
      <c r="B126" s="33">
        <f t="shared" si="1"/>
        <v>219.96600000000001</v>
      </c>
      <c r="C126" s="29" t="s">
        <v>39</v>
      </c>
    </row>
    <row r="127" spans="1:3" x14ac:dyDescent="0.35">
      <c r="A127" s="32">
        <v>99</v>
      </c>
      <c r="B127" s="33">
        <f t="shared" si="1"/>
        <v>235.703</v>
      </c>
      <c r="C127" s="29" t="s">
        <v>39</v>
      </c>
    </row>
    <row r="128" spans="1:3" x14ac:dyDescent="0.35">
      <c r="A128" s="32">
        <v>100</v>
      </c>
      <c r="B128" s="33">
        <v>245</v>
      </c>
      <c r="C128" s="29" t="s">
        <v>40</v>
      </c>
    </row>
    <row r="129" spans="1:3" x14ac:dyDescent="0.35">
      <c r="A129" s="32">
        <v>101</v>
      </c>
      <c r="B129" s="33">
        <f t="shared" si="1"/>
        <v>270.63600000000002</v>
      </c>
      <c r="C129" s="29" t="s">
        <v>39</v>
      </c>
    </row>
    <row r="130" spans="1:3" x14ac:dyDescent="0.35">
      <c r="A130" s="32">
        <v>102</v>
      </c>
      <c r="B130" s="33">
        <f t="shared" si="1"/>
        <v>289.99799999999999</v>
      </c>
      <c r="C130" s="29" t="s">
        <v>39</v>
      </c>
    </row>
    <row r="131" spans="1:3" x14ac:dyDescent="0.35">
      <c r="A131" s="32">
        <v>103</v>
      </c>
      <c r="B131" s="33">
        <f t="shared" si="1"/>
        <v>310.745</v>
      </c>
      <c r="C131" s="29" t="s">
        <v>39</v>
      </c>
    </row>
    <row r="132" spans="1:3" x14ac:dyDescent="0.35">
      <c r="A132" s="32">
        <v>104</v>
      </c>
      <c r="B132" s="33">
        <f t="shared" si="1"/>
        <v>332.97699999999998</v>
      </c>
      <c r="C132" s="29" t="s">
        <v>39</v>
      </c>
    </row>
    <row r="133" spans="1:3" x14ac:dyDescent="0.35">
      <c r="A133" s="32">
        <v>105</v>
      </c>
      <c r="B133" s="33">
        <v>359.15</v>
      </c>
      <c r="C133" s="29" t="s">
        <v>40</v>
      </c>
    </row>
    <row r="134" spans="1:3" x14ac:dyDescent="0.35">
      <c r="A134" s="32">
        <v>106</v>
      </c>
      <c r="B134" s="33">
        <f t="shared" ref="B134:B137" si="2">ROUND(0.252*EXP(0.0691*A134),3)</f>
        <v>382.32600000000002</v>
      </c>
      <c r="C134" s="29" t="s">
        <v>39</v>
      </c>
    </row>
    <row r="135" spans="1:3" x14ac:dyDescent="0.35">
      <c r="A135" s="32">
        <v>107</v>
      </c>
      <c r="B135" s="33">
        <f t="shared" si="2"/>
        <v>409.67899999999997</v>
      </c>
      <c r="C135" s="29" t="s">
        <v>39</v>
      </c>
    </row>
    <row r="136" spans="1:3" x14ac:dyDescent="0.35">
      <c r="A136" s="32">
        <v>108</v>
      </c>
      <c r="B136" s="33">
        <f t="shared" si="2"/>
        <v>438.98899999999998</v>
      </c>
      <c r="C136" s="29" t="s">
        <v>39</v>
      </c>
    </row>
    <row r="137" spans="1:3" x14ac:dyDescent="0.35">
      <c r="A137" s="32">
        <v>109</v>
      </c>
      <c r="B137" s="33">
        <f t="shared" si="2"/>
        <v>470.39499999999998</v>
      </c>
      <c r="C137" s="29" t="s">
        <v>39</v>
      </c>
    </row>
    <row r="138" spans="1:3" x14ac:dyDescent="0.35">
      <c r="A138" s="32">
        <v>110</v>
      </c>
      <c r="B138" s="33">
        <v>509</v>
      </c>
      <c r="C138" s="29" t="s">
        <v>40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 Sheet</vt:lpstr>
      <vt:lpstr>TCF</vt:lpstr>
      <vt:lpstr>'Test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Rodgers</dc:creator>
  <cp:lastModifiedBy>Ryan Marthaler</cp:lastModifiedBy>
  <cp:lastPrinted>2024-12-03T21:22:19Z</cp:lastPrinted>
  <dcterms:created xsi:type="dcterms:W3CDTF">2009-06-02T15:38:13Z</dcterms:created>
  <dcterms:modified xsi:type="dcterms:W3CDTF">2026-01-05T16:10:18Z</dcterms:modified>
</cp:coreProperties>
</file>
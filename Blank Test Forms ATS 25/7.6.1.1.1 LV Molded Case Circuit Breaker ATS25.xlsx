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124226"/>
  <mc:AlternateContent xmlns:mc="http://schemas.openxmlformats.org/markup-compatibility/2006">
    <mc:Choice Requires="x15">
      <x15ac:absPath xmlns:x15ac="http://schemas.microsoft.com/office/spreadsheetml/2010/11/ac" url="G:\Shared drives\AMP ALL\Client Files\04. Blank Test Reports\Blank Test Forms ATS 25\"/>
    </mc:Choice>
  </mc:AlternateContent>
  <xr:revisionPtr revIDLastSave="0" documentId="13_ncr:1_{EC77A912-D2CC-4117-896B-B90ECCD0C144}" xr6:coauthVersionLast="47" xr6:coauthVersionMax="47" xr10:uidLastSave="{00000000-0000-0000-0000-000000000000}"/>
  <bookViews>
    <workbookView xWindow="-51720" yWindow="-14010" windowWidth="51840" windowHeight="21120" xr2:uid="{00000000-000D-0000-FFFF-FFFF00000000}"/>
  </bookViews>
  <sheets>
    <sheet name="Test Sheet" sheetId="1" r:id="rId1"/>
  </sheets>
  <definedNames>
    <definedName name="_xlnm.Print_Area" localSheetId="0">'Test Sheet'!$A$1:$AM$114</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J70" i="1" l="1"/>
  <c r="AJ71" i="1"/>
  <c r="AJ72" i="1"/>
  <c r="AJ73" i="1"/>
  <c r="AJ74" i="1"/>
  <c r="AJ75" i="1"/>
  <c r="AJ76" i="1"/>
  <c r="AJ69" i="1"/>
  <c r="L73" i="1"/>
  <c r="M63" i="1"/>
  <c r="M62" i="1"/>
  <c r="Z34" i="1"/>
  <c r="Z33" i="1"/>
  <c r="L34" i="1"/>
  <c r="L33" i="1"/>
  <c r="B70" i="1"/>
  <c r="B69" i="1"/>
  <c r="L76" i="1"/>
  <c r="O76" i="1" s="1"/>
  <c r="L70" i="1"/>
  <c r="L72" i="1"/>
  <c r="O72" i="1" s="1"/>
  <c r="L74" i="1"/>
  <c r="R74" i="1" s="1"/>
  <c r="AE53" i="1"/>
  <c r="AE54" i="1"/>
  <c r="AE52" i="1"/>
  <c r="R76" i="1" l="1"/>
  <c r="O74" i="1"/>
  <c r="R72" i="1"/>
  <c r="O70" i="1"/>
  <c r="R70" i="1" s="1"/>
  <c r="AJ47" i="1"/>
  <c r="Q43" i="1"/>
  <c r="Z42" i="1" s="1"/>
  <c r="Y54" i="1"/>
  <c r="Y53" i="1"/>
  <c r="Y52" i="1"/>
  <c r="V54" i="1"/>
  <c r="V53" i="1"/>
  <c r="V52" i="1"/>
  <c r="S53" i="1"/>
  <c r="S54" i="1"/>
  <c r="S52" i="1"/>
  <c r="AA48" i="1"/>
  <c r="AG53" i="1"/>
  <c r="AG54" i="1"/>
  <c r="AG52" i="1"/>
  <c r="Q5" i="1"/>
  <c r="U52" i="1"/>
  <c r="X52" i="1"/>
  <c r="U53" i="1"/>
  <c r="X53" i="1"/>
  <c r="U54" i="1"/>
  <c r="X54" i="1"/>
  <c r="R52" i="1"/>
  <c r="R54" i="1"/>
  <c r="R53" i="1"/>
  <c r="X74" i="1"/>
  <c r="AH74" i="1"/>
  <c r="AC74" i="1"/>
  <c r="L75" i="1"/>
  <c r="L71" i="1"/>
  <c r="L69" i="1"/>
  <c r="AJ54" i="1" l="1"/>
  <c r="AJ52" i="1"/>
  <c r="AJ53" i="1"/>
</calcChain>
</file>

<file path=xl/sharedStrings.xml><?xml version="1.0" encoding="utf-8"?>
<sst xmlns="http://schemas.openxmlformats.org/spreadsheetml/2006/main" count="226" uniqueCount="168">
  <si>
    <t>Customer</t>
  </si>
  <si>
    <t>Address</t>
  </si>
  <si>
    <t>Technicians</t>
  </si>
  <si>
    <t>User</t>
  </si>
  <si>
    <t>Date</t>
  </si>
  <si>
    <t>Temp.</t>
  </si>
  <si>
    <t>°C</t>
  </si>
  <si>
    <t>Humidity</t>
  </si>
  <si>
    <t>%</t>
  </si>
  <si>
    <t>Manufacturer</t>
  </si>
  <si>
    <t>Comments:</t>
  </si>
  <si>
    <t>Job #</t>
  </si>
  <si>
    <t>°F</t>
  </si>
  <si>
    <t>Visual and Mechanical Inspection</t>
  </si>
  <si>
    <t>PASS</t>
  </si>
  <si>
    <t>Units</t>
  </si>
  <si>
    <t>MΩ</t>
  </si>
  <si>
    <t>Substation</t>
  </si>
  <si>
    <t>Test Equipment Used</t>
  </si>
  <si>
    <t>AMP ID:</t>
  </si>
  <si>
    <t>Megohmmeter:</t>
  </si>
  <si>
    <t>Serial Number:</t>
  </si>
  <si>
    <t>Results</t>
  </si>
  <si>
    <t>NETA Section</t>
  </si>
  <si>
    <t>Catalog Number</t>
  </si>
  <si>
    <t>Serial Number</t>
  </si>
  <si>
    <t>I.C. Rating (kA)</t>
  </si>
  <si>
    <t>Nameplate Data</t>
  </si>
  <si>
    <t>Inspect physical and mechanical condition.</t>
  </si>
  <si>
    <t>Verify the unit is clean.</t>
  </si>
  <si>
    <t>Electrical Tests - Contact/Pole Resistance</t>
  </si>
  <si>
    <t>Electrical Tests - Insulation Resistance</t>
  </si>
  <si>
    <t>Pole to Pole</t>
  </si>
  <si>
    <t>Closed</t>
  </si>
  <si>
    <t>Pole to Frame</t>
  </si>
  <si>
    <t>Line to Load</t>
  </si>
  <si>
    <t>Open</t>
  </si>
  <si>
    <t>Tolerance</t>
  </si>
  <si>
    <t>Frame Size (A)</t>
  </si>
  <si>
    <t>Trip Unit Type</t>
  </si>
  <si>
    <t>Rating Plug (A)</t>
  </si>
  <si>
    <t>Curve No.</t>
  </si>
  <si>
    <t>Operation</t>
  </si>
  <si>
    <t>Mounting</t>
  </si>
  <si>
    <t>Zone Interlock</t>
  </si>
  <si>
    <t>Thermal Memory</t>
  </si>
  <si>
    <t>Device Settings</t>
  </si>
  <si>
    <t>Settings As Found</t>
  </si>
  <si>
    <t>Setting</t>
  </si>
  <si>
    <t>Delay</t>
  </si>
  <si>
    <r>
      <t>I</t>
    </r>
    <r>
      <rPr>
        <vertAlign val="superscript"/>
        <sz val="10"/>
        <color theme="1"/>
        <rFont val="Calibri"/>
        <family val="2"/>
        <scheme val="minor"/>
      </rPr>
      <t>2</t>
    </r>
    <r>
      <rPr>
        <sz val="10"/>
        <color theme="1"/>
        <rFont val="Calibri"/>
        <family val="2"/>
        <scheme val="minor"/>
      </rPr>
      <t>t</t>
    </r>
  </si>
  <si>
    <t>Instantaneous</t>
  </si>
  <si>
    <t>Tested Settings</t>
  </si>
  <si>
    <t>Function</t>
  </si>
  <si>
    <t>Multiplier %</t>
  </si>
  <si>
    <t>Test Amperes</t>
  </si>
  <si>
    <t>Pole 1</t>
  </si>
  <si>
    <t>Pole 2</t>
  </si>
  <si>
    <t>Pole 3</t>
  </si>
  <si>
    <t>Min</t>
  </si>
  <si>
    <t>Max</t>
  </si>
  <si>
    <t>sec.</t>
  </si>
  <si>
    <t>A</t>
  </si>
  <si>
    <t>Primary Injection Test Set:</t>
  </si>
  <si>
    <t>Ground Fault</t>
  </si>
  <si>
    <t>Settings As Left</t>
  </si>
  <si>
    <t>P1 (P1-P2)</t>
  </si>
  <si>
    <t>Measured Values</t>
  </si>
  <si>
    <t>Temperature Corrected</t>
  </si>
  <si>
    <t>P2 (P2-P3)</t>
  </si>
  <si>
    <t>P3 (P3-P1)</t>
  </si>
  <si>
    <t>Coordination Study</t>
  </si>
  <si>
    <t>No./ID.</t>
  </si>
  <si>
    <t>Rev.</t>
  </si>
  <si>
    <t>Measured</t>
  </si>
  <si>
    <t>Criteria</t>
  </si>
  <si>
    <t>Result</t>
  </si>
  <si>
    <t>&lt;50%</t>
  </si>
  <si>
    <t>Resistance Measurements</t>
  </si>
  <si>
    <t>µΩ</t>
  </si>
  <si>
    <t>Value Deviation</t>
  </si>
  <si>
    <t>Breaker Position</t>
  </si>
  <si>
    <t>Test Points</t>
  </si>
  <si>
    <t>Value</t>
  </si>
  <si>
    <t>Compare equipment nameplate data with drawings.</t>
  </si>
  <si>
    <t>Operate the circuit breaker to ensure smooth operation.</t>
  </si>
  <si>
    <t>Verify tightness of accessible bolted electrical connections by calibrated torque-wrench method. Torque values shall be in accordance with manufacturer’s published data. In the absence of manufacturer’s data, use Table 100.12.</t>
  </si>
  <si>
    <t>Perform adjustments for final protective device settings in accordance with the coordination study.</t>
  </si>
  <si>
    <t>*Perform thermographic survey in accordance with Section 9.</t>
  </si>
  <si>
    <t>Trip Type:</t>
  </si>
  <si>
    <t>Breaker Type</t>
  </si>
  <si>
    <t>7.6.1.1.1.A.1</t>
  </si>
  <si>
    <t>7.6.1.1.1.A.2</t>
  </si>
  <si>
    <t>7.6.1.1.1.A.3</t>
  </si>
  <si>
    <t>7.6.1.1.1.A.4</t>
  </si>
  <si>
    <t>7.6.1.1.1.A.5</t>
  </si>
  <si>
    <t>7.6.1.1.1.A.6</t>
  </si>
  <si>
    <t>7.6.1.1.1.A.7</t>
  </si>
  <si>
    <t>Circuit / Cell No.</t>
  </si>
  <si>
    <t>Breaker Identifier</t>
  </si>
  <si>
    <t>Eqpt. Identifer</t>
  </si>
  <si>
    <t>Temperature Correction Factor:</t>
  </si>
  <si>
    <t>Insulation Temperature (°F):</t>
  </si>
  <si>
    <t>Test Duration:</t>
  </si>
  <si>
    <t>1 min</t>
  </si>
  <si>
    <t>Rated Voltage (V)</t>
  </si>
  <si>
    <t>Operating Voltage (V)</t>
  </si>
  <si>
    <t>Test Voltage (V):</t>
  </si>
  <si>
    <t>&gt;</t>
  </si>
  <si>
    <t>Table 100.1 Criteria</t>
  </si>
  <si>
    <t>≥</t>
  </si>
  <si>
    <t>Electrical Tests - Current Sensing</t>
  </si>
  <si>
    <t>Test Type</t>
  </si>
  <si>
    <t>LSIG</t>
  </si>
  <si>
    <t>STPU</t>
  </si>
  <si>
    <t>STD</t>
  </si>
  <si>
    <t>GFPU</t>
  </si>
  <si>
    <t>GFD</t>
  </si>
  <si>
    <t>Setting Amperes</t>
  </si>
  <si>
    <t>INST-D</t>
  </si>
  <si>
    <t>INST-PU</t>
  </si>
  <si>
    <t>LSI</t>
  </si>
  <si>
    <t>TMF</t>
  </si>
  <si>
    <t>Trip Type Legend:</t>
  </si>
  <si>
    <t>TMD</t>
  </si>
  <si>
    <t>TMA</t>
  </si>
  <si>
    <t>TF</t>
  </si>
  <si>
    <t>MF</t>
  </si>
  <si>
    <t>TA</t>
  </si>
  <si>
    <t>LI</t>
  </si>
  <si>
    <t>LIG</t>
  </si>
  <si>
    <t>LS</t>
  </si>
  <si>
    <t>LSG</t>
  </si>
  <si>
    <t>G</t>
  </si>
  <si>
    <t>MA</t>
  </si>
  <si>
    <t>Long-Time, Instantaneous</t>
  </si>
  <si>
    <t>Long Time, Short Time</t>
  </si>
  <si>
    <t>Fixed Magnetic</t>
  </si>
  <si>
    <t>Adjustable Magnetic</t>
  </si>
  <si>
    <t>Adjustable Thermal</t>
  </si>
  <si>
    <t>Fixed Thermal</t>
  </si>
  <si>
    <t>Fixed Thermal, Fixed Magnetic</t>
  </si>
  <si>
    <t>AdjustableThermal, Fixed Magnetic</t>
  </si>
  <si>
    <t>Fixed Thermal, Adjustable Magnetic</t>
  </si>
  <si>
    <t>Long Time, Short Time, Ground Fault</t>
  </si>
  <si>
    <t xml:space="preserve">Long Time, Short Time, </t>
  </si>
  <si>
    <t>Long Time, Instantaneous, Ground Fault</t>
  </si>
  <si>
    <t>Long Time, Short Time, Instantaneous, Ground Fault</t>
  </si>
  <si>
    <t>Function Legend:</t>
  </si>
  <si>
    <t>Long Time Delay</t>
  </si>
  <si>
    <t>Long Time Pick-up</t>
  </si>
  <si>
    <t>Short Time Delay</t>
  </si>
  <si>
    <t>Short Time Pick-up</t>
  </si>
  <si>
    <t>Instantaneous Delay</t>
  </si>
  <si>
    <t>Instantaneous Pick-up</t>
  </si>
  <si>
    <t>Ground Fault Delay</t>
  </si>
  <si>
    <t>Ground Fault Pick-up</t>
  </si>
  <si>
    <t>Thermal</t>
  </si>
  <si>
    <t>Magnetic</t>
  </si>
  <si>
    <t xml:space="preserve">Overload protection element </t>
  </si>
  <si>
    <t>Short circuit protection element</t>
  </si>
  <si>
    <t>Over-Center Handle</t>
  </si>
  <si>
    <t>Digital Low-Resistance Ohmmeter:</t>
  </si>
  <si>
    <t>LTPU Indicator?</t>
  </si>
  <si>
    <t>Yes</t>
  </si>
  <si>
    <t>LTD</t>
  </si>
  <si>
    <t>LTPU</t>
  </si>
  <si>
    <t>Secondary Injection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</si>
</sst>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x14ac:knownFonts="1">
    <font>
      <sz val="11"/>
      <color theme="1"/>
      <name val="Calibri"/>
      <family val="2"/>
      <scheme val="minor"/>
    </font>
    <font>
      <b/>
      <sz val="11"/>
      <color theme="1"/>
      <name val="Calibri"/>
      <family val="2"/>
      <scheme val="minor"/>
    </font>
    <font>
      <sz val="8"/>
      <name val="Calibri"/>
      <family val="2"/>
      <scheme val="minor"/>
    </font>
    <font>
      <sz val="10"/>
      <color theme="1"/>
      <name val="Calibri"/>
      <family val="2"/>
      <scheme val="minor"/>
    </font>
    <font>
      <b/>
      <sz val="10"/>
      <color theme="1"/>
      <name val="Calibri"/>
      <family val="2"/>
      <scheme val="minor"/>
    </font>
    <font>
      <sz val="9"/>
      <color theme="1"/>
      <name val="Calibri"/>
      <family val="2"/>
      <scheme val="minor"/>
    </font>
    <font>
      <b/>
      <u/>
      <sz val="10"/>
      <color theme="1"/>
      <name val="Calibri"/>
      <family val="2"/>
      <scheme val="minor"/>
    </font>
    <font>
      <b/>
      <sz val="9"/>
      <color theme="1"/>
      <name val="Calibri"/>
      <family val="2"/>
      <scheme val="minor"/>
    </font>
    <font>
      <b/>
      <u/>
      <sz val="10"/>
      <color rgb="FF351D13"/>
      <name val="Calibri"/>
      <family val="2"/>
      <scheme val="minor"/>
    </font>
    <font>
      <b/>
      <sz val="10"/>
      <color rgb="FF663300"/>
      <name val="Calibri"/>
      <family val="2"/>
      <scheme val="minor"/>
    </font>
    <font>
      <vertAlign val="superscript"/>
      <sz val="10"/>
      <color theme="1"/>
      <name val="Calibri"/>
      <family val="2"/>
      <scheme val="minor"/>
    </font>
    <font>
      <sz val="9"/>
      <color theme="1"/>
      <name val="Calibri"/>
      <family val="2"/>
    </font>
    <font>
      <sz val="11"/>
      <name val="Calibri"/>
      <family val="2"/>
    </font>
    <font>
      <sz val="10"/>
      <color theme="1"/>
      <name val="Calibri"/>
      <family val="2"/>
    </font>
    <font>
      <sz val="8"/>
      <color theme="1"/>
      <name val="Calibri"/>
      <family val="2"/>
      <scheme val="minor"/>
    </font>
    <font>
      <b/>
      <u/>
      <sz val="9"/>
      <color rgb="FF351D13"/>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bgColor theme="0"/>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theme="1"/>
      </bottom>
      <diagonal/>
    </border>
    <border>
      <left/>
      <right/>
      <top style="thin">
        <color theme="1"/>
      </top>
      <bottom style="thin">
        <color theme="1"/>
      </bottom>
      <diagonal/>
    </border>
    <border>
      <left/>
      <right/>
      <top style="thin">
        <color indexed="64"/>
      </top>
      <bottom style="thin">
        <color theme="1"/>
      </bottom>
      <diagonal/>
    </border>
    <border>
      <left/>
      <right/>
      <top style="thin">
        <color indexed="64"/>
      </top>
      <bottom/>
      <diagonal/>
    </border>
    <border>
      <left/>
      <right/>
      <top/>
      <bottom style="medium">
        <color rgb="FFDAB56C"/>
      </bottom>
      <diagonal/>
    </border>
    <border>
      <left/>
      <right/>
      <top style="medium">
        <color rgb="FFDAB56C"/>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right/>
      <top/>
      <bottom style="thin">
        <color rgb="FF000000"/>
      </bottom>
      <diagonal/>
    </border>
    <border>
      <left style="thin">
        <color indexed="64"/>
      </left>
      <right/>
      <top/>
      <bottom/>
      <diagonal/>
    </border>
  </borders>
  <cellStyleXfs count="1">
    <xf numFmtId="0" fontId="0" fillId="0" borderId="0"/>
  </cellStyleXfs>
  <cellXfs count="185">
    <xf numFmtId="0" fontId="0" fillId="0" borderId="0" xfId="0"/>
    <xf numFmtId="49" fontId="5" fillId="2" borderId="8" xfId="0" applyNumberFormat="1" applyFont="1" applyFill="1" applyBorder="1" applyAlignment="1" applyProtection="1">
      <alignment horizontal="center" vertical="center"/>
      <protection locked="0"/>
    </xf>
    <xf numFmtId="0" fontId="3" fillId="0" borderId="0" xfId="0" applyFont="1" applyAlignment="1">
      <alignment vertical="center"/>
    </xf>
    <xf numFmtId="0" fontId="5" fillId="2" borderId="0" xfId="0" applyFont="1" applyFill="1" applyAlignment="1">
      <alignment vertical="center"/>
    </xf>
    <xf numFmtId="0" fontId="7" fillId="2" borderId="0" xfId="0" applyFont="1" applyFill="1" applyAlignment="1">
      <alignment vertical="center"/>
    </xf>
    <xf numFmtId="0" fontId="5" fillId="2" borderId="8" xfId="0" applyFont="1" applyFill="1" applyBorder="1" applyAlignment="1">
      <alignment horizontal="center" vertical="center"/>
    </xf>
    <xf numFmtId="0" fontId="3" fillId="2" borderId="10" xfId="0" applyFont="1" applyFill="1" applyBorder="1" applyAlignment="1">
      <alignment vertical="center"/>
    </xf>
    <xf numFmtId="0" fontId="8" fillId="2" borderId="0" xfId="0" applyFont="1" applyFill="1" applyAlignment="1">
      <alignment vertical="center"/>
    </xf>
    <xf numFmtId="0" fontId="9" fillId="2" borderId="0" xfId="0" applyFont="1" applyFill="1" applyAlignment="1">
      <alignment vertical="center"/>
    </xf>
    <xf numFmtId="0" fontId="4" fillId="2" borderId="0" xfId="0" applyFont="1" applyFill="1" applyAlignment="1">
      <alignment vertical="center"/>
    </xf>
    <xf numFmtId="0" fontId="3" fillId="2" borderId="0" xfId="0" applyFont="1" applyFill="1" applyAlignment="1">
      <alignment horizontal="center" vertical="center"/>
    </xf>
    <xf numFmtId="0" fontId="3" fillId="2" borderId="0" xfId="0" applyFont="1" applyFill="1" applyAlignment="1">
      <alignment vertical="center"/>
    </xf>
    <xf numFmtId="49" fontId="3" fillId="2" borderId="0" xfId="0" applyNumberFormat="1" applyFont="1" applyFill="1" applyAlignment="1">
      <alignment horizontal="center" vertical="center"/>
    </xf>
    <xf numFmtId="0" fontId="4" fillId="2" borderId="0" xfId="0" applyFont="1" applyFill="1" applyAlignment="1">
      <alignment horizontal="left" vertical="center"/>
    </xf>
    <xf numFmtId="0" fontId="6" fillId="2" borderId="0" xfId="0" applyFont="1" applyFill="1" applyAlignment="1">
      <alignment vertical="center"/>
    </xf>
    <xf numFmtId="0" fontId="3" fillId="2" borderId="0" xfId="0" applyFont="1" applyFill="1" applyAlignment="1">
      <alignment horizontal="left" vertical="center"/>
    </xf>
    <xf numFmtId="0" fontId="3" fillId="2" borderId="0" xfId="0" applyFont="1" applyFill="1" applyAlignment="1">
      <alignment horizontal="right" vertical="center"/>
    </xf>
    <xf numFmtId="0" fontId="3" fillId="0" borderId="10" xfId="0" applyFont="1" applyBorder="1" applyAlignment="1">
      <alignment vertical="center"/>
    </xf>
    <xf numFmtId="0" fontId="3" fillId="2" borderId="10" xfId="0" applyFont="1" applyFill="1" applyBorder="1" applyAlignment="1">
      <alignment horizontal="left" vertical="center"/>
    </xf>
    <xf numFmtId="0" fontId="5" fillId="2" borderId="10" xfId="0" applyFont="1" applyFill="1" applyBorder="1" applyAlignment="1">
      <alignment horizontal="left" vertical="center" wrapText="1"/>
    </xf>
    <xf numFmtId="0" fontId="5" fillId="2" borderId="10" xfId="0" applyFont="1" applyFill="1" applyBorder="1" applyAlignment="1">
      <alignment vertical="center"/>
    </xf>
    <xf numFmtId="0" fontId="3" fillId="0" borderId="0" xfId="0" applyFont="1" applyAlignment="1">
      <alignment horizontal="center" vertical="center"/>
    </xf>
    <xf numFmtId="0" fontId="3" fillId="2" borderId="0" xfId="0" applyFont="1" applyFill="1" applyAlignment="1">
      <alignment vertical="center" wrapText="1"/>
    </xf>
    <xf numFmtId="0" fontId="3" fillId="2" borderId="10" xfId="0" applyFont="1" applyFill="1" applyBorder="1" applyAlignment="1">
      <alignment horizontal="center" vertical="center"/>
    </xf>
    <xf numFmtId="0" fontId="8" fillId="2" borderId="11" xfId="0" applyFont="1" applyFill="1" applyBorder="1" applyAlignment="1">
      <alignment vertical="center"/>
    </xf>
    <xf numFmtId="0" fontId="4" fillId="2" borderId="11" xfId="0" applyFont="1" applyFill="1" applyBorder="1" applyAlignment="1">
      <alignment vertical="center"/>
    </xf>
    <xf numFmtId="0" fontId="3" fillId="2" borderId="11" xfId="0" applyFont="1" applyFill="1" applyBorder="1" applyAlignment="1">
      <alignment vertical="center"/>
    </xf>
    <xf numFmtId="49" fontId="3" fillId="0" borderId="0" xfId="0" applyNumberFormat="1" applyFont="1" applyAlignment="1">
      <alignment vertical="center"/>
    </xf>
    <xf numFmtId="0" fontId="3" fillId="2" borderId="0" xfId="0" applyFont="1" applyFill="1" applyAlignment="1">
      <alignment horizontal="right" vertical="center" wrapText="1"/>
    </xf>
    <xf numFmtId="49" fontId="3" fillId="2" borderId="0" xfId="0" applyNumberFormat="1" applyFont="1" applyFill="1" applyAlignment="1">
      <alignment horizontal="center"/>
    </xf>
    <xf numFmtId="0" fontId="5" fillId="0" borderId="0" xfId="0" applyFont="1" applyAlignment="1">
      <alignment vertical="center"/>
    </xf>
    <xf numFmtId="49" fontId="5" fillId="2" borderId="3" xfId="0" applyNumberFormat="1" applyFont="1" applyFill="1" applyBorder="1" applyAlignment="1" applyProtection="1">
      <alignment horizontal="right" vertical="center"/>
      <protection locked="0"/>
    </xf>
    <xf numFmtId="164" fontId="5" fillId="2" borderId="3" xfId="0" applyNumberFormat="1" applyFont="1" applyFill="1" applyBorder="1" applyAlignment="1">
      <alignment horizontal="right" vertical="center"/>
    </xf>
    <xf numFmtId="164" fontId="5" fillId="2" borderId="14" xfId="0" applyNumberFormat="1" applyFont="1" applyFill="1" applyBorder="1" applyAlignment="1">
      <alignment horizontal="right" vertical="center"/>
    </xf>
    <xf numFmtId="0" fontId="5" fillId="2" borderId="1" xfId="0" applyFont="1" applyFill="1" applyBorder="1" applyAlignment="1">
      <alignment vertical="center"/>
    </xf>
    <xf numFmtId="0" fontId="5" fillId="2" borderId="0" xfId="0" applyFont="1" applyFill="1" applyAlignment="1">
      <alignment horizontal="left" vertical="center"/>
    </xf>
    <xf numFmtId="0" fontId="5" fillId="0" borderId="3" xfId="0" applyFont="1" applyBorder="1" applyAlignment="1">
      <alignment horizontal="right" vertical="center"/>
    </xf>
    <xf numFmtId="0" fontId="5" fillId="2" borderId="0" xfId="0" applyFont="1" applyFill="1" applyAlignment="1">
      <alignment horizontal="center" vertical="center"/>
    </xf>
    <xf numFmtId="0" fontId="3" fillId="0" borderId="22" xfId="0" applyFont="1" applyBorder="1" applyAlignment="1">
      <alignment vertical="center"/>
    </xf>
    <xf numFmtId="0" fontId="15" fillId="2" borderId="0" xfId="0" applyFont="1" applyFill="1" applyAlignment="1">
      <alignment vertical="center"/>
    </xf>
    <xf numFmtId="49" fontId="5" fillId="0" borderId="0" xfId="0" applyNumberFormat="1" applyFont="1" applyAlignment="1">
      <alignment horizontal="left" vertical="center" wrapText="1"/>
    </xf>
    <xf numFmtId="49" fontId="3" fillId="0" borderId="0" xfId="0" applyNumberFormat="1" applyFont="1" applyAlignment="1">
      <alignment horizontal="left" vertical="top" wrapText="1"/>
    </xf>
    <xf numFmtId="49" fontId="5" fillId="2" borderId="0" xfId="0" applyNumberFormat="1" applyFont="1" applyFill="1" applyAlignment="1">
      <alignment vertical="center"/>
    </xf>
    <xf numFmtId="0" fontId="3" fillId="0" borderId="0" xfId="0" applyFont="1" applyAlignment="1">
      <alignment horizontal="center"/>
    </xf>
    <xf numFmtId="0" fontId="13" fillId="4" borderId="0" xfId="0" applyFont="1" applyFill="1" applyAlignment="1">
      <alignment horizontal="center" vertical="center"/>
    </xf>
    <xf numFmtId="10" fontId="13" fillId="4" borderId="0" xfId="0" applyNumberFormat="1" applyFont="1" applyFill="1" applyAlignment="1">
      <alignment horizontal="center" vertical="center"/>
    </xf>
    <xf numFmtId="0" fontId="3" fillId="2" borderId="0" xfId="0" applyFont="1" applyFill="1" applyAlignment="1">
      <alignment horizontal="center" vertical="center" wrapText="1"/>
    </xf>
    <xf numFmtId="0" fontId="5" fillId="2" borderId="0" xfId="0" applyFont="1" applyFill="1" applyAlignment="1">
      <alignment vertical="center" wrapText="1"/>
    </xf>
    <xf numFmtId="0" fontId="11" fillId="4" borderId="0" xfId="0" applyFont="1" applyFill="1" applyAlignment="1">
      <alignment horizontal="center" vertical="center"/>
    </xf>
    <xf numFmtId="0" fontId="12" fillId="0" borderId="0" xfId="0" applyFont="1" applyAlignment="1">
      <alignment horizontal="center" vertical="center"/>
    </xf>
    <xf numFmtId="0" fontId="5" fillId="0" borderId="3" xfId="0" applyFont="1" applyBorder="1" applyAlignment="1">
      <alignment vertical="center"/>
    </xf>
    <xf numFmtId="0" fontId="5" fillId="0" borderId="2" xfId="0" applyFont="1" applyBorder="1" applyAlignment="1">
      <alignment vertical="center"/>
    </xf>
    <xf numFmtId="0" fontId="5" fillId="0" borderId="4" xfId="0" applyFont="1" applyBorder="1" applyAlignment="1">
      <alignment vertical="center"/>
    </xf>
    <xf numFmtId="0" fontId="5" fillId="0" borderId="3" xfId="0" applyFont="1" applyBorder="1" applyAlignment="1">
      <alignment horizontal="center" vertical="center" wrapText="1"/>
    </xf>
    <xf numFmtId="0" fontId="5" fillId="0" borderId="2"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5" fillId="2" borderId="3" xfId="0" applyFont="1" applyFill="1" applyBorder="1" applyAlignment="1">
      <alignment vertical="center"/>
    </xf>
    <xf numFmtId="0" fontId="5" fillId="2" borderId="2" xfId="0" applyFont="1" applyFill="1" applyBorder="1" applyAlignment="1">
      <alignment vertical="center"/>
    </xf>
    <xf numFmtId="0" fontId="5" fillId="2" borderId="4" xfId="0" applyFont="1" applyFill="1" applyBorder="1" applyAlignment="1">
      <alignment vertical="center"/>
    </xf>
    <xf numFmtId="49" fontId="5" fillId="0" borderId="3" xfId="0" applyNumberFormat="1" applyFont="1" applyBorder="1" applyAlignment="1">
      <alignment vertical="center" wrapText="1"/>
    </xf>
    <xf numFmtId="49" fontId="5" fillId="0" borderId="2" xfId="0" applyNumberFormat="1" applyFont="1" applyBorder="1" applyAlignment="1">
      <alignment vertical="center" wrapText="1"/>
    </xf>
    <xf numFmtId="49" fontId="5" fillId="0" borderId="4" xfId="0" applyNumberFormat="1" applyFont="1" applyBorder="1" applyAlignment="1">
      <alignment vertical="center" wrapText="1"/>
    </xf>
    <xf numFmtId="49" fontId="5" fillId="0" borderId="5" xfId="0" applyNumberFormat="1" applyFont="1" applyBorder="1" applyAlignment="1">
      <alignment vertical="top" wrapText="1"/>
    </xf>
    <xf numFmtId="49" fontId="5" fillId="0" borderId="3" xfId="0" applyNumberFormat="1" applyFont="1" applyBorder="1" applyAlignment="1">
      <alignment vertical="top" wrapText="1"/>
    </xf>
    <xf numFmtId="49" fontId="5" fillId="0" borderId="2" xfId="0" applyNumberFormat="1" applyFont="1" applyBorder="1" applyAlignment="1">
      <alignment vertical="top" wrapText="1"/>
    </xf>
    <xf numFmtId="49" fontId="5" fillId="0" borderId="4" xfId="0" applyNumberFormat="1" applyFont="1" applyBorder="1" applyAlignment="1">
      <alignment vertical="top" wrapText="1"/>
    </xf>
    <xf numFmtId="49" fontId="5" fillId="0" borderId="5" xfId="0" applyNumberFormat="1" applyFont="1" applyBorder="1" applyAlignment="1">
      <alignment horizontal="center" vertical="top" wrapText="1"/>
    </xf>
    <xf numFmtId="0" fontId="3" fillId="2" borderId="0" xfId="0" applyFont="1" applyFill="1" applyAlignment="1">
      <alignment horizontal="center" vertical="center"/>
    </xf>
    <xf numFmtId="0" fontId="3" fillId="0" borderId="5" xfId="0" applyFont="1" applyBorder="1" applyAlignment="1">
      <alignment horizontal="center"/>
    </xf>
    <xf numFmtId="0" fontId="3" fillId="2" borderId="5" xfId="0" applyFont="1" applyFill="1" applyBorder="1" applyAlignment="1">
      <alignment horizontal="center" vertical="center"/>
    </xf>
    <xf numFmtId="49" fontId="3" fillId="3" borderId="5" xfId="0" applyNumberFormat="1" applyFont="1" applyFill="1" applyBorder="1" applyAlignment="1" applyProtection="1">
      <alignment horizontal="center" vertical="center"/>
      <protection locked="0"/>
    </xf>
    <xf numFmtId="49" fontId="3" fillId="0" borderId="5" xfId="0" applyNumberFormat="1" applyFont="1" applyBorder="1" applyAlignment="1" applyProtection="1">
      <alignment horizontal="center" vertical="center"/>
      <protection locked="0"/>
    </xf>
    <xf numFmtId="0" fontId="3" fillId="0" borderId="3" xfId="0" applyFont="1" applyBorder="1" applyAlignment="1">
      <alignment horizontal="center" vertical="center" wrapText="1"/>
    </xf>
    <xf numFmtId="0" fontId="3" fillId="0" borderId="2" xfId="0" applyFont="1" applyBorder="1" applyAlignment="1">
      <alignment horizontal="center" vertical="center" wrapText="1"/>
    </xf>
    <xf numFmtId="0" fontId="3" fillId="0" borderId="4" xfId="0" applyFont="1" applyBorder="1" applyAlignment="1">
      <alignment horizontal="center" vertical="center" wrapText="1"/>
    </xf>
    <xf numFmtId="0" fontId="3" fillId="0" borderId="12" xfId="0" applyFont="1" applyBorder="1" applyAlignment="1">
      <alignment horizontal="center" vertical="center"/>
    </xf>
    <xf numFmtId="0" fontId="3" fillId="0" borderId="9" xfId="0" applyFont="1" applyBorder="1" applyAlignment="1">
      <alignment horizontal="center" vertical="center"/>
    </xf>
    <xf numFmtId="0" fontId="3" fillId="0" borderId="14" xfId="0" applyFont="1" applyBorder="1" applyAlignment="1">
      <alignment horizontal="center" vertical="center"/>
    </xf>
    <xf numFmtId="0" fontId="3" fillId="0" borderId="1" xfId="0" applyFont="1" applyBorder="1" applyAlignment="1">
      <alignment horizontal="center" vertical="center"/>
    </xf>
    <xf numFmtId="0" fontId="3" fillId="2" borderId="5"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0" borderId="3" xfId="0" applyFont="1" applyBorder="1" applyAlignment="1">
      <alignment horizontal="center"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center" wrapText="1"/>
    </xf>
    <xf numFmtId="0" fontId="3" fillId="0" borderId="3" xfId="0" applyFont="1" applyBorder="1" applyAlignment="1" applyProtection="1">
      <alignment horizontal="center"/>
      <protection locked="0"/>
    </xf>
    <xf numFmtId="0" fontId="3" fillId="0" borderId="2" xfId="0" applyFont="1" applyBorder="1" applyAlignment="1" applyProtection="1">
      <alignment horizontal="center"/>
      <protection locked="0"/>
    </xf>
    <xf numFmtId="0" fontId="3" fillId="0" borderId="4" xfId="0" applyFont="1" applyBorder="1" applyAlignment="1" applyProtection="1">
      <alignment horizontal="center"/>
      <protection locked="0"/>
    </xf>
    <xf numFmtId="0" fontId="3" fillId="0" borderId="3" xfId="0" applyFont="1" applyBorder="1" applyAlignment="1">
      <alignment horizontal="center"/>
    </xf>
    <xf numFmtId="0" fontId="3" fillId="0" borderId="2" xfId="0" applyFont="1" applyBorder="1" applyAlignment="1">
      <alignment horizontal="center"/>
    </xf>
    <xf numFmtId="0" fontId="3" fillId="0" borderId="4" xfId="0" applyFont="1" applyBorder="1" applyAlignment="1">
      <alignment horizontal="center"/>
    </xf>
    <xf numFmtId="9" fontId="3" fillId="0" borderId="3" xfId="0" applyNumberFormat="1" applyFont="1" applyBorder="1" applyAlignment="1" applyProtection="1">
      <alignment horizontal="center"/>
      <protection locked="0"/>
    </xf>
    <xf numFmtId="9" fontId="3" fillId="0" borderId="2" xfId="0" applyNumberFormat="1" applyFont="1" applyBorder="1" applyAlignment="1" applyProtection="1">
      <alignment horizontal="center"/>
      <protection locked="0"/>
    </xf>
    <xf numFmtId="9" fontId="3" fillId="0" borderId="4" xfId="0" applyNumberFormat="1" applyFont="1" applyBorder="1" applyAlignment="1" applyProtection="1">
      <alignment horizontal="center"/>
      <protection locked="0"/>
    </xf>
    <xf numFmtId="0" fontId="3" fillId="0" borderId="12"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5" xfId="0" applyFont="1" applyBorder="1" applyAlignment="1">
      <alignment horizontal="center" vertical="center" wrapText="1"/>
    </xf>
    <xf numFmtId="0" fontId="5" fillId="0" borderId="12" xfId="0" applyFont="1" applyBorder="1" applyAlignment="1">
      <alignment horizontal="center" vertical="center"/>
    </xf>
    <xf numFmtId="0" fontId="5" fillId="0" borderId="9" xfId="0" applyFont="1" applyBorder="1" applyAlignment="1">
      <alignment horizontal="center" vertical="center"/>
    </xf>
    <xf numFmtId="0" fontId="5" fillId="0" borderId="13" xfId="0" applyFont="1" applyBorder="1" applyAlignment="1">
      <alignment horizontal="center" vertical="center"/>
    </xf>
    <xf numFmtId="0" fontId="5" fillId="0" borderId="14" xfId="0" applyFont="1" applyBorder="1" applyAlignment="1">
      <alignment horizontal="center" vertical="center"/>
    </xf>
    <xf numFmtId="0" fontId="5" fillId="0" borderId="1" xfId="0" applyFont="1" applyBorder="1" applyAlignment="1">
      <alignment horizontal="center" vertical="center"/>
    </xf>
    <xf numFmtId="0" fontId="5" fillId="0" borderId="15" xfId="0" applyFont="1" applyBorder="1" applyAlignment="1">
      <alignment horizontal="center" vertical="center"/>
    </xf>
    <xf numFmtId="0" fontId="5" fillId="2" borderId="5" xfId="0" applyFont="1" applyFill="1" applyBorder="1" applyAlignment="1">
      <alignment horizontal="right" vertical="center"/>
    </xf>
    <xf numFmtId="0" fontId="5" fillId="0" borderId="5" xfId="0" applyFont="1" applyBorder="1" applyAlignment="1" applyProtection="1">
      <alignment horizontal="center" vertical="center"/>
      <protection locked="0"/>
    </xf>
    <xf numFmtId="0" fontId="5" fillId="2" borderId="5" xfId="0" applyFont="1" applyFill="1" applyBorder="1" applyAlignment="1">
      <alignment horizontal="center" vertical="center" wrapText="1"/>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11" fillId="4" borderId="4" xfId="0" applyFont="1" applyFill="1" applyBorder="1" applyAlignment="1" applyProtection="1">
      <alignment horizontal="center" vertical="center"/>
      <protection locked="0"/>
    </xf>
    <xf numFmtId="0" fontId="11" fillId="4" borderId="5" xfId="0" applyFont="1" applyFill="1" applyBorder="1" applyAlignment="1" applyProtection="1">
      <alignment horizontal="center" vertical="center"/>
      <protection locked="0"/>
    </xf>
    <xf numFmtId="0" fontId="5" fillId="0" borderId="2" xfId="0" applyFont="1" applyBorder="1" applyAlignment="1">
      <alignment horizontal="center" vertical="center"/>
    </xf>
    <xf numFmtId="1" fontId="5" fillId="2" borderId="2" xfId="0" applyNumberFormat="1" applyFont="1" applyFill="1" applyBorder="1" applyAlignment="1">
      <alignment horizontal="left" vertical="center"/>
    </xf>
    <xf numFmtId="1" fontId="5" fillId="2" borderId="4" xfId="0" applyNumberFormat="1" applyFont="1" applyFill="1" applyBorder="1" applyAlignment="1">
      <alignment horizontal="left" vertical="center"/>
    </xf>
    <xf numFmtId="0" fontId="5" fillId="0" borderId="2" xfId="0" applyFont="1" applyBorder="1" applyAlignment="1" applyProtection="1">
      <alignment horizontal="left" vertical="center"/>
      <protection locked="0"/>
    </xf>
    <xf numFmtId="0" fontId="5" fillId="0" borderId="4" xfId="0" applyFont="1" applyBorder="1" applyAlignment="1" applyProtection="1">
      <alignment horizontal="left" vertical="center"/>
      <protection locked="0"/>
    </xf>
    <xf numFmtId="0" fontId="5" fillId="2" borderId="21" xfId="0" applyFont="1" applyFill="1" applyBorder="1" applyAlignment="1">
      <alignment horizontal="center" vertical="center"/>
    </xf>
    <xf numFmtId="0" fontId="5" fillId="2" borderId="0" xfId="0" applyFont="1" applyFill="1" applyAlignment="1">
      <alignment vertical="center"/>
    </xf>
    <xf numFmtId="0" fontId="5" fillId="0" borderId="0" xfId="0" applyFont="1" applyAlignment="1">
      <alignment vertical="center"/>
    </xf>
    <xf numFmtId="49" fontId="5" fillId="0" borderId="1" xfId="0" applyNumberFormat="1" applyFont="1" applyBorder="1" applyAlignment="1" applyProtection="1">
      <alignment horizontal="center" vertical="center"/>
      <protection locked="0"/>
    </xf>
    <xf numFmtId="0" fontId="5" fillId="0" borderId="2" xfId="0" applyFont="1" applyBorder="1" applyAlignment="1" applyProtection="1">
      <alignment vertical="center"/>
      <protection locked="0"/>
    </xf>
    <xf numFmtId="0" fontId="11" fillId="4" borderId="17" xfId="0" applyFont="1" applyFill="1" applyBorder="1" applyAlignment="1" applyProtection="1">
      <alignment horizontal="center" vertical="center"/>
      <protection locked="0"/>
    </xf>
    <xf numFmtId="0" fontId="12" fillId="0" borderId="18" xfId="0" applyFont="1" applyBorder="1" applyAlignment="1" applyProtection="1">
      <alignment horizontal="center" vertical="center"/>
      <protection locked="0"/>
    </xf>
    <xf numFmtId="0" fontId="12" fillId="0" borderId="19" xfId="0" applyFont="1" applyBorder="1" applyAlignment="1" applyProtection="1">
      <alignment horizontal="center" vertical="center"/>
      <protection locked="0"/>
    </xf>
    <xf numFmtId="0" fontId="5" fillId="2" borderId="5" xfId="0" applyFont="1" applyFill="1" applyBorder="1" applyAlignment="1">
      <alignment vertical="center" wrapText="1"/>
    </xf>
    <xf numFmtId="49" fontId="5" fillId="2" borderId="2" xfId="0" applyNumberFormat="1" applyFont="1" applyFill="1" applyBorder="1" applyAlignment="1" applyProtection="1">
      <alignment vertical="center"/>
      <protection locked="0"/>
    </xf>
    <xf numFmtId="0" fontId="5" fillId="2" borderId="5" xfId="0" applyFont="1" applyFill="1" applyBorder="1" applyAlignment="1">
      <alignment vertical="center"/>
    </xf>
    <xf numFmtId="49" fontId="5" fillId="2" borderId="1" xfId="0" applyNumberFormat="1" applyFont="1" applyFill="1" applyBorder="1" applyAlignment="1" applyProtection="1">
      <alignment vertical="center"/>
      <protection locked="0"/>
    </xf>
    <xf numFmtId="49" fontId="5" fillId="2" borderId="1" xfId="0" applyNumberFormat="1" applyFont="1" applyFill="1" applyBorder="1" applyAlignment="1" applyProtection="1">
      <alignment horizontal="center" vertical="center"/>
      <protection locked="0"/>
    </xf>
    <xf numFmtId="49" fontId="5" fillId="2" borderId="2" xfId="0" applyNumberFormat="1" applyFont="1" applyFill="1" applyBorder="1" applyAlignment="1" applyProtection="1">
      <alignment horizontal="center" vertical="center"/>
      <protection locked="0"/>
    </xf>
    <xf numFmtId="0" fontId="5" fillId="0" borderId="2" xfId="0" applyFont="1" applyBorder="1" applyAlignment="1" applyProtection="1">
      <alignment horizontal="center" vertical="center"/>
      <protection locked="0"/>
    </xf>
    <xf numFmtId="49" fontId="3" fillId="2" borderId="1" xfId="0" applyNumberFormat="1" applyFont="1" applyFill="1" applyBorder="1" applyAlignment="1" applyProtection="1">
      <alignment horizontal="center" vertical="center"/>
      <protection locked="0"/>
    </xf>
    <xf numFmtId="0" fontId="3" fillId="2" borderId="0" xfId="0" applyFont="1" applyFill="1" applyAlignment="1">
      <alignment horizontal="right" vertical="center"/>
    </xf>
    <xf numFmtId="0" fontId="3" fillId="0" borderId="5" xfId="0" applyFont="1" applyBorder="1" applyAlignment="1">
      <alignment horizontal="center" vertical="center"/>
    </xf>
    <xf numFmtId="0" fontId="3" fillId="2" borderId="3" xfId="0" applyFont="1" applyFill="1" applyBorder="1" applyAlignment="1" applyProtection="1">
      <alignment horizontal="center"/>
      <protection locked="0"/>
    </xf>
    <xf numFmtId="0" fontId="3" fillId="2" borderId="2" xfId="0" applyFont="1" applyFill="1" applyBorder="1" applyAlignment="1" applyProtection="1">
      <alignment horizontal="center"/>
      <protection locked="0"/>
    </xf>
    <xf numFmtId="0" fontId="3" fillId="2" borderId="4" xfId="0" applyFont="1" applyFill="1" applyBorder="1" applyAlignment="1" applyProtection="1">
      <alignment horizontal="center"/>
      <protection locked="0"/>
    </xf>
    <xf numFmtId="9" fontId="3" fillId="2" borderId="3" xfId="0" applyNumberFormat="1" applyFont="1" applyFill="1" applyBorder="1" applyAlignment="1" applyProtection="1">
      <alignment horizontal="center"/>
      <protection locked="0"/>
    </xf>
    <xf numFmtId="9" fontId="3" fillId="2" borderId="4" xfId="0" applyNumberFormat="1" applyFont="1" applyFill="1" applyBorder="1" applyAlignment="1" applyProtection="1">
      <alignment horizontal="center"/>
      <protection locked="0"/>
    </xf>
    <xf numFmtId="0" fontId="3" fillId="2" borderId="3" xfId="0" applyFont="1" applyFill="1" applyBorder="1" applyAlignment="1">
      <alignment horizontal="center"/>
    </xf>
    <xf numFmtId="0" fontId="3" fillId="2" borderId="2" xfId="0" applyFont="1" applyFill="1" applyBorder="1" applyAlignment="1">
      <alignment horizontal="center"/>
    </xf>
    <xf numFmtId="0" fontId="3" fillId="2" borderId="4" xfId="0" applyFont="1" applyFill="1" applyBorder="1" applyAlignment="1">
      <alignment horizontal="center"/>
    </xf>
    <xf numFmtId="0" fontId="3" fillId="2" borderId="11" xfId="0" applyFont="1" applyFill="1" applyBorder="1" applyAlignment="1">
      <alignment horizontal="center" vertical="center"/>
    </xf>
    <xf numFmtId="0" fontId="5" fillId="2" borderId="0" xfId="0" applyFont="1" applyFill="1" applyAlignment="1">
      <alignment horizontal="center" vertical="center"/>
    </xf>
    <xf numFmtId="0" fontId="5" fillId="2" borderId="0" xfId="0" applyFont="1" applyFill="1" applyAlignment="1">
      <alignment horizontal="left" vertical="center"/>
    </xf>
    <xf numFmtId="0" fontId="5" fillId="2" borderId="1" xfId="0" applyFont="1" applyFill="1" applyBorder="1" applyAlignment="1" applyProtection="1">
      <alignment horizontal="center" vertical="center"/>
      <protection locked="0"/>
    </xf>
    <xf numFmtId="0" fontId="5" fillId="2" borderId="6" xfId="0" applyFont="1" applyFill="1" applyBorder="1" applyAlignment="1">
      <alignment horizontal="center" vertical="center"/>
    </xf>
    <xf numFmtId="14" fontId="5" fillId="2" borderId="1" xfId="0" applyNumberFormat="1" applyFont="1" applyFill="1" applyBorder="1" applyAlignment="1" applyProtection="1">
      <alignment horizontal="center" vertical="center"/>
      <protection locked="0"/>
    </xf>
    <xf numFmtId="0" fontId="1" fillId="2" borderId="0" xfId="0" applyFont="1" applyFill="1" applyAlignment="1" applyProtection="1">
      <alignment horizontal="center" vertical="center" wrapText="1"/>
      <protection locked="0"/>
    </xf>
    <xf numFmtId="49" fontId="5" fillId="2" borderId="6" xfId="0" applyNumberFormat="1" applyFont="1" applyFill="1" applyBorder="1" applyAlignment="1" applyProtection="1">
      <alignment horizontal="center" vertical="center"/>
      <protection locked="0"/>
    </xf>
    <xf numFmtId="49" fontId="5" fillId="2" borderId="7" xfId="0" applyNumberFormat="1" applyFont="1" applyFill="1" applyBorder="1" applyAlignment="1" applyProtection="1">
      <alignment horizontal="center" vertical="center"/>
      <protection locked="0"/>
    </xf>
    <xf numFmtId="0" fontId="5" fillId="0" borderId="5" xfId="0" applyFont="1" applyBorder="1" applyAlignment="1">
      <alignment horizontal="right" vertical="center"/>
    </xf>
    <xf numFmtId="0" fontId="5" fillId="2" borderId="2" xfId="0" applyFont="1" applyFill="1" applyBorder="1" applyAlignment="1" applyProtection="1">
      <alignment horizontal="left" vertical="center"/>
      <protection locked="0"/>
    </xf>
    <xf numFmtId="2" fontId="5" fillId="2" borderId="4" xfId="0" applyNumberFormat="1" applyFont="1" applyFill="1" applyBorder="1" applyAlignment="1" applyProtection="1">
      <alignment horizontal="left" vertical="center"/>
      <protection locked="0"/>
    </xf>
    <xf numFmtId="0" fontId="3" fillId="0" borderId="0" xfId="0" applyFont="1" applyAlignment="1">
      <alignment horizontal="center" vertical="center"/>
    </xf>
    <xf numFmtId="10" fontId="13" fillId="4" borderId="5" xfId="0" applyNumberFormat="1" applyFont="1" applyFill="1" applyBorder="1" applyAlignment="1">
      <alignment horizontal="center" vertical="center"/>
    </xf>
    <xf numFmtId="49" fontId="5" fillId="0" borderId="16" xfId="0" applyNumberFormat="1" applyFont="1" applyBorder="1" applyAlignment="1">
      <alignment horizontal="center" vertical="center"/>
    </xf>
    <xf numFmtId="0" fontId="3" fillId="0" borderId="13" xfId="0" applyFont="1" applyBorder="1" applyAlignment="1">
      <alignment horizontal="center" vertical="center"/>
    </xf>
    <xf numFmtId="0" fontId="3" fillId="0" borderId="15" xfId="0" applyFont="1" applyBorder="1" applyAlignment="1">
      <alignment horizontal="center" vertical="center"/>
    </xf>
    <xf numFmtId="0" fontId="3" fillId="0" borderId="5" xfId="0" applyFont="1" applyBorder="1" applyAlignment="1" applyProtection="1">
      <alignment horizontal="center" vertical="center"/>
      <protection locked="0"/>
    </xf>
    <xf numFmtId="0" fontId="5" fillId="2" borderId="0" xfId="0" applyFont="1" applyFill="1" applyAlignment="1">
      <alignment horizontal="right" vertical="center"/>
    </xf>
    <xf numFmtId="0" fontId="3" fillId="0" borderId="20" xfId="0" applyFont="1" applyBorder="1" applyAlignment="1">
      <alignment horizontal="center" vertical="center"/>
    </xf>
    <xf numFmtId="0" fontId="5" fillId="2" borderId="5" xfId="0" applyFont="1" applyFill="1" applyBorder="1" applyAlignment="1">
      <alignment horizontal="center" vertical="center"/>
    </xf>
    <xf numFmtId="0" fontId="5" fillId="2" borderId="3" xfId="0" applyFont="1" applyFill="1" applyBorder="1" applyAlignment="1">
      <alignment horizontal="center" vertical="center"/>
    </xf>
    <xf numFmtId="0" fontId="3" fillId="2" borderId="12"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3" fillId="2" borderId="13" xfId="0" applyFont="1" applyFill="1" applyBorder="1" applyAlignment="1">
      <alignment horizontal="center" vertical="center" wrapText="1"/>
    </xf>
    <xf numFmtId="0" fontId="3" fillId="2" borderId="14"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5" xfId="0" applyFont="1" applyFill="1" applyBorder="1" applyAlignment="1">
      <alignment horizontal="center" vertical="center" wrapText="1"/>
    </xf>
    <xf numFmtId="0" fontId="13" fillId="0" borderId="5" xfId="0" applyFont="1" applyBorder="1" applyAlignment="1">
      <alignment horizontal="center" vertical="center" wrapText="1"/>
    </xf>
    <xf numFmtId="0" fontId="3" fillId="0" borderId="0" xfId="0" applyFont="1" applyAlignment="1" applyProtection="1">
      <alignment horizontal="left" vertical="top"/>
      <protection locked="0"/>
    </xf>
    <xf numFmtId="49" fontId="3" fillId="2" borderId="1" xfId="0" applyNumberFormat="1" applyFont="1" applyFill="1" applyBorder="1" applyAlignment="1" applyProtection="1">
      <alignment horizontal="center"/>
      <protection locked="0"/>
    </xf>
    <xf numFmtId="0" fontId="13" fillId="4" borderId="5" xfId="0" applyFont="1" applyFill="1" applyBorder="1" applyAlignment="1" applyProtection="1">
      <alignment horizontal="center" vertical="center"/>
      <protection locked="0"/>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5" fillId="0" borderId="5" xfId="0" applyFont="1" applyBorder="1" applyAlignment="1">
      <alignment horizontal="center" vertical="center"/>
    </xf>
    <xf numFmtId="0" fontId="14" fillId="0" borderId="5" xfId="0" applyFont="1" applyBorder="1" applyAlignment="1">
      <alignment horizontal="center" vertical="center"/>
    </xf>
    <xf numFmtId="0" fontId="5" fillId="0" borderId="16" xfId="0" applyFont="1" applyBorder="1" applyAlignment="1">
      <alignment horizontal="center" vertical="center"/>
    </xf>
    <xf numFmtId="0" fontId="5" fillId="0" borderId="20" xfId="0" applyFont="1" applyBorder="1" applyAlignment="1">
      <alignment horizontal="center" vertical="center"/>
    </xf>
  </cellXfs>
  <cellStyles count="1">
    <cellStyle name="Normal" xfId="0" builtinId="0"/>
  </cellStyles>
  <dxfs count="77">
    <dxf>
      <border>
        <right style="thin">
          <color auto="1"/>
        </right>
        <vertical/>
        <horizontal/>
      </border>
    </dxf>
    <dxf>
      <border>
        <left/>
        <right style="thin">
          <color auto="1"/>
        </right>
      </border>
    </dxf>
    <dxf>
      <border>
        <right style="thin">
          <color auto="1"/>
        </right>
        <vertical/>
        <horizontal/>
      </border>
    </dxf>
    <dxf>
      <border>
        <right style="thin">
          <color auto="1"/>
        </right>
        <vertical/>
        <horizontal/>
      </border>
    </dxf>
    <dxf>
      <border>
        <right style="thin">
          <color auto="1"/>
        </right>
        <vertical/>
        <horizontal/>
      </border>
    </dxf>
    <dxf>
      <border>
        <right style="thin">
          <color auto="1"/>
        </right>
        <vertical/>
        <horizontal/>
      </border>
    </dxf>
    <dxf>
      <border>
        <top style="thin">
          <color auto="1"/>
        </top>
        <vertical/>
        <horizontal/>
      </border>
    </dxf>
    <dxf>
      <numFmt numFmtId="165" formatCode=";;;"/>
      <fill>
        <patternFill>
          <bgColor theme="0" tint="-0.14996795556505021"/>
        </patternFill>
      </fill>
      <border>
        <left/>
        <right/>
        <top/>
        <bottom/>
      </border>
    </dxf>
    <dxf>
      <border>
        <bottom style="thin">
          <color auto="1"/>
        </bottom>
        <vertical/>
        <horizontal/>
      </border>
    </dxf>
    <dxf>
      <border>
        <right style="thin">
          <color auto="1"/>
        </right>
        <vertical/>
        <horizontal/>
      </border>
    </dxf>
    <dxf>
      <font>
        <color rgb="FF9C0006"/>
      </font>
      <fill>
        <patternFill>
          <bgColor rgb="FFFFC7CE"/>
        </patternFill>
      </fill>
    </dxf>
    <dxf>
      <font>
        <color rgb="FF006100"/>
      </font>
      <fill>
        <patternFill>
          <bgColor rgb="FFC6EFCE"/>
        </patternFill>
      </fill>
    </dxf>
    <dxf>
      <border>
        <right style="thin">
          <color auto="1"/>
        </right>
        <vertical/>
        <horizontal/>
      </border>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numFmt numFmtId="165" formatCode=";;;"/>
      <border>
        <left/>
        <right/>
        <top/>
        <bottom/>
        <vertical/>
        <horizontal/>
      </border>
    </dxf>
    <dxf>
      <numFmt numFmtId="165" formatCode=";;;"/>
      <fill>
        <patternFill>
          <bgColor theme="0"/>
        </patternFill>
      </fill>
      <border>
        <left/>
        <right/>
        <top/>
        <bottom/>
      </border>
    </dxf>
    <dxf>
      <border>
        <top style="thin">
          <color auto="1"/>
        </top>
        <vertical/>
        <horizontal/>
      </border>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border>
        <top style="thin">
          <color auto="1"/>
        </top>
        <vertical/>
        <horizontal/>
      </border>
    </dxf>
    <dxf>
      <fill>
        <patternFill>
          <bgColor theme="0" tint="-0.14996795556505021"/>
        </patternFill>
      </fill>
      <border>
        <left style="thin">
          <color auto="1"/>
        </left>
        <right style="thin">
          <color auto="1"/>
        </right>
        <top style="thin">
          <color auto="1"/>
        </top>
        <bottom style="thin">
          <color auto="1"/>
        </bottom>
        <vertical/>
        <horizontal/>
      </border>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0" tint="-0.14996795556505021"/>
        </patternFill>
      </fill>
      <border>
        <left style="thin">
          <color auto="1"/>
        </left>
        <right style="thin">
          <color auto="1"/>
        </right>
        <top style="thin">
          <color auto="1"/>
        </top>
        <bottom style="thin">
          <color auto="1"/>
        </bottom>
        <vertical/>
        <horizontal/>
      </border>
    </dxf>
    <dxf>
      <fill>
        <patternFill>
          <bgColor theme="0" tint="-0.14996795556505021"/>
        </patternFill>
      </fill>
      <border>
        <left style="thin">
          <color auto="1"/>
        </left>
        <right style="thin">
          <color auto="1"/>
        </right>
        <top style="thin">
          <color auto="1"/>
        </top>
        <bottom style="thin">
          <color auto="1"/>
        </bottom>
        <vertical/>
        <horizontal/>
      </border>
    </dxf>
    <dxf>
      <fill>
        <patternFill>
          <bgColor theme="0" tint="-0.14996795556505021"/>
        </patternFill>
      </fill>
      <border>
        <left style="thin">
          <color auto="1"/>
        </left>
        <right style="thin">
          <color auto="1"/>
        </right>
        <top style="thin">
          <color auto="1"/>
        </top>
        <bottom style="thin">
          <color auto="1"/>
        </bottom>
        <vertical/>
        <horizontal/>
      </border>
    </dxf>
    <dxf>
      <fill>
        <patternFill>
          <bgColor theme="0" tint="-0.14996795556505021"/>
        </patternFill>
      </fill>
      <border>
        <left style="thin">
          <color auto="1"/>
        </left>
        <right style="thin">
          <color auto="1"/>
        </right>
        <top style="thin">
          <color auto="1"/>
        </top>
        <bottom style="thin">
          <color auto="1"/>
        </bottom>
        <vertical/>
        <horizontal/>
      </border>
    </dxf>
    <dxf>
      <fill>
        <patternFill>
          <bgColor theme="0" tint="-0.14996795556505021"/>
        </patternFill>
      </fill>
      <border>
        <left style="thin">
          <color auto="1"/>
        </left>
        <right style="thin">
          <color auto="1"/>
        </right>
        <top style="thin">
          <color auto="1"/>
        </top>
        <bottom style="thin">
          <color auto="1"/>
        </bottom>
        <vertical/>
        <horizontal/>
      </border>
    </dxf>
    <dxf>
      <fill>
        <patternFill>
          <bgColor theme="0" tint="-0.14996795556505021"/>
        </patternFill>
      </fill>
      <border>
        <left style="thin">
          <color auto="1"/>
        </left>
        <right style="thin">
          <color auto="1"/>
        </right>
        <top style="thin">
          <color auto="1"/>
        </top>
        <bottom style="thin">
          <color auto="1"/>
        </bottom>
        <vertical/>
        <horizontal/>
      </border>
    </dxf>
    <dxf>
      <numFmt numFmtId="165" formatCode=";;;"/>
      <fill>
        <patternFill>
          <bgColor theme="0"/>
        </patternFill>
      </fill>
      <border>
        <left/>
        <right/>
        <top/>
        <bottom/>
      </border>
    </dxf>
    <dxf>
      <border>
        <top style="thin">
          <color auto="1"/>
        </top>
        <vertical/>
        <horizontal/>
      </border>
    </dxf>
    <dxf>
      <numFmt numFmtId="165" formatCode=";;;"/>
      <fill>
        <patternFill>
          <bgColor theme="0"/>
        </patternFill>
      </fill>
      <border>
        <left/>
        <right/>
        <top/>
        <bottom/>
      </border>
    </dxf>
    <dxf>
      <border>
        <top style="thin">
          <color auto="1"/>
        </top>
        <vertical/>
        <horizontal/>
      </border>
    </dxf>
    <dxf>
      <border>
        <top style="thin">
          <color auto="1"/>
        </top>
        <vertical/>
        <horizontal/>
      </border>
    </dxf>
    <dxf>
      <numFmt numFmtId="165" formatCode=";;;"/>
      <fill>
        <patternFill>
          <bgColor theme="0" tint="-0.14996795556505021"/>
        </patternFill>
      </fill>
      <border>
        <left/>
        <right/>
        <top/>
        <bottom/>
      </border>
    </dxf>
    <dxf>
      <border>
        <top style="thin">
          <color auto="1"/>
        </top>
        <vertical/>
        <horizontal/>
      </border>
    </dxf>
    <dxf>
      <border>
        <bottom style="thin">
          <color auto="1"/>
        </bottom>
        <vertical/>
        <horizontal/>
      </border>
    </dxf>
    <dxf>
      <border>
        <bottom style="thin">
          <color auto="1"/>
        </bottom>
      </border>
    </dxf>
    <dxf>
      <numFmt numFmtId="165" formatCode=";;;"/>
      <fill>
        <patternFill>
          <bgColor theme="0" tint="-0.14996795556505021"/>
        </patternFill>
      </fill>
      <border>
        <left/>
        <right/>
        <top/>
        <bottom/>
      </border>
    </dxf>
    <dxf>
      <numFmt numFmtId="165" formatCode=";;;"/>
      <fill>
        <patternFill>
          <bgColor theme="0" tint="-0.14996795556505021"/>
        </patternFill>
      </fill>
      <border>
        <left/>
        <right/>
        <top/>
        <bottom/>
      </border>
    </dxf>
    <dxf>
      <border>
        <top style="thin">
          <color auto="1"/>
        </top>
        <vertical/>
        <horizontal/>
      </border>
    </dxf>
    <dxf>
      <numFmt numFmtId="165" formatCode=";;;"/>
      <fill>
        <patternFill>
          <bgColor theme="0" tint="-0.14996795556505021"/>
        </patternFill>
      </fill>
      <border>
        <left/>
        <right/>
        <top/>
        <bottom/>
      </border>
    </dxf>
    <dxf>
      <border>
        <bottom style="thin">
          <color auto="1"/>
        </bottom>
        <vertical/>
        <horizontal/>
      </border>
    </dxf>
    <dxf>
      <border>
        <top style="thin">
          <color auto="1"/>
        </top>
        <vertical/>
        <horizontal/>
      </border>
    </dxf>
    <dxf>
      <border>
        <bottom style="thin">
          <color auto="1"/>
        </bottom>
        <vertical/>
        <horizontal/>
      </border>
    </dxf>
    <dxf>
      <numFmt numFmtId="165" formatCode=";;;"/>
      <fill>
        <patternFill patternType="solid">
          <bgColor theme="0" tint="-0.14996795556505021"/>
        </patternFill>
      </fill>
      <border>
        <left/>
        <right/>
        <top/>
        <bottom/>
      </border>
    </dxf>
    <dxf>
      <numFmt numFmtId="165" formatCode=";;;"/>
      <fill>
        <patternFill>
          <bgColor theme="0" tint="-0.14996795556505021"/>
        </patternFill>
      </fill>
      <border>
        <left/>
        <right/>
        <top/>
        <bottom/>
      </border>
    </dxf>
    <dxf>
      <border>
        <top style="thin">
          <color auto="1"/>
        </top>
        <bottom style="thin">
          <color auto="1"/>
        </bottom>
        <vertical/>
        <horizontal/>
      </border>
    </dxf>
    <dxf>
      <numFmt numFmtId="165" formatCode=";;;"/>
      <fill>
        <patternFill>
          <bgColor theme="0" tint="-0.14996795556505021"/>
        </patternFill>
      </fill>
      <border>
        <left/>
        <right/>
        <top/>
        <bottom/>
      </border>
    </dxf>
    <dxf>
      <border>
        <top style="thin">
          <color auto="1"/>
        </top>
        <vertical/>
        <horizontal/>
      </border>
    </dxf>
    <dxf>
      <border>
        <left style="thin">
          <color auto="1"/>
        </left>
        <vertical/>
        <horizontal/>
      </border>
    </dxf>
    <dxf>
      <border>
        <left style="thin">
          <color auto="1"/>
        </left>
        <vertical/>
        <horizontal/>
      </border>
    </dxf>
    <dxf>
      <border>
        <left style="thin">
          <color auto="1"/>
        </left>
      </border>
    </dxf>
    <dxf>
      <border>
        <left style="thin">
          <color auto="1"/>
        </left>
        <vertical/>
        <horizontal/>
      </border>
    </dxf>
    <dxf>
      <border>
        <left style="thin">
          <color auto="1"/>
        </left>
        <vertical/>
        <horizontal/>
      </border>
    </dxf>
    <dxf>
      <border>
        <bottom style="thin">
          <color auto="1"/>
        </bottom>
      </border>
    </dxf>
    <dxf>
      <border>
        <left style="thin">
          <color auto="1"/>
        </left>
        <vertical/>
        <horizontal/>
      </border>
    </dxf>
    <dxf>
      <border>
        <left style="thin">
          <color auto="1"/>
        </left>
        <vertical/>
        <horizontal/>
      </border>
    </dxf>
    <dxf>
      <border>
        <left style="thin">
          <color auto="1"/>
        </left>
        <vertical/>
        <horizontal/>
      </border>
    </dxf>
    <dxf>
      <numFmt numFmtId="165" formatCode=";;;"/>
      <fill>
        <patternFill patternType="solid">
          <bgColor theme="0"/>
        </patternFill>
      </fill>
      <border>
        <left/>
        <right/>
        <top/>
        <bottom/>
        <vertical/>
        <horizontal/>
      </border>
    </dxf>
    <dxf>
      <border>
        <top style="thin">
          <color auto="1"/>
        </top>
        <vertical/>
        <horizontal/>
      </border>
    </dxf>
    <dxf>
      <border>
        <bottom style="thin">
          <color auto="1"/>
        </bottom>
        <vertical/>
        <horizontal/>
      </border>
    </dxf>
  </dxfs>
  <tableStyles count="0" defaultTableStyle="TableStyleMedium9" defaultPivotStyle="PivotStyleLight16"/>
  <colors>
    <mruColors>
      <color rgb="FFDAB56C"/>
      <color rgb="FF351D13"/>
      <color rgb="FF663300"/>
      <color rgb="FFF2672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AM114"/>
  <sheetViews>
    <sheetView showGridLines="0" tabSelected="1" view="pageLayout" topLeftCell="A52" zoomScale="127" zoomScaleNormal="100" zoomScalePageLayoutView="127" workbookViewId="0">
      <selection activeCell="O73" sqref="O73:T73"/>
    </sheetView>
  </sheetViews>
  <sheetFormatPr defaultColWidth="2.453125" defaultRowHeight="11.5" customHeight="1" x14ac:dyDescent="0.35"/>
  <cols>
    <col min="1" max="27" width="2.453125" style="2"/>
    <col min="28" max="31" width="2.453125" style="2" customWidth="1"/>
    <col min="32" max="16384" width="2.453125" style="2"/>
  </cols>
  <sheetData>
    <row r="1" spans="1:39" ht="5.5" customHeight="1" x14ac:dyDescent="0.35">
      <c r="A1" s="147"/>
      <c r="B1" s="147"/>
      <c r="C1" s="147"/>
      <c r="D1" s="147"/>
      <c r="E1" s="147"/>
      <c r="F1" s="147"/>
      <c r="G1" s="147"/>
      <c r="H1" s="147"/>
      <c r="I1" s="147"/>
      <c r="J1" s="147"/>
      <c r="K1" s="147"/>
      <c r="L1" s="147"/>
      <c r="M1" s="147"/>
      <c r="N1" s="147"/>
      <c r="O1" s="147"/>
      <c r="P1" s="147"/>
      <c r="Q1" s="147"/>
      <c r="R1" s="147"/>
      <c r="S1" s="147"/>
      <c r="T1" s="147"/>
      <c r="U1" s="147"/>
      <c r="V1" s="147"/>
      <c r="W1" s="147"/>
      <c r="X1" s="147"/>
      <c r="Y1" s="147"/>
      <c r="Z1" s="147"/>
      <c r="AA1" s="147"/>
      <c r="AB1" s="147"/>
      <c r="AC1" s="147"/>
      <c r="AD1" s="147"/>
      <c r="AE1" s="147"/>
      <c r="AF1" s="147"/>
      <c r="AG1" s="147"/>
      <c r="AH1" s="147"/>
      <c r="AI1" s="147"/>
      <c r="AJ1" s="147"/>
      <c r="AK1" s="147"/>
      <c r="AL1" s="147"/>
      <c r="AM1" s="147"/>
    </row>
    <row r="2" spans="1:39" ht="11.5" customHeight="1" x14ac:dyDescent="0.35">
      <c r="B2" s="122" t="s">
        <v>0</v>
      </c>
      <c r="C2" s="122"/>
      <c r="D2" s="122"/>
      <c r="E2" s="122"/>
      <c r="G2" s="132"/>
      <c r="H2" s="132"/>
      <c r="I2" s="132"/>
      <c r="J2" s="132"/>
      <c r="K2" s="132"/>
      <c r="L2" s="132"/>
      <c r="M2" s="132"/>
      <c r="N2" s="132"/>
      <c r="O2" s="132"/>
      <c r="P2" s="132"/>
      <c r="Q2" s="132"/>
      <c r="R2" s="132"/>
      <c r="S2" s="132"/>
      <c r="T2" s="132"/>
      <c r="U2" s="132"/>
      <c r="V2" s="132"/>
      <c r="W2" s="132"/>
      <c r="X2" s="132"/>
      <c r="Y2" s="4"/>
      <c r="Z2" s="149" t="s">
        <v>11</v>
      </c>
      <c r="AA2" s="149"/>
      <c r="AB2" s="149"/>
      <c r="AC2" s="149"/>
      <c r="AD2" s="149"/>
      <c r="AE2" s="133"/>
      <c r="AF2" s="133"/>
      <c r="AG2" s="133"/>
      <c r="AH2" s="133"/>
      <c r="AI2" s="3"/>
      <c r="AJ2" s="153" t="s">
        <v>14</v>
      </c>
      <c r="AK2" s="153"/>
      <c r="AL2" s="153"/>
    </row>
    <row r="3" spans="1:39" ht="11.5" customHeight="1" x14ac:dyDescent="0.35">
      <c r="B3" s="122" t="s">
        <v>1</v>
      </c>
      <c r="C3" s="122"/>
      <c r="D3" s="122"/>
      <c r="E3" s="122"/>
      <c r="G3" s="130"/>
      <c r="H3" s="130"/>
      <c r="I3" s="130"/>
      <c r="J3" s="130"/>
      <c r="K3" s="130"/>
      <c r="L3" s="130"/>
      <c r="M3" s="130"/>
      <c r="N3" s="130"/>
      <c r="O3" s="130"/>
      <c r="P3" s="130"/>
      <c r="Q3" s="130"/>
      <c r="R3" s="130"/>
      <c r="S3" s="130"/>
      <c r="T3" s="130"/>
      <c r="U3" s="130"/>
      <c r="V3" s="130"/>
      <c r="W3" s="130"/>
      <c r="X3" s="130"/>
      <c r="Y3" s="4"/>
      <c r="Z3" s="149" t="s">
        <v>2</v>
      </c>
      <c r="AA3" s="149"/>
      <c r="AB3" s="149"/>
      <c r="AC3" s="149"/>
      <c r="AD3" s="149"/>
      <c r="AE3" s="134"/>
      <c r="AF3" s="134"/>
      <c r="AG3" s="134"/>
      <c r="AH3" s="134"/>
      <c r="AI3" s="3"/>
      <c r="AJ3" s="153"/>
      <c r="AK3" s="153"/>
      <c r="AL3" s="153"/>
    </row>
    <row r="4" spans="1:39" ht="11.5" customHeight="1" x14ac:dyDescent="0.35">
      <c r="B4" s="122" t="s">
        <v>3</v>
      </c>
      <c r="C4" s="122"/>
      <c r="D4" s="122"/>
      <c r="E4" s="122"/>
      <c r="G4" s="130"/>
      <c r="H4" s="130"/>
      <c r="I4" s="130"/>
      <c r="J4" s="130"/>
      <c r="K4" s="130"/>
      <c r="L4" s="130"/>
      <c r="M4" s="130"/>
      <c r="N4" s="130"/>
      <c r="O4" s="130"/>
      <c r="P4" s="130"/>
      <c r="Q4" s="130"/>
      <c r="R4" s="130"/>
      <c r="S4" s="130"/>
      <c r="T4" s="130"/>
      <c r="U4" s="130"/>
      <c r="V4" s="130"/>
      <c r="W4" s="130"/>
      <c r="X4" s="130"/>
      <c r="Y4" s="3"/>
      <c r="Z4" s="149" t="s">
        <v>17</v>
      </c>
      <c r="AA4" s="149"/>
      <c r="AB4" s="149"/>
      <c r="AC4" s="149"/>
      <c r="AD4" s="149"/>
      <c r="AE4" s="134"/>
      <c r="AF4" s="134"/>
      <c r="AG4" s="134"/>
      <c r="AH4" s="134"/>
      <c r="AI4" s="3"/>
      <c r="AJ4" s="153"/>
      <c r="AK4" s="153"/>
      <c r="AL4" s="153"/>
    </row>
    <row r="5" spans="1:39" ht="11.5" customHeight="1" x14ac:dyDescent="0.35">
      <c r="B5" s="122" t="s">
        <v>4</v>
      </c>
      <c r="C5" s="122"/>
      <c r="D5" s="122"/>
      <c r="E5" s="122"/>
      <c r="G5" s="152"/>
      <c r="H5" s="152"/>
      <c r="I5" s="152"/>
      <c r="J5" s="152"/>
      <c r="K5" s="3"/>
      <c r="L5" s="148" t="s">
        <v>5</v>
      </c>
      <c r="M5" s="148"/>
      <c r="N5" s="150"/>
      <c r="O5" s="150"/>
      <c r="P5" s="3" t="s">
        <v>12</v>
      </c>
      <c r="Q5" s="151">
        <f>ROUND((N5-32)*5/9,1)</f>
        <v>-17.8</v>
      </c>
      <c r="R5" s="151"/>
      <c r="S5" s="3" t="s">
        <v>6</v>
      </c>
      <c r="T5" s="165" t="s">
        <v>7</v>
      </c>
      <c r="U5" s="165"/>
      <c r="V5" s="165"/>
      <c r="W5" s="1"/>
      <c r="X5" s="5" t="s">
        <v>8</v>
      </c>
      <c r="Y5" s="3"/>
      <c r="Z5" s="149" t="s">
        <v>100</v>
      </c>
      <c r="AA5" s="149"/>
      <c r="AB5" s="149"/>
      <c r="AC5" s="149"/>
      <c r="AD5" s="149"/>
      <c r="AE5" s="154"/>
      <c r="AF5" s="154"/>
      <c r="AG5" s="154"/>
      <c r="AH5" s="154"/>
      <c r="AI5" s="154"/>
      <c r="AJ5" s="154"/>
      <c r="AK5" s="154"/>
      <c r="AL5" s="154"/>
    </row>
    <row r="6" spans="1:39" ht="11.5" customHeight="1" x14ac:dyDescent="0.35">
      <c r="B6" s="149" t="s">
        <v>99</v>
      </c>
      <c r="C6" s="149"/>
      <c r="D6" s="149"/>
      <c r="E6" s="149"/>
      <c r="F6" s="149"/>
      <c r="G6" s="133"/>
      <c r="H6" s="133"/>
      <c r="I6" s="133"/>
      <c r="J6" s="133"/>
      <c r="K6" s="133"/>
      <c r="L6" s="133"/>
      <c r="M6" s="133"/>
      <c r="N6" s="133"/>
      <c r="O6" s="133"/>
      <c r="P6" s="133"/>
      <c r="Q6" s="133"/>
      <c r="R6" s="133"/>
      <c r="S6" s="133"/>
      <c r="T6" s="133"/>
      <c r="U6" s="133"/>
      <c r="V6" s="133"/>
      <c r="W6" s="133"/>
      <c r="X6" s="133"/>
      <c r="Y6" s="3"/>
      <c r="Z6" s="149" t="s">
        <v>98</v>
      </c>
      <c r="AA6" s="149"/>
      <c r="AB6" s="149"/>
      <c r="AC6" s="149"/>
      <c r="AD6" s="149"/>
      <c r="AE6" s="155"/>
      <c r="AF6" s="155"/>
      <c r="AG6" s="155"/>
      <c r="AH6" s="155"/>
      <c r="AI6" s="155"/>
      <c r="AJ6" s="155"/>
      <c r="AK6" s="155"/>
      <c r="AL6" s="155"/>
    </row>
    <row r="7" spans="1:39" ht="11.5" customHeight="1" thickBot="1" x14ac:dyDescent="0.4">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row>
    <row r="8" spans="1:39" ht="11.5" customHeight="1" x14ac:dyDescent="0.35">
      <c r="A8" s="7" t="s">
        <v>27</v>
      </c>
      <c r="B8" s="8"/>
      <c r="C8" s="8"/>
      <c r="D8" s="8"/>
      <c r="E8" s="8"/>
      <c r="F8" s="9"/>
      <c r="G8" s="10"/>
      <c r="H8" s="10"/>
      <c r="I8" s="10"/>
      <c r="J8" s="10"/>
      <c r="K8" s="10"/>
      <c r="L8" s="10"/>
      <c r="M8" s="10"/>
      <c r="N8" s="10"/>
      <c r="O8" s="10"/>
      <c r="P8" s="10"/>
      <c r="Q8" s="10"/>
      <c r="R8" s="10"/>
      <c r="S8" s="10"/>
      <c r="T8" s="10"/>
      <c r="U8" s="10"/>
      <c r="V8" s="10"/>
      <c r="W8" s="11"/>
      <c r="X8" s="10"/>
      <c r="Y8" s="11"/>
      <c r="Z8" s="12"/>
      <c r="AA8" s="11"/>
      <c r="AB8" s="11"/>
      <c r="AC8" s="11"/>
      <c r="AD8" s="11"/>
      <c r="AE8" s="11"/>
      <c r="AF8" s="11"/>
      <c r="AG8" s="11"/>
      <c r="AM8" s="11"/>
    </row>
    <row r="9" spans="1:39" ht="11.5" customHeight="1" x14ac:dyDescent="0.35">
      <c r="A9" s="7"/>
      <c r="B9" s="8"/>
      <c r="C9" s="8"/>
      <c r="D9" s="8"/>
      <c r="E9" s="8"/>
      <c r="F9" s="9"/>
      <c r="G9" s="10"/>
      <c r="H9" s="10"/>
      <c r="I9" s="10"/>
      <c r="J9" s="10"/>
      <c r="K9" s="10"/>
      <c r="L9" s="10"/>
      <c r="M9" s="10"/>
      <c r="N9" s="10"/>
      <c r="O9" s="10"/>
      <c r="P9" s="10"/>
      <c r="Q9" s="10"/>
      <c r="R9" s="10"/>
      <c r="S9" s="10"/>
      <c r="T9" s="10"/>
      <c r="Z9" s="12"/>
      <c r="AA9" s="11"/>
      <c r="AB9" s="11"/>
      <c r="AC9" s="11"/>
      <c r="AD9" s="11"/>
      <c r="AE9" s="11"/>
      <c r="AF9" s="11"/>
      <c r="AG9" s="11"/>
      <c r="AM9" s="11"/>
    </row>
    <row r="10" spans="1:39" ht="11.5" customHeight="1" x14ac:dyDescent="0.35">
      <c r="A10" s="13"/>
      <c r="B10" s="122" t="s">
        <v>9</v>
      </c>
      <c r="C10" s="122"/>
      <c r="D10" s="122"/>
      <c r="E10" s="122"/>
      <c r="F10" s="122"/>
      <c r="G10" s="132"/>
      <c r="H10" s="132"/>
      <c r="I10" s="132"/>
      <c r="J10" s="132"/>
      <c r="K10" s="132"/>
      <c r="L10" s="132"/>
      <c r="M10" s="132"/>
      <c r="O10" s="122" t="s">
        <v>38</v>
      </c>
      <c r="P10" s="122"/>
      <c r="Q10" s="122"/>
      <c r="R10" s="122"/>
      <c r="S10" s="122"/>
      <c r="T10" s="122"/>
      <c r="U10" s="133"/>
      <c r="V10" s="133"/>
      <c r="W10" s="133"/>
      <c r="X10" s="133"/>
      <c r="Y10" s="133"/>
      <c r="AA10" s="122" t="s">
        <v>41</v>
      </c>
      <c r="AB10" s="122"/>
      <c r="AC10" s="122"/>
      <c r="AD10" s="122"/>
      <c r="AE10" s="122"/>
      <c r="AF10" s="132"/>
      <c r="AG10" s="132"/>
      <c r="AH10" s="132"/>
      <c r="AI10" s="132"/>
      <c r="AJ10" s="132"/>
      <c r="AK10" s="132"/>
      <c r="AL10" s="132"/>
      <c r="AM10" s="11"/>
    </row>
    <row r="11" spans="1:39" ht="11.5" customHeight="1" x14ac:dyDescent="0.35">
      <c r="A11" s="13"/>
      <c r="B11" s="122" t="s">
        <v>24</v>
      </c>
      <c r="C11" s="122"/>
      <c r="D11" s="122"/>
      <c r="E11" s="122"/>
      <c r="F11" s="122"/>
      <c r="G11" s="130"/>
      <c r="H11" s="130"/>
      <c r="I11" s="130"/>
      <c r="J11" s="130"/>
      <c r="K11" s="130"/>
      <c r="L11" s="130"/>
      <c r="M11" s="130"/>
      <c r="O11" s="122" t="s">
        <v>40</v>
      </c>
      <c r="P11" s="122"/>
      <c r="Q11" s="122"/>
      <c r="R11" s="122"/>
      <c r="S11" s="122"/>
      <c r="T11" s="122"/>
      <c r="U11" s="134"/>
      <c r="V11" s="134"/>
      <c r="W11" s="134"/>
      <c r="X11" s="134"/>
      <c r="Y11" s="134"/>
      <c r="AA11" s="123" t="s">
        <v>42</v>
      </c>
      <c r="AB11" s="123"/>
      <c r="AC11" s="123"/>
      <c r="AD11" s="123"/>
      <c r="AE11" s="123"/>
      <c r="AF11" s="124" t="s">
        <v>161</v>
      </c>
      <c r="AG11" s="124"/>
      <c r="AH11" s="124"/>
      <c r="AI11" s="124"/>
      <c r="AJ11" s="124"/>
      <c r="AK11" s="124"/>
      <c r="AL11" s="124"/>
      <c r="AM11" s="11"/>
    </row>
    <row r="12" spans="1:39" ht="11.5" customHeight="1" x14ac:dyDescent="0.35">
      <c r="A12" s="13"/>
      <c r="B12" s="122" t="s">
        <v>25</v>
      </c>
      <c r="C12" s="122"/>
      <c r="D12" s="122"/>
      <c r="E12" s="122"/>
      <c r="F12" s="122"/>
      <c r="G12" s="130"/>
      <c r="H12" s="130"/>
      <c r="I12" s="130"/>
      <c r="J12" s="130"/>
      <c r="K12" s="130"/>
      <c r="L12" s="130"/>
      <c r="M12" s="130"/>
      <c r="O12" s="123" t="s">
        <v>105</v>
      </c>
      <c r="P12" s="123"/>
      <c r="Q12" s="123"/>
      <c r="R12" s="123"/>
      <c r="S12" s="123"/>
      <c r="T12" s="123"/>
      <c r="U12" s="135">
        <v>480</v>
      </c>
      <c r="V12" s="135"/>
      <c r="W12" s="135"/>
      <c r="X12" s="135"/>
      <c r="Y12" s="135"/>
      <c r="Z12" s="30"/>
      <c r="AA12" s="123" t="s">
        <v>43</v>
      </c>
      <c r="AB12" s="123"/>
      <c r="AC12" s="123"/>
      <c r="AD12" s="123"/>
      <c r="AE12" s="123"/>
      <c r="AF12" s="125"/>
      <c r="AG12" s="125"/>
      <c r="AH12" s="125"/>
      <c r="AI12" s="125"/>
      <c r="AJ12" s="125"/>
      <c r="AK12" s="125"/>
      <c r="AL12" s="125"/>
      <c r="AM12" s="11"/>
    </row>
    <row r="13" spans="1:39" ht="11.5" customHeight="1" x14ac:dyDescent="0.35">
      <c r="A13" s="13"/>
      <c r="B13" s="122" t="s">
        <v>90</v>
      </c>
      <c r="C13" s="122"/>
      <c r="D13" s="122"/>
      <c r="E13" s="122"/>
      <c r="F13" s="122"/>
      <c r="G13" s="130"/>
      <c r="H13" s="130"/>
      <c r="I13" s="130"/>
      <c r="J13" s="130"/>
      <c r="K13" s="130"/>
      <c r="L13" s="130"/>
      <c r="M13" s="130"/>
      <c r="O13" s="123" t="s">
        <v>106</v>
      </c>
      <c r="P13" s="123"/>
      <c r="Q13" s="123"/>
      <c r="R13" s="123"/>
      <c r="S13" s="123"/>
      <c r="T13" s="123"/>
      <c r="U13" s="135">
        <v>480</v>
      </c>
      <c r="V13" s="135"/>
      <c r="W13" s="135"/>
      <c r="X13" s="135"/>
      <c r="Y13" s="135"/>
      <c r="AA13" s="123" t="s">
        <v>44</v>
      </c>
      <c r="AB13" s="123"/>
      <c r="AC13" s="123"/>
      <c r="AD13" s="123"/>
      <c r="AE13" s="123"/>
      <c r="AF13" s="125"/>
      <c r="AG13" s="125"/>
      <c r="AH13" s="125"/>
      <c r="AI13" s="125"/>
      <c r="AJ13" s="125"/>
      <c r="AK13" s="125"/>
      <c r="AL13" s="125"/>
      <c r="AM13" s="11"/>
    </row>
    <row r="14" spans="1:39" ht="11.5" customHeight="1" x14ac:dyDescent="0.3">
      <c r="A14" s="13"/>
      <c r="B14" s="122" t="s">
        <v>39</v>
      </c>
      <c r="C14" s="122"/>
      <c r="D14" s="122"/>
      <c r="E14" s="122"/>
      <c r="F14" s="122"/>
      <c r="G14" s="130"/>
      <c r="H14" s="130"/>
      <c r="I14" s="130"/>
      <c r="J14" s="130"/>
      <c r="K14" s="130"/>
      <c r="L14" s="130"/>
      <c r="M14" s="130"/>
      <c r="O14" s="149" t="s">
        <v>26</v>
      </c>
      <c r="P14" s="149"/>
      <c r="Q14" s="149"/>
      <c r="R14" s="149"/>
      <c r="S14" s="149"/>
      <c r="T14" s="149"/>
      <c r="U14" s="89"/>
      <c r="V14" s="89"/>
      <c r="W14" s="89"/>
      <c r="X14" s="89"/>
      <c r="Y14" s="89"/>
      <c r="AA14" s="123" t="s">
        <v>45</v>
      </c>
      <c r="AB14" s="123"/>
      <c r="AC14" s="123"/>
      <c r="AD14" s="123"/>
      <c r="AE14" s="123"/>
      <c r="AF14" s="125"/>
      <c r="AG14" s="125"/>
      <c r="AH14" s="125"/>
      <c r="AI14" s="125"/>
      <c r="AJ14" s="125"/>
      <c r="AK14" s="125"/>
      <c r="AL14" s="125"/>
      <c r="AM14" s="11"/>
    </row>
    <row r="15" spans="1:39" ht="11.5" customHeight="1" x14ac:dyDescent="0.3">
      <c r="A15" s="13"/>
      <c r="B15" s="3"/>
      <c r="C15" s="3"/>
      <c r="D15" s="3"/>
      <c r="E15" s="3"/>
      <c r="F15" s="3"/>
      <c r="G15" s="42"/>
      <c r="H15" s="42"/>
      <c r="I15" s="42"/>
      <c r="J15" s="42"/>
      <c r="K15" s="42"/>
      <c r="L15" s="42"/>
      <c r="M15" s="42"/>
      <c r="O15" s="35"/>
      <c r="P15" s="35"/>
      <c r="Q15" s="35"/>
      <c r="R15" s="35"/>
      <c r="S15" s="35"/>
      <c r="T15" s="35"/>
      <c r="U15" s="43"/>
      <c r="V15" s="43"/>
      <c r="W15" s="43"/>
      <c r="X15" s="43"/>
      <c r="Y15" s="43"/>
      <c r="AA15" s="30"/>
      <c r="AB15" s="30"/>
      <c r="AC15" s="30"/>
      <c r="AD15" s="30"/>
      <c r="AE15" s="30"/>
      <c r="AF15" s="30"/>
      <c r="AG15" s="30"/>
      <c r="AH15" s="30"/>
      <c r="AI15" s="30"/>
      <c r="AJ15" s="30"/>
      <c r="AK15" s="30"/>
      <c r="AL15" s="30"/>
      <c r="AM15" s="11"/>
    </row>
    <row r="16" spans="1:39" ht="11.5" customHeight="1" thickBot="1" x14ac:dyDescent="0.4">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row>
    <row r="17" spans="1:39" ht="11.5" customHeight="1" x14ac:dyDescent="0.35">
      <c r="A17" s="7" t="s">
        <v>13</v>
      </c>
      <c r="B17" s="14"/>
      <c r="C17" s="14"/>
      <c r="D17" s="14"/>
      <c r="E17" s="14"/>
      <c r="F17" s="14"/>
      <c r="G17" s="14"/>
      <c r="H17" s="14"/>
      <c r="I17" s="14"/>
      <c r="J17" s="9"/>
      <c r="K17" s="9"/>
      <c r="L17" s="15"/>
      <c r="M17" s="11"/>
      <c r="N17" s="10"/>
      <c r="O17" s="10"/>
      <c r="P17" s="10"/>
      <c r="Q17" s="10"/>
      <c r="R17" s="10"/>
      <c r="S17" s="10"/>
      <c r="T17" s="10"/>
      <c r="U17" s="10"/>
      <c r="V17" s="16"/>
      <c r="W17" s="16"/>
      <c r="X17" s="16"/>
      <c r="Y17" s="15"/>
      <c r="Z17" s="15"/>
      <c r="AA17" s="11"/>
      <c r="AB17" s="11"/>
      <c r="AC17" s="11"/>
      <c r="AD17" s="11"/>
      <c r="AE17" s="11"/>
      <c r="AF17" s="11"/>
      <c r="AG17" s="11"/>
      <c r="AH17" s="11"/>
      <c r="AI17" s="11"/>
      <c r="AJ17" s="11"/>
      <c r="AK17" s="11"/>
      <c r="AL17" s="11"/>
      <c r="AM17" s="11"/>
    </row>
    <row r="18" spans="1:39" ht="11.5" customHeight="1" x14ac:dyDescent="0.35">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3"/>
    </row>
    <row r="19" spans="1:39" ht="11.5" customHeight="1" x14ac:dyDescent="0.35">
      <c r="B19" s="3" t="s">
        <v>23</v>
      </c>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21" t="s">
        <v>22</v>
      </c>
      <c r="AI19" s="121"/>
      <c r="AJ19" s="121"/>
      <c r="AK19" s="121"/>
      <c r="AL19" s="121"/>
      <c r="AM19" s="11"/>
    </row>
    <row r="20" spans="1:39" ht="11.5" customHeight="1" x14ac:dyDescent="0.35">
      <c r="B20" s="131" t="s">
        <v>91</v>
      </c>
      <c r="C20" s="131"/>
      <c r="D20" s="131"/>
      <c r="E20" s="131"/>
      <c r="F20" s="131" t="s">
        <v>84</v>
      </c>
      <c r="G20" s="131"/>
      <c r="H20" s="131"/>
      <c r="I20" s="131"/>
      <c r="J20" s="131"/>
      <c r="K20" s="131"/>
      <c r="L20" s="131"/>
      <c r="M20" s="131"/>
      <c r="N20" s="131"/>
      <c r="O20" s="131"/>
      <c r="P20" s="131"/>
      <c r="Q20" s="131"/>
      <c r="R20" s="131"/>
      <c r="S20" s="131"/>
      <c r="T20" s="131"/>
      <c r="U20" s="131"/>
      <c r="V20" s="131"/>
      <c r="W20" s="131"/>
      <c r="X20" s="131"/>
      <c r="Y20" s="131"/>
      <c r="Z20" s="131"/>
      <c r="AA20" s="131"/>
      <c r="AB20" s="131"/>
      <c r="AC20" s="131"/>
      <c r="AD20" s="131"/>
      <c r="AE20" s="131"/>
      <c r="AF20" s="131"/>
      <c r="AG20" s="131"/>
      <c r="AH20" s="126"/>
      <c r="AI20" s="127"/>
      <c r="AJ20" s="127"/>
      <c r="AK20" s="127"/>
      <c r="AL20" s="128"/>
      <c r="AM20" s="11"/>
    </row>
    <row r="21" spans="1:39" ht="11.5" customHeight="1" x14ac:dyDescent="0.35">
      <c r="B21" s="131" t="s">
        <v>92</v>
      </c>
      <c r="C21" s="131"/>
      <c r="D21" s="131"/>
      <c r="E21" s="131"/>
      <c r="F21" s="131" t="s">
        <v>28</v>
      </c>
      <c r="G21" s="131"/>
      <c r="H21" s="131"/>
      <c r="I21" s="131"/>
      <c r="J21" s="131"/>
      <c r="K21" s="131"/>
      <c r="L21" s="131"/>
      <c r="M21" s="131"/>
      <c r="N21" s="131"/>
      <c r="O21" s="131"/>
      <c r="P21" s="131"/>
      <c r="Q21" s="131"/>
      <c r="R21" s="131"/>
      <c r="S21" s="131"/>
      <c r="T21" s="131"/>
      <c r="U21" s="131"/>
      <c r="V21" s="131"/>
      <c r="W21" s="131"/>
      <c r="X21" s="131"/>
      <c r="Y21" s="131"/>
      <c r="Z21" s="131"/>
      <c r="AA21" s="131"/>
      <c r="AB21" s="131"/>
      <c r="AC21" s="131"/>
      <c r="AD21" s="131"/>
      <c r="AE21" s="131"/>
      <c r="AF21" s="131"/>
      <c r="AG21" s="131"/>
      <c r="AH21" s="126"/>
      <c r="AI21" s="127"/>
      <c r="AJ21" s="127"/>
      <c r="AK21" s="127"/>
      <c r="AL21" s="128"/>
      <c r="AM21" s="11"/>
    </row>
    <row r="22" spans="1:39" ht="11.5" customHeight="1" x14ac:dyDescent="0.35">
      <c r="B22" s="131" t="s">
        <v>93</v>
      </c>
      <c r="C22" s="131"/>
      <c r="D22" s="131"/>
      <c r="E22" s="131"/>
      <c r="F22" s="131" t="s">
        <v>29</v>
      </c>
      <c r="G22" s="131"/>
      <c r="H22" s="131"/>
      <c r="I22" s="131"/>
      <c r="J22" s="131"/>
      <c r="K22" s="131"/>
      <c r="L22" s="131"/>
      <c r="M22" s="131"/>
      <c r="N22" s="131"/>
      <c r="O22" s="131"/>
      <c r="P22" s="131"/>
      <c r="Q22" s="131"/>
      <c r="R22" s="131"/>
      <c r="S22" s="131"/>
      <c r="T22" s="131"/>
      <c r="U22" s="131"/>
      <c r="V22" s="131"/>
      <c r="W22" s="131"/>
      <c r="X22" s="131"/>
      <c r="Y22" s="131"/>
      <c r="Z22" s="131"/>
      <c r="AA22" s="131"/>
      <c r="AB22" s="131"/>
      <c r="AC22" s="131"/>
      <c r="AD22" s="131"/>
      <c r="AE22" s="131"/>
      <c r="AF22" s="131"/>
      <c r="AG22" s="131"/>
      <c r="AH22" s="126"/>
      <c r="AI22" s="127"/>
      <c r="AJ22" s="127"/>
      <c r="AK22" s="127"/>
      <c r="AL22" s="128"/>
      <c r="AM22" s="11"/>
    </row>
    <row r="23" spans="1:39" ht="11.5" customHeight="1" x14ac:dyDescent="0.35">
      <c r="B23" s="131" t="s">
        <v>94</v>
      </c>
      <c r="C23" s="131"/>
      <c r="D23" s="131"/>
      <c r="E23" s="131"/>
      <c r="F23" s="129" t="s">
        <v>85</v>
      </c>
      <c r="G23" s="129"/>
      <c r="H23" s="129"/>
      <c r="I23" s="129"/>
      <c r="J23" s="129"/>
      <c r="K23" s="129"/>
      <c r="L23" s="129"/>
      <c r="M23" s="129"/>
      <c r="N23" s="129"/>
      <c r="O23" s="129"/>
      <c r="P23" s="129"/>
      <c r="Q23" s="129"/>
      <c r="R23" s="129"/>
      <c r="S23" s="129"/>
      <c r="T23" s="129"/>
      <c r="U23" s="129"/>
      <c r="V23" s="129"/>
      <c r="W23" s="129"/>
      <c r="X23" s="129"/>
      <c r="Y23" s="129"/>
      <c r="Z23" s="129"/>
      <c r="AA23" s="129"/>
      <c r="AB23" s="129"/>
      <c r="AC23" s="129"/>
      <c r="AD23" s="129"/>
      <c r="AE23" s="129"/>
      <c r="AF23" s="129"/>
      <c r="AG23" s="129"/>
      <c r="AH23" s="126"/>
      <c r="AI23" s="127"/>
      <c r="AJ23" s="127"/>
      <c r="AK23" s="127"/>
      <c r="AL23" s="128"/>
      <c r="AM23" s="11"/>
    </row>
    <row r="24" spans="1:39" ht="37.5" customHeight="1" x14ac:dyDescent="0.35">
      <c r="B24" s="131" t="s">
        <v>95</v>
      </c>
      <c r="C24" s="131"/>
      <c r="D24" s="131"/>
      <c r="E24" s="131"/>
      <c r="F24" s="129" t="s">
        <v>86</v>
      </c>
      <c r="G24" s="129"/>
      <c r="H24" s="129"/>
      <c r="I24" s="129"/>
      <c r="J24" s="129"/>
      <c r="K24" s="129"/>
      <c r="L24" s="129"/>
      <c r="M24" s="129"/>
      <c r="N24" s="129"/>
      <c r="O24" s="129"/>
      <c r="P24" s="129"/>
      <c r="Q24" s="129"/>
      <c r="R24" s="129"/>
      <c r="S24" s="129"/>
      <c r="T24" s="129"/>
      <c r="U24" s="129"/>
      <c r="V24" s="129"/>
      <c r="W24" s="129"/>
      <c r="X24" s="129"/>
      <c r="Y24" s="129"/>
      <c r="Z24" s="129"/>
      <c r="AA24" s="129"/>
      <c r="AB24" s="129"/>
      <c r="AC24" s="129"/>
      <c r="AD24" s="129"/>
      <c r="AE24" s="129"/>
      <c r="AF24" s="129"/>
      <c r="AG24" s="129"/>
      <c r="AH24" s="126"/>
      <c r="AI24" s="127"/>
      <c r="AJ24" s="127"/>
      <c r="AK24" s="127"/>
      <c r="AL24" s="128"/>
      <c r="AM24" s="3"/>
    </row>
    <row r="25" spans="1:39" ht="11.5" customHeight="1" x14ac:dyDescent="0.35">
      <c r="B25" s="131" t="s">
        <v>96</v>
      </c>
      <c r="C25" s="131"/>
      <c r="D25" s="131"/>
      <c r="E25" s="131"/>
      <c r="F25" s="129" t="s">
        <v>87</v>
      </c>
      <c r="G25" s="129"/>
      <c r="H25" s="129"/>
      <c r="I25" s="129"/>
      <c r="J25" s="129"/>
      <c r="K25" s="129"/>
      <c r="L25" s="129"/>
      <c r="M25" s="129"/>
      <c r="N25" s="129"/>
      <c r="O25" s="129"/>
      <c r="P25" s="129"/>
      <c r="Q25" s="129"/>
      <c r="R25" s="129"/>
      <c r="S25" s="129"/>
      <c r="T25" s="129"/>
      <c r="U25" s="129"/>
      <c r="V25" s="129"/>
      <c r="W25" s="129"/>
      <c r="X25" s="129"/>
      <c r="Y25" s="129"/>
      <c r="Z25" s="129"/>
      <c r="AA25" s="129"/>
      <c r="AB25" s="129"/>
      <c r="AC25" s="129"/>
      <c r="AD25" s="129"/>
      <c r="AE25" s="129"/>
      <c r="AF25" s="129"/>
      <c r="AG25" s="129"/>
      <c r="AH25" s="126"/>
      <c r="AI25" s="127"/>
      <c r="AJ25" s="127"/>
      <c r="AK25" s="127"/>
      <c r="AL25" s="128"/>
      <c r="AM25" s="3"/>
    </row>
    <row r="26" spans="1:39" ht="11.5" customHeight="1" x14ac:dyDescent="0.35">
      <c r="B26" s="131" t="s">
        <v>97</v>
      </c>
      <c r="C26" s="131"/>
      <c r="D26" s="131"/>
      <c r="E26" s="131"/>
      <c r="F26" s="129" t="s">
        <v>88</v>
      </c>
      <c r="G26" s="129"/>
      <c r="H26" s="129"/>
      <c r="I26" s="129"/>
      <c r="J26" s="129"/>
      <c r="K26" s="129"/>
      <c r="L26" s="129"/>
      <c r="M26" s="129"/>
      <c r="N26" s="129"/>
      <c r="O26" s="129"/>
      <c r="P26" s="129"/>
      <c r="Q26" s="129"/>
      <c r="R26" s="129"/>
      <c r="S26" s="129"/>
      <c r="T26" s="129"/>
      <c r="U26" s="129"/>
      <c r="V26" s="129"/>
      <c r="W26" s="129"/>
      <c r="X26" s="129"/>
      <c r="Y26" s="129"/>
      <c r="Z26" s="129"/>
      <c r="AA26" s="129"/>
      <c r="AB26" s="129"/>
      <c r="AC26" s="129"/>
      <c r="AD26" s="129"/>
      <c r="AE26" s="129"/>
      <c r="AF26" s="129"/>
      <c r="AG26" s="129"/>
      <c r="AH26" s="126"/>
      <c r="AI26" s="127"/>
      <c r="AJ26" s="127"/>
      <c r="AK26" s="127"/>
      <c r="AL26" s="128"/>
      <c r="AM26" s="3"/>
    </row>
    <row r="27" spans="1:39" ht="11.5" customHeight="1" x14ac:dyDescent="0.35">
      <c r="B27" s="3"/>
      <c r="C27" s="3"/>
      <c r="D27" s="3"/>
      <c r="E27" s="3"/>
      <c r="F27" s="47"/>
      <c r="G27" s="47"/>
      <c r="H27" s="47"/>
      <c r="I27" s="47"/>
      <c r="J27" s="47"/>
      <c r="K27" s="47"/>
      <c r="L27" s="47"/>
      <c r="M27" s="47"/>
      <c r="N27" s="47"/>
      <c r="O27" s="47"/>
      <c r="P27" s="47"/>
      <c r="Q27" s="47"/>
      <c r="R27" s="47"/>
      <c r="S27" s="47"/>
      <c r="T27" s="47"/>
      <c r="U27" s="47"/>
      <c r="V27" s="47"/>
      <c r="W27" s="47"/>
      <c r="X27" s="47"/>
      <c r="Y27" s="47"/>
      <c r="Z27" s="47"/>
      <c r="AA27" s="47"/>
      <c r="AB27" s="47"/>
      <c r="AC27" s="47"/>
      <c r="AD27" s="47"/>
      <c r="AE27" s="47"/>
      <c r="AF27" s="47"/>
      <c r="AG27" s="47"/>
      <c r="AH27" s="48"/>
      <c r="AI27" s="49"/>
      <c r="AJ27" s="49"/>
      <c r="AK27" s="49"/>
      <c r="AL27" s="49"/>
      <c r="AM27" s="3"/>
    </row>
    <row r="28" spans="1:39" ht="11.5" customHeight="1" thickBot="1" x14ac:dyDescent="0.4">
      <c r="A28" s="17"/>
      <c r="B28" s="18"/>
      <c r="C28" s="18"/>
      <c r="D28" s="18"/>
      <c r="E28" s="18"/>
      <c r="F28" s="19"/>
      <c r="G28" s="19"/>
      <c r="H28" s="19"/>
      <c r="I28" s="19"/>
      <c r="J28" s="19"/>
      <c r="K28" s="19"/>
      <c r="L28" s="19"/>
      <c r="M28" s="19"/>
      <c r="N28" s="19"/>
      <c r="O28" s="19"/>
      <c r="P28" s="19"/>
      <c r="Q28" s="19"/>
      <c r="R28" s="19"/>
      <c r="S28" s="19"/>
      <c r="T28" s="19"/>
      <c r="U28" s="19"/>
      <c r="V28" s="19"/>
      <c r="W28" s="19"/>
      <c r="X28" s="19"/>
      <c r="Y28" s="19"/>
      <c r="Z28" s="19"/>
      <c r="AA28" s="19"/>
      <c r="AB28" s="19"/>
      <c r="AC28" s="19"/>
      <c r="AD28" s="19"/>
      <c r="AE28" s="19"/>
      <c r="AF28" s="19"/>
      <c r="AG28" s="19"/>
      <c r="AH28" s="18"/>
      <c r="AI28" s="18"/>
      <c r="AJ28" s="18"/>
      <c r="AK28" s="18"/>
      <c r="AL28" s="18"/>
      <c r="AM28" s="20"/>
    </row>
    <row r="29" spans="1:39" ht="11.5" customHeight="1" x14ac:dyDescent="0.35">
      <c r="A29" s="7" t="s">
        <v>46</v>
      </c>
      <c r="B29" s="9"/>
      <c r="C29" s="9"/>
      <c r="D29" s="9"/>
      <c r="E29" s="9"/>
      <c r="F29" s="9"/>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row>
    <row r="30" spans="1:39" ht="11.5" customHeight="1" x14ac:dyDescent="0.35">
      <c r="A30" s="7"/>
      <c r="B30" s="9"/>
      <c r="C30" s="9"/>
      <c r="D30" s="9"/>
      <c r="E30" s="9"/>
      <c r="F30" s="9"/>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row>
    <row r="31" spans="1:39" ht="11.5" customHeight="1" x14ac:dyDescent="0.3">
      <c r="A31" s="7"/>
      <c r="B31" s="138" t="s">
        <v>89</v>
      </c>
      <c r="C31" s="138"/>
      <c r="D31" s="138"/>
      <c r="E31" s="138"/>
      <c r="F31" s="138"/>
      <c r="G31" s="164" t="s">
        <v>113</v>
      </c>
      <c r="H31" s="164"/>
      <c r="I31" s="164"/>
      <c r="J31" s="164"/>
      <c r="L31" s="69" t="s">
        <v>47</v>
      </c>
      <c r="M31" s="69"/>
      <c r="N31" s="69"/>
      <c r="O31" s="69"/>
      <c r="P31" s="69"/>
      <c r="Q31" s="69"/>
      <c r="R31" s="69"/>
      <c r="S31" s="69"/>
      <c r="T31" s="69"/>
      <c r="U31" s="69"/>
      <c r="V31" s="69"/>
      <c r="W31" s="69"/>
      <c r="X31" s="69"/>
      <c r="Z31" s="69" t="s">
        <v>65</v>
      </c>
      <c r="AA31" s="69"/>
      <c r="AB31" s="69"/>
      <c r="AC31" s="69"/>
      <c r="AD31" s="69"/>
      <c r="AE31" s="69"/>
      <c r="AF31" s="69"/>
      <c r="AG31" s="69"/>
      <c r="AH31" s="69"/>
      <c r="AI31" s="69"/>
      <c r="AJ31" s="69"/>
      <c r="AK31" s="69"/>
      <c r="AL31" s="69"/>
      <c r="AM31" s="11"/>
    </row>
    <row r="32" spans="1:39" ht="11.5" customHeight="1" x14ac:dyDescent="0.35">
      <c r="A32" s="7"/>
      <c r="L32" s="138" t="s">
        <v>53</v>
      </c>
      <c r="M32" s="138"/>
      <c r="N32" s="138"/>
      <c r="O32" s="138"/>
      <c r="P32" s="138"/>
      <c r="Q32" s="138" t="s">
        <v>48</v>
      </c>
      <c r="R32" s="138"/>
      <c r="S32" s="138"/>
      <c r="T32" s="138" t="s">
        <v>49</v>
      </c>
      <c r="U32" s="138"/>
      <c r="V32" s="138"/>
      <c r="W32" s="138" t="s">
        <v>50</v>
      </c>
      <c r="X32" s="138"/>
      <c r="Z32" s="138" t="s">
        <v>53</v>
      </c>
      <c r="AA32" s="138"/>
      <c r="AB32" s="138"/>
      <c r="AC32" s="138"/>
      <c r="AD32" s="138"/>
      <c r="AE32" s="138" t="s">
        <v>48</v>
      </c>
      <c r="AF32" s="138"/>
      <c r="AG32" s="138"/>
      <c r="AH32" s="138" t="s">
        <v>49</v>
      </c>
      <c r="AI32" s="138"/>
      <c r="AJ32" s="138"/>
      <c r="AK32" s="138" t="s">
        <v>50</v>
      </c>
      <c r="AL32" s="138"/>
    </row>
    <row r="33" spans="1:39" ht="11.5" customHeight="1" x14ac:dyDescent="0.3">
      <c r="A33" s="7"/>
      <c r="B33" s="138" t="s">
        <v>71</v>
      </c>
      <c r="C33" s="138"/>
      <c r="D33" s="138"/>
      <c r="E33" s="138"/>
      <c r="F33" s="138"/>
      <c r="G33" s="138"/>
      <c r="H33" s="138"/>
      <c r="I33" s="138"/>
      <c r="J33" s="138"/>
      <c r="L33" s="69" t="str">
        <f>IF(OR(ISNUMBER(FIND("T",$G$31)),ISNUMBER(FIND("M",$G$31))),"Thermal","Long Time")</f>
        <v>Long Time</v>
      </c>
      <c r="M33" s="69"/>
      <c r="N33" s="69"/>
      <c r="O33" s="69"/>
      <c r="P33" s="69"/>
      <c r="Q33" s="72"/>
      <c r="R33" s="72"/>
      <c r="S33" s="72"/>
      <c r="T33" s="72"/>
      <c r="U33" s="72"/>
      <c r="V33" s="72"/>
      <c r="W33" s="71"/>
      <c r="X33" s="71"/>
      <c r="Z33" s="69" t="str">
        <f>IF(OR(ISNUMBER(FIND("T",$G$31)),ISNUMBER(FIND("M",$G$31))),"Thermal","Long Time")</f>
        <v>Long Time</v>
      </c>
      <c r="AA33" s="69"/>
      <c r="AB33" s="69"/>
      <c r="AC33" s="69"/>
      <c r="AD33" s="69"/>
      <c r="AE33" s="72"/>
      <c r="AF33" s="72"/>
      <c r="AG33" s="72"/>
      <c r="AH33" s="72"/>
      <c r="AI33" s="72"/>
      <c r="AJ33" s="72"/>
      <c r="AK33" s="71"/>
      <c r="AL33" s="71"/>
    </row>
    <row r="34" spans="1:39" ht="11.5" customHeight="1" x14ac:dyDescent="0.3">
      <c r="A34" s="7"/>
      <c r="B34" s="166" t="s">
        <v>72</v>
      </c>
      <c r="C34" s="166"/>
      <c r="D34" s="166"/>
      <c r="E34" s="164"/>
      <c r="F34" s="164"/>
      <c r="G34" s="164"/>
      <c r="H34" s="164"/>
      <c r="I34" s="164"/>
      <c r="J34" s="164"/>
      <c r="L34" s="69" t="str">
        <f>IF(OR(ISNUMBER(FIND("T",$G$31)),ISNUMBER(FIND("M",$G$31))),"Magnetic","Short Time")</f>
        <v>Short Time</v>
      </c>
      <c r="M34" s="69"/>
      <c r="N34" s="69"/>
      <c r="O34" s="69"/>
      <c r="P34" s="69"/>
      <c r="Q34" s="72"/>
      <c r="R34" s="72"/>
      <c r="S34" s="72"/>
      <c r="T34" s="72"/>
      <c r="U34" s="72"/>
      <c r="V34" s="72"/>
      <c r="W34" s="72"/>
      <c r="X34" s="72"/>
      <c r="Z34" s="69" t="str">
        <f>IF(OR(ISNUMBER(FIND("T",$G$31)),ISNUMBER(FIND("M",$G$31))),"Magnetic","Short Time")</f>
        <v>Short Time</v>
      </c>
      <c r="AA34" s="69"/>
      <c r="AB34" s="69"/>
      <c r="AC34" s="69"/>
      <c r="AD34" s="69"/>
      <c r="AE34" s="72"/>
      <c r="AF34" s="72"/>
      <c r="AG34" s="72"/>
      <c r="AH34" s="72"/>
      <c r="AI34" s="72"/>
      <c r="AJ34" s="72"/>
      <c r="AK34" s="72"/>
      <c r="AL34" s="72"/>
    </row>
    <row r="35" spans="1:39" ht="11.5" customHeight="1" x14ac:dyDescent="0.35">
      <c r="A35" s="22"/>
      <c r="B35" s="138" t="s">
        <v>73</v>
      </c>
      <c r="C35" s="138"/>
      <c r="D35" s="138"/>
      <c r="E35" s="164"/>
      <c r="F35" s="164"/>
      <c r="G35" s="164"/>
      <c r="H35" s="164"/>
      <c r="I35" s="164"/>
      <c r="J35" s="164"/>
      <c r="L35" s="70" t="s">
        <v>51</v>
      </c>
      <c r="M35" s="70"/>
      <c r="N35" s="70"/>
      <c r="O35" s="70"/>
      <c r="P35" s="70"/>
      <c r="Q35" s="72"/>
      <c r="R35" s="72"/>
      <c r="S35" s="72"/>
      <c r="T35" s="71"/>
      <c r="U35" s="71"/>
      <c r="V35" s="71"/>
      <c r="W35" s="71"/>
      <c r="X35" s="71"/>
      <c r="Z35" s="70" t="s">
        <v>51</v>
      </c>
      <c r="AA35" s="70"/>
      <c r="AB35" s="70"/>
      <c r="AC35" s="70"/>
      <c r="AD35" s="70"/>
      <c r="AE35" s="72"/>
      <c r="AF35" s="72"/>
      <c r="AG35" s="72"/>
      <c r="AH35" s="71"/>
      <c r="AI35" s="71"/>
      <c r="AJ35" s="71"/>
      <c r="AK35" s="71"/>
      <c r="AL35" s="71"/>
    </row>
    <row r="36" spans="1:39" ht="11.5" customHeight="1" x14ac:dyDescent="0.3">
      <c r="A36" s="22"/>
      <c r="B36" s="138" t="s">
        <v>4</v>
      </c>
      <c r="C36" s="138"/>
      <c r="D36" s="138"/>
      <c r="E36" s="164"/>
      <c r="F36" s="164"/>
      <c r="G36" s="164"/>
      <c r="H36" s="164"/>
      <c r="I36" s="164"/>
      <c r="J36" s="164"/>
      <c r="L36" s="69" t="s">
        <v>64</v>
      </c>
      <c r="M36" s="69"/>
      <c r="N36" s="69"/>
      <c r="O36" s="69"/>
      <c r="P36" s="69"/>
      <c r="Q36" s="72"/>
      <c r="R36" s="72"/>
      <c r="S36" s="72"/>
      <c r="T36" s="72"/>
      <c r="U36" s="72"/>
      <c r="V36" s="72"/>
      <c r="W36" s="72"/>
      <c r="X36" s="72"/>
      <c r="Z36" s="69" t="s">
        <v>64</v>
      </c>
      <c r="AA36" s="69"/>
      <c r="AB36" s="69"/>
      <c r="AC36" s="69"/>
      <c r="AD36" s="69"/>
      <c r="AE36" s="72"/>
      <c r="AF36" s="72"/>
      <c r="AG36" s="72"/>
      <c r="AH36" s="72"/>
      <c r="AI36" s="72"/>
      <c r="AJ36" s="72"/>
      <c r="AK36" s="72"/>
      <c r="AL36" s="72"/>
    </row>
    <row r="38" spans="1:39" ht="11.5" customHeight="1" thickBot="1" x14ac:dyDescent="0.4">
      <c r="A38" s="18"/>
      <c r="B38" s="18"/>
      <c r="C38" s="18"/>
      <c r="D38" s="18"/>
      <c r="E38" s="18"/>
      <c r="F38" s="18"/>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6"/>
      <c r="AL38" s="6"/>
      <c r="AM38" s="6"/>
    </row>
    <row r="39" spans="1:39" ht="11.5" customHeight="1" x14ac:dyDescent="0.35">
      <c r="A39" s="7" t="s">
        <v>30</v>
      </c>
      <c r="B39" s="9"/>
      <c r="C39" s="9"/>
      <c r="D39" s="9"/>
      <c r="E39" s="9"/>
      <c r="F39" s="9"/>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row>
    <row r="40" spans="1:39" ht="11.5" customHeight="1" x14ac:dyDescent="0.35">
      <c r="A40" s="7"/>
      <c r="B40" s="9"/>
      <c r="C40" s="9"/>
      <c r="D40" s="9"/>
      <c r="E40" s="9"/>
      <c r="F40" s="9"/>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row>
    <row r="41" spans="1:39" ht="11.5" customHeight="1" x14ac:dyDescent="0.35">
      <c r="A41" s="22"/>
      <c r="B41" s="138" t="s">
        <v>78</v>
      </c>
      <c r="C41" s="138"/>
      <c r="D41" s="138"/>
      <c r="E41" s="138"/>
      <c r="F41" s="138"/>
      <c r="G41" s="138"/>
      <c r="H41" s="138"/>
      <c r="I41" s="138"/>
      <c r="J41" s="138"/>
      <c r="K41" s="138"/>
      <c r="L41" s="138"/>
      <c r="M41" s="138"/>
      <c r="N41" s="138"/>
      <c r="O41" s="138"/>
      <c r="Q41" s="175" t="s">
        <v>80</v>
      </c>
      <c r="R41" s="175"/>
      <c r="S41" s="175"/>
      <c r="T41" s="175"/>
      <c r="U41" s="175"/>
      <c r="V41" s="175"/>
      <c r="W41" s="175"/>
      <c r="X41" s="175"/>
      <c r="Z41" s="138" t="s">
        <v>76</v>
      </c>
      <c r="AA41" s="138"/>
      <c r="AB41" s="138"/>
      <c r="AC41" s="138"/>
      <c r="AE41" s="159"/>
      <c r="AF41" s="159"/>
    </row>
    <row r="42" spans="1:39" ht="11.5" customHeight="1" x14ac:dyDescent="0.35">
      <c r="A42" s="22"/>
      <c r="B42" s="138" t="s">
        <v>56</v>
      </c>
      <c r="C42" s="138"/>
      <c r="D42" s="138"/>
      <c r="E42" s="138"/>
      <c r="F42" s="138" t="s">
        <v>57</v>
      </c>
      <c r="G42" s="138"/>
      <c r="H42" s="138"/>
      <c r="I42" s="138"/>
      <c r="J42" s="138" t="s">
        <v>58</v>
      </c>
      <c r="K42" s="138"/>
      <c r="L42" s="138"/>
      <c r="M42" s="138"/>
      <c r="N42" s="138" t="s">
        <v>15</v>
      </c>
      <c r="O42" s="138"/>
      <c r="Q42" s="138" t="s">
        <v>74</v>
      </c>
      <c r="R42" s="138"/>
      <c r="S42" s="138"/>
      <c r="T42" s="138"/>
      <c r="U42" s="138" t="s">
        <v>75</v>
      </c>
      <c r="V42" s="138"/>
      <c r="W42" s="138"/>
      <c r="X42" s="138"/>
      <c r="Z42" s="169" t="str">
        <f>IF(U43="N/A","N/A",IF(ISNUMBER(Q43)=FALSE,"-",IF(Q43&gt;0.5,"FAIL","PASS")))</f>
        <v>-</v>
      </c>
      <c r="AA42" s="170"/>
      <c r="AB42" s="170"/>
      <c r="AC42" s="171"/>
      <c r="AE42" s="159"/>
      <c r="AF42" s="159"/>
    </row>
    <row r="43" spans="1:39" ht="11.5" customHeight="1" x14ac:dyDescent="0.35">
      <c r="A43" s="22"/>
      <c r="B43" s="164"/>
      <c r="C43" s="164"/>
      <c r="D43" s="164"/>
      <c r="E43" s="164"/>
      <c r="F43" s="164"/>
      <c r="G43" s="164"/>
      <c r="H43" s="164"/>
      <c r="I43" s="164"/>
      <c r="J43" s="164"/>
      <c r="K43" s="164"/>
      <c r="L43" s="164"/>
      <c r="M43" s="164"/>
      <c r="N43" s="178" t="s">
        <v>79</v>
      </c>
      <c r="O43" s="178"/>
      <c r="Q43" s="160" t="str">
        <f>IF(OR(B43="",F43="",J43=""),"-",(MAX(B43,F43,J43)/MIN(B43,F43,J43)-1))</f>
        <v>-</v>
      </c>
      <c r="R43" s="160"/>
      <c r="S43" s="160"/>
      <c r="T43" s="160"/>
      <c r="U43" s="164" t="s">
        <v>77</v>
      </c>
      <c r="V43" s="164"/>
      <c r="W43" s="164"/>
      <c r="X43" s="164"/>
      <c r="Z43" s="172"/>
      <c r="AA43" s="173"/>
      <c r="AB43" s="173"/>
      <c r="AC43" s="174"/>
      <c r="AF43" s="21"/>
      <c r="AG43" s="21"/>
      <c r="AH43" s="21"/>
      <c r="AI43" s="21"/>
      <c r="AJ43" s="21"/>
      <c r="AL43" s="22"/>
    </row>
    <row r="44" spans="1:39" ht="11.5" customHeight="1" x14ac:dyDescent="0.35">
      <c r="A44" s="22"/>
      <c r="B44" s="21"/>
      <c r="C44" s="21"/>
      <c r="D44" s="21"/>
      <c r="E44" s="21"/>
      <c r="F44" s="21"/>
      <c r="G44" s="21"/>
      <c r="H44" s="21"/>
      <c r="I44" s="21"/>
      <c r="J44" s="21"/>
      <c r="K44" s="21"/>
      <c r="L44" s="21"/>
      <c r="M44" s="21"/>
      <c r="N44" s="44"/>
      <c r="O44" s="44"/>
      <c r="Q44" s="45"/>
      <c r="R44" s="45"/>
      <c r="S44" s="45"/>
      <c r="T44" s="45"/>
      <c r="U44" s="21"/>
      <c r="V44" s="21"/>
      <c r="W44" s="21"/>
      <c r="X44" s="21"/>
      <c r="Z44" s="46"/>
      <c r="AA44" s="46"/>
      <c r="AB44" s="46"/>
      <c r="AC44" s="46"/>
      <c r="AF44" s="21"/>
      <c r="AG44" s="21"/>
      <c r="AH44" s="21"/>
      <c r="AI44" s="21"/>
      <c r="AJ44" s="21"/>
      <c r="AL44" s="22"/>
    </row>
    <row r="45" spans="1:39" ht="11.5" customHeight="1" thickBot="1" x14ac:dyDescent="0.4">
      <c r="A45" s="18"/>
      <c r="B45" s="18"/>
      <c r="C45" s="18"/>
      <c r="D45" s="18"/>
      <c r="E45" s="18"/>
      <c r="F45" s="18"/>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6"/>
      <c r="AL45" s="6"/>
      <c r="AM45" s="6"/>
    </row>
    <row r="46" spans="1:39" ht="11.5" customHeight="1" x14ac:dyDescent="0.35">
      <c r="A46" s="7" t="s">
        <v>31</v>
      </c>
      <c r="B46" s="9"/>
      <c r="C46" s="9"/>
      <c r="D46" s="9"/>
      <c r="E46" s="9"/>
      <c r="F46" s="9"/>
      <c r="G46" s="11"/>
      <c r="H46" s="11"/>
      <c r="I46" s="11"/>
      <c r="J46" s="11"/>
      <c r="K46" s="11"/>
      <c r="L46" s="11"/>
      <c r="M46" s="11"/>
      <c r="N46" s="11"/>
      <c r="O46" s="11"/>
      <c r="P46" s="11"/>
      <c r="Q46" s="11"/>
      <c r="R46" s="11"/>
      <c r="S46" s="11"/>
      <c r="T46" s="11"/>
      <c r="U46" s="11"/>
      <c r="V46" s="11"/>
      <c r="W46" s="11"/>
      <c r="X46" s="11"/>
      <c r="Y46" s="11"/>
      <c r="Z46" s="11"/>
      <c r="AA46" s="11"/>
      <c r="AB46" s="11"/>
      <c r="AC46" s="26"/>
      <c r="AD46" s="11"/>
      <c r="AE46" s="11"/>
      <c r="AF46" s="11"/>
      <c r="AG46" s="11"/>
      <c r="AH46" s="11"/>
      <c r="AI46" s="11"/>
      <c r="AJ46" s="11"/>
      <c r="AK46" s="11"/>
      <c r="AL46" s="11"/>
      <c r="AM46" s="11"/>
    </row>
    <row r="47" spans="1:39" ht="11.5" customHeight="1" x14ac:dyDescent="0.35">
      <c r="A47" s="22"/>
      <c r="B47" s="22"/>
      <c r="C47" s="22"/>
      <c r="D47" s="22"/>
      <c r="E47" s="22"/>
      <c r="F47" s="22"/>
      <c r="G47" s="22"/>
      <c r="H47" s="22"/>
      <c r="I47" s="22"/>
      <c r="J47" s="22"/>
      <c r="K47" s="22"/>
      <c r="L47" s="22"/>
      <c r="M47" s="22"/>
      <c r="N47" s="22"/>
      <c r="O47" s="22"/>
      <c r="P47" s="22"/>
      <c r="Q47" s="22"/>
      <c r="R47" s="156" t="s">
        <v>102</v>
      </c>
      <c r="S47" s="156"/>
      <c r="T47" s="156"/>
      <c r="U47" s="156"/>
      <c r="V47" s="156"/>
      <c r="W47" s="156"/>
      <c r="X47" s="156"/>
      <c r="Y47" s="156"/>
      <c r="Z47" s="156"/>
      <c r="AA47" s="110"/>
      <c r="AB47" s="110"/>
      <c r="AC47" s="110"/>
      <c r="AE47" s="109" t="s">
        <v>107</v>
      </c>
      <c r="AF47" s="109"/>
      <c r="AG47" s="109"/>
      <c r="AH47" s="109"/>
      <c r="AI47" s="109"/>
      <c r="AJ47" s="115">
        <f>IF($U$12="","",IF($U$12&lt;=250,500,1000))</f>
        <v>1000</v>
      </c>
      <c r="AK47" s="115"/>
      <c r="AL47" s="115"/>
      <c r="AM47" s="22"/>
    </row>
    <row r="48" spans="1:39" ht="11.5" customHeight="1" x14ac:dyDescent="0.35">
      <c r="A48" s="22"/>
      <c r="R48" s="156" t="s">
        <v>101</v>
      </c>
      <c r="S48" s="156"/>
      <c r="T48" s="156"/>
      <c r="U48" s="156"/>
      <c r="V48" s="156"/>
      <c r="W48" s="156"/>
      <c r="X48" s="156"/>
      <c r="Y48" s="156"/>
      <c r="Z48" s="156"/>
      <c r="AA48" s="116">
        <f>ROUND(0.1758*EXP(0.0256*AA47),3)</f>
        <v>0.17599999999999999</v>
      </c>
      <c r="AB48" s="116"/>
      <c r="AC48" s="113"/>
      <c r="AE48" s="109" t="s">
        <v>103</v>
      </c>
      <c r="AF48" s="109"/>
      <c r="AG48" s="109"/>
      <c r="AH48" s="109"/>
      <c r="AI48" s="109"/>
      <c r="AJ48" s="110" t="s">
        <v>104</v>
      </c>
      <c r="AK48" s="110"/>
      <c r="AL48" s="110"/>
    </row>
    <row r="49" spans="1:39" ht="11.5" customHeight="1" x14ac:dyDescent="0.35">
      <c r="A49" s="22"/>
      <c r="AC49" s="11"/>
    </row>
    <row r="50" spans="1:39" ht="11.5" customHeight="1" x14ac:dyDescent="0.35">
      <c r="A50" s="22"/>
      <c r="B50" s="103" t="s">
        <v>82</v>
      </c>
      <c r="C50" s="104"/>
      <c r="D50" s="104"/>
      <c r="E50" s="105"/>
      <c r="F50" s="56" t="s">
        <v>81</v>
      </c>
      <c r="G50" s="56"/>
      <c r="H50" s="56"/>
      <c r="I50" s="112" t="s">
        <v>67</v>
      </c>
      <c r="J50" s="116"/>
      <c r="K50" s="116"/>
      <c r="L50" s="116"/>
      <c r="M50" s="116"/>
      <c r="N50" s="116"/>
      <c r="O50" s="116"/>
      <c r="P50" s="116"/>
      <c r="Q50" s="113"/>
      <c r="R50" s="112" t="s">
        <v>68</v>
      </c>
      <c r="S50" s="116"/>
      <c r="T50" s="116"/>
      <c r="U50" s="116"/>
      <c r="V50" s="116"/>
      <c r="W50" s="116"/>
      <c r="X50" s="116"/>
      <c r="Y50" s="116"/>
      <c r="Z50" s="113"/>
      <c r="AA50" s="30"/>
      <c r="AB50" s="34"/>
      <c r="AC50" s="30"/>
      <c r="AD50" s="182" t="s">
        <v>109</v>
      </c>
      <c r="AE50" s="182"/>
      <c r="AF50" s="182"/>
      <c r="AG50" s="182"/>
      <c r="AH50" s="182"/>
      <c r="AI50" s="30"/>
      <c r="AJ50" s="103" t="s">
        <v>22</v>
      </c>
      <c r="AK50" s="104"/>
      <c r="AL50" s="105"/>
    </row>
    <row r="51" spans="1:39" ht="11.5" customHeight="1" x14ac:dyDescent="0.35">
      <c r="A51" s="22"/>
      <c r="B51" s="106"/>
      <c r="C51" s="107"/>
      <c r="D51" s="107"/>
      <c r="E51" s="108"/>
      <c r="F51" s="56"/>
      <c r="G51" s="56"/>
      <c r="H51" s="56"/>
      <c r="I51" s="161" t="s">
        <v>66</v>
      </c>
      <c r="J51" s="161"/>
      <c r="K51" s="161"/>
      <c r="L51" s="161" t="s">
        <v>69</v>
      </c>
      <c r="M51" s="161"/>
      <c r="N51" s="161"/>
      <c r="O51" s="161" t="s">
        <v>70</v>
      </c>
      <c r="P51" s="161"/>
      <c r="Q51" s="161"/>
      <c r="R51" s="161" t="s">
        <v>66</v>
      </c>
      <c r="S51" s="161"/>
      <c r="T51" s="161"/>
      <c r="U51" s="161" t="s">
        <v>69</v>
      </c>
      <c r="V51" s="161"/>
      <c r="W51" s="161"/>
      <c r="X51" s="161" t="s">
        <v>70</v>
      </c>
      <c r="Y51" s="161"/>
      <c r="Z51" s="161"/>
      <c r="AA51" s="112" t="s">
        <v>15</v>
      </c>
      <c r="AB51" s="113"/>
      <c r="AC51" s="30"/>
      <c r="AD51" s="183" t="s">
        <v>83</v>
      </c>
      <c r="AE51" s="183"/>
      <c r="AF51" s="183"/>
      <c r="AG51" s="184" t="s">
        <v>15</v>
      </c>
      <c r="AH51" s="184"/>
      <c r="AI51" s="30"/>
      <c r="AJ51" s="106"/>
      <c r="AK51" s="107"/>
      <c r="AL51" s="108"/>
    </row>
    <row r="52" spans="1:39" ht="11.5" customHeight="1" x14ac:dyDescent="0.35">
      <c r="A52" s="22"/>
      <c r="B52" s="168" t="s">
        <v>32</v>
      </c>
      <c r="C52" s="179"/>
      <c r="D52" s="179"/>
      <c r="E52" s="180"/>
      <c r="F52" s="167" t="s">
        <v>33</v>
      </c>
      <c r="G52" s="167"/>
      <c r="H52" s="168"/>
      <c r="I52" s="31"/>
      <c r="J52" s="157"/>
      <c r="K52" s="158"/>
      <c r="L52" s="31"/>
      <c r="M52" s="157"/>
      <c r="N52" s="158"/>
      <c r="O52" s="31"/>
      <c r="P52" s="157"/>
      <c r="Q52" s="158"/>
      <c r="R52" s="32" t="str">
        <f>IF(OR(COUNTIF(I52,"*&gt;*"),COUNTIF(I52,"*&lt;*"),COUNTIF(I52,"N/A")),I52,IF(I52="","",I52*#REF!))</f>
        <v/>
      </c>
      <c r="S52" s="117" t="str">
        <f>IF(J52="","",IF(ISNUMBER(J52)=FALSE, J52,J52*$AA$48))</f>
        <v/>
      </c>
      <c r="T52" s="118"/>
      <c r="U52" s="32" t="str">
        <f>IF(OR(COUNTIF(L52,"*&gt;*"),COUNTIF(L52,"*&lt;*"),COUNTIF(L52,"N/A")),L52,IF(L52="","",L52*#REF!))</f>
        <v/>
      </c>
      <c r="V52" s="117" t="str">
        <f>IF(M52="","",IF(ISNUMBER(M52)=FALSE, M52,M52*$AA$48))</f>
        <v/>
      </c>
      <c r="W52" s="118"/>
      <c r="X52" s="32" t="str">
        <f>IF(OR(COUNTIF(O52,"*&gt;*"),COUNTIF(O52,"*&lt;*"),COUNTIF(O52,"N/A")),O52,IF(O52="","",O52*#REF!))</f>
        <v/>
      </c>
      <c r="Y52" s="117" t="str">
        <f>IF(P52="","",IF(ISNUMBER(P52)=FALSE, P52,P52*$AA$48))</f>
        <v/>
      </c>
      <c r="Z52" s="118"/>
      <c r="AA52" s="114" t="s">
        <v>16</v>
      </c>
      <c r="AB52" s="115"/>
      <c r="AC52" s="30"/>
      <c r="AD52" s="36" t="s">
        <v>110</v>
      </c>
      <c r="AE52" s="119">
        <f>IF($U$12="","",IF($U$12&lt;=250,IF(AA52="MΩ",25,0.025),IF(AA52="MΩ",100,0.1)))</f>
        <v>100</v>
      </c>
      <c r="AF52" s="120"/>
      <c r="AG52" s="113" t="str">
        <f>IF(AA52="","",AA52)</f>
        <v>MΩ</v>
      </c>
      <c r="AH52" s="181"/>
      <c r="AI52" s="30"/>
      <c r="AJ52" s="111" t="str">
        <f>IF(OR(S52="",ISNUMBER(S52)=FALSE,V52="",ISNUMBER(V52)=FALSE,Y52="",ISNUMBER(Y52)=FALSE,AE52=""),"-",IF(AE52="N/A","N/A",IF(AND(S52&gt;AE52,V52&gt;AE52,Y52&gt;AE52),"PASS","FAIL")))</f>
        <v>-</v>
      </c>
      <c r="AK52" s="111"/>
      <c r="AL52" s="111"/>
    </row>
    <row r="53" spans="1:39" ht="11.5" customHeight="1" x14ac:dyDescent="0.35">
      <c r="A53" s="22"/>
      <c r="B53" s="168" t="s">
        <v>34</v>
      </c>
      <c r="C53" s="179"/>
      <c r="D53" s="179"/>
      <c r="E53" s="180"/>
      <c r="F53" s="167"/>
      <c r="G53" s="167"/>
      <c r="H53" s="168"/>
      <c r="I53" s="31"/>
      <c r="J53" s="157"/>
      <c r="K53" s="158"/>
      <c r="L53" s="31"/>
      <c r="M53" s="157"/>
      <c r="N53" s="158"/>
      <c r="O53" s="31"/>
      <c r="P53" s="157"/>
      <c r="Q53" s="158"/>
      <c r="R53" s="32" t="str">
        <f>IF(OR(COUNTIF(I53,"*&gt;*"),COUNTIF(I53,"*&lt;*"),COUNTIF(I53,"N/A")),I53,IF(I53="","",I53*#REF!))</f>
        <v/>
      </c>
      <c r="S53" s="117" t="str">
        <f>IF(J53="","",IF(ISNUMBER(J53)=FALSE, J53,J53*$AA$48))</f>
        <v/>
      </c>
      <c r="T53" s="118"/>
      <c r="U53" s="32" t="str">
        <f>IF(OR(COUNTIF(L53,"*&gt;*"),COUNTIF(L53,"*&lt;*"),COUNTIF(L53,"N/A")),L53,IF(L53="","",L53*#REF!))</f>
        <v/>
      </c>
      <c r="V53" s="117" t="str">
        <f>IF(M53="","",IF(ISNUMBER(M53)=FALSE, M53,M53*$AA$48))</f>
        <v/>
      </c>
      <c r="W53" s="118"/>
      <c r="X53" s="32" t="str">
        <f>IF(OR(COUNTIF(O53,"*&gt;*"),COUNTIF(O53,"*&lt;*"),COUNTIF(O53,"N/A")),O53,IF(O53="","",O53*#REF!))</f>
        <v/>
      </c>
      <c r="Y53" s="117" t="str">
        <f>IF(P53="","",IF(ISNUMBER(P53)=FALSE, P53,P53*$AA$48))</f>
        <v/>
      </c>
      <c r="Z53" s="118"/>
      <c r="AA53" s="114" t="s">
        <v>16</v>
      </c>
      <c r="AB53" s="115"/>
      <c r="AC53" s="30"/>
      <c r="AD53" s="36" t="s">
        <v>110</v>
      </c>
      <c r="AE53" s="119">
        <f t="shared" ref="AE53:AE54" si="0">IF($U$12="","",IF($U$12&lt;=250,IF(AA53="MΩ",25,0.025),IF(AA53="MΩ",100,0.1)))</f>
        <v>100</v>
      </c>
      <c r="AF53" s="120"/>
      <c r="AG53" s="113" t="str">
        <f>IF(AA53="","",AA53)</f>
        <v>MΩ</v>
      </c>
      <c r="AH53" s="181"/>
      <c r="AI53" s="30"/>
      <c r="AJ53" s="111" t="str">
        <f>IF(OR(S53="",ISNUMBER(S53)=FALSE,V53="",ISNUMBER(V53)=FALSE,Y53="",ISNUMBER(Y53)=FALSE,AE53=""),"-",IF(AE53="N/A","N/A",IF(AND(S53&gt;AE53,V53&gt;AE53,Y53&gt;AE53),"PASS","FAIL")))</f>
        <v>-</v>
      </c>
      <c r="AK53" s="111"/>
      <c r="AL53" s="111"/>
    </row>
    <row r="54" spans="1:39" ht="11.5" customHeight="1" x14ac:dyDescent="0.35">
      <c r="A54" s="22"/>
      <c r="B54" s="168" t="s">
        <v>35</v>
      </c>
      <c r="C54" s="179"/>
      <c r="D54" s="179"/>
      <c r="E54" s="180"/>
      <c r="F54" s="167" t="s">
        <v>36</v>
      </c>
      <c r="G54" s="167"/>
      <c r="H54" s="168"/>
      <c r="I54" s="31"/>
      <c r="J54" s="157"/>
      <c r="K54" s="158"/>
      <c r="L54" s="31"/>
      <c r="M54" s="157"/>
      <c r="N54" s="158"/>
      <c r="O54" s="31"/>
      <c r="P54" s="157"/>
      <c r="Q54" s="158"/>
      <c r="R54" s="33" t="str">
        <f>IF(OR(COUNTIF(I54,"*&gt;*"),COUNTIF(I54,"*&lt;*"),COUNTIF(I54,"N/A")),I54,IF(I54="","",I54*#REF!))</f>
        <v/>
      </c>
      <c r="S54" s="117" t="str">
        <f>IF(J54="","",IF(ISNUMBER(J54)=FALSE, J54,J54*$AA$48))</f>
        <v/>
      </c>
      <c r="T54" s="118"/>
      <c r="U54" s="33" t="str">
        <f>IF(OR(COUNTIF(L54,"*&gt;*"),COUNTIF(L54,"*&lt;*"),COUNTIF(L54,"N/A")),L54,IF(L54="","",L54*#REF!))</f>
        <v/>
      </c>
      <c r="V54" s="117" t="str">
        <f>IF(M54="","",IF(ISNUMBER(M54)=FALSE, M54,M54*$AA$48))</f>
        <v/>
      </c>
      <c r="W54" s="118"/>
      <c r="X54" s="33" t="str">
        <f>IF(OR(COUNTIF(O54,"*&gt;*"),COUNTIF(O54,"*&lt;*"),COUNTIF(O54,"N/A")),O54,IF(O54="","",O54*#REF!))</f>
        <v/>
      </c>
      <c r="Y54" s="117" t="str">
        <f>IF(P54="","",IF(ISNUMBER(P54)=FALSE, P54,P54*$AA$48))</f>
        <v/>
      </c>
      <c r="Z54" s="118"/>
      <c r="AA54" s="114" t="s">
        <v>16</v>
      </c>
      <c r="AB54" s="115"/>
      <c r="AC54" s="30"/>
      <c r="AD54" s="36" t="s">
        <v>108</v>
      </c>
      <c r="AE54" s="119">
        <f t="shared" si="0"/>
        <v>100</v>
      </c>
      <c r="AF54" s="120"/>
      <c r="AG54" s="113" t="str">
        <f>IF(AA54="","",AA54)</f>
        <v>MΩ</v>
      </c>
      <c r="AH54" s="181"/>
      <c r="AI54" s="30"/>
      <c r="AJ54" s="111" t="str">
        <f>IF(OR(S54="",ISNUMBER(S54)=FALSE,V54="",ISNUMBER(V54)=FALSE,Y54="",ISNUMBER(Y54)=FALSE,AE54=""),"-",IF(AE54="N/A","N/A",IF(AND(S54&gt;AE54,V54&gt;AE54,Y54&gt;AE54),"PASS","FAIL")))</f>
        <v>-</v>
      </c>
      <c r="AK54" s="111"/>
      <c r="AL54" s="111"/>
    </row>
    <row r="55" spans="1:39" ht="11.5" customHeight="1" x14ac:dyDescent="0.35">
      <c r="A55" s="22"/>
      <c r="B55" s="15"/>
      <c r="C55" s="15"/>
      <c r="D55" s="15"/>
      <c r="E55" s="15"/>
      <c r="F55" s="15"/>
      <c r="G55" s="10"/>
      <c r="H55" s="10"/>
      <c r="I55" s="10"/>
      <c r="J55" s="10"/>
      <c r="K55" s="10"/>
      <c r="L55" s="10"/>
      <c r="M55" s="10"/>
      <c r="N55" s="10"/>
      <c r="O55" s="10"/>
      <c r="P55" s="10"/>
      <c r="Q55" s="10"/>
      <c r="R55" s="10"/>
      <c r="S55" s="11"/>
      <c r="AE55" s="10"/>
      <c r="AF55" s="10"/>
      <c r="AG55" s="10"/>
      <c r="AH55" s="10"/>
      <c r="AI55" s="10"/>
      <c r="AJ55" s="10"/>
      <c r="AK55" s="10"/>
      <c r="AL55" s="10"/>
      <c r="AM55" s="22"/>
    </row>
    <row r="56" spans="1:39" ht="11.5" customHeight="1" x14ac:dyDescent="0.35">
      <c r="A56" s="22"/>
      <c r="B56" s="15"/>
      <c r="C56" s="15"/>
      <c r="D56" s="15"/>
      <c r="E56" s="15"/>
      <c r="F56" s="15"/>
      <c r="G56" s="10"/>
      <c r="H56" s="10"/>
      <c r="I56" s="10"/>
      <c r="J56" s="10"/>
      <c r="K56" s="10"/>
      <c r="L56" s="10"/>
      <c r="M56" s="10"/>
      <c r="N56" s="10"/>
      <c r="O56" s="10"/>
      <c r="P56" s="10"/>
      <c r="Q56" s="10"/>
      <c r="R56" s="10"/>
      <c r="S56" s="11"/>
      <c r="AE56" s="10"/>
      <c r="AF56" s="10"/>
      <c r="AG56" s="10"/>
      <c r="AH56" s="10"/>
      <c r="AI56" s="10"/>
      <c r="AJ56" s="10"/>
      <c r="AK56" s="10"/>
      <c r="AL56" s="10"/>
      <c r="AM56" s="22"/>
    </row>
    <row r="57" spans="1:39" ht="11.5" customHeight="1" thickBot="1" x14ac:dyDescent="0.4">
      <c r="A57" s="18"/>
      <c r="B57" s="18"/>
      <c r="C57" s="18"/>
      <c r="D57" s="18"/>
      <c r="E57" s="18"/>
      <c r="F57" s="18"/>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6"/>
      <c r="AL57" s="6"/>
      <c r="AM57" s="6"/>
    </row>
    <row r="58" spans="1:39" ht="11.5" customHeight="1" x14ac:dyDescent="0.35">
      <c r="A58" s="24" t="s">
        <v>111</v>
      </c>
      <c r="B58" s="25"/>
      <c r="C58" s="25"/>
      <c r="D58" s="25"/>
      <c r="E58" s="25"/>
      <c r="F58" s="25"/>
      <c r="G58" s="26"/>
      <c r="H58" s="26"/>
      <c r="I58" s="26"/>
      <c r="J58" s="26"/>
      <c r="K58" s="26"/>
      <c r="L58" s="26"/>
      <c r="M58" s="26"/>
      <c r="N58" s="26"/>
      <c r="O58" s="26"/>
      <c r="P58" s="26"/>
      <c r="Q58" s="26"/>
      <c r="R58" s="26"/>
      <c r="S58" s="26"/>
      <c r="T58" s="26"/>
      <c r="U58" s="26"/>
      <c r="V58" s="26"/>
      <c r="W58" s="26"/>
      <c r="X58" s="26"/>
      <c r="Y58" s="26"/>
      <c r="Z58" s="26"/>
      <c r="AA58" s="26"/>
      <c r="AB58" s="26"/>
      <c r="AC58" s="26"/>
      <c r="AD58" s="26"/>
      <c r="AE58" s="26"/>
      <c r="AF58" s="26"/>
      <c r="AG58" s="26"/>
      <c r="AH58" s="26"/>
      <c r="AI58" s="26"/>
      <c r="AJ58" s="26"/>
      <c r="AK58" s="26"/>
      <c r="AL58" s="26"/>
      <c r="AM58" s="26"/>
    </row>
    <row r="59" spans="1:39" ht="11.5" customHeight="1" x14ac:dyDescent="0.35">
      <c r="A59" s="22"/>
      <c r="B59" s="15"/>
      <c r="C59" s="15"/>
      <c r="D59" s="15"/>
      <c r="E59" s="15"/>
      <c r="F59" s="15"/>
      <c r="G59" s="10"/>
      <c r="H59" s="10"/>
      <c r="I59" s="10"/>
      <c r="J59" s="10"/>
      <c r="K59" s="10"/>
      <c r="L59" s="10"/>
      <c r="M59" s="10"/>
      <c r="N59" s="10"/>
      <c r="O59" s="10"/>
      <c r="P59" s="10"/>
      <c r="Q59" s="10"/>
      <c r="R59" s="10"/>
      <c r="S59" s="11"/>
      <c r="V59" s="15"/>
      <c r="W59" s="15"/>
      <c r="X59" s="15"/>
      <c r="Y59" s="15"/>
      <c r="Z59" s="15"/>
      <c r="AA59" s="10"/>
      <c r="AB59" s="3"/>
      <c r="AC59" s="3"/>
      <c r="AD59" s="35"/>
      <c r="AE59" s="37"/>
      <c r="AF59" s="37"/>
      <c r="AG59" s="37"/>
      <c r="AH59" s="37"/>
      <c r="AI59" s="37"/>
      <c r="AJ59" s="10"/>
      <c r="AK59" s="10"/>
      <c r="AL59" s="10"/>
      <c r="AM59" s="22"/>
    </row>
    <row r="60" spans="1:39" ht="11.5" customHeight="1" x14ac:dyDescent="0.3">
      <c r="A60" s="22"/>
      <c r="M60" s="91" t="s">
        <v>52</v>
      </c>
      <c r="N60" s="92"/>
      <c r="O60" s="92"/>
      <c r="P60" s="92"/>
      <c r="Q60" s="92"/>
      <c r="R60" s="92"/>
      <c r="S60" s="92"/>
      <c r="T60" s="92"/>
      <c r="U60" s="92"/>
      <c r="V60" s="92"/>
      <c r="W60" s="92"/>
      <c r="X60" s="92"/>
      <c r="Y60" s="93"/>
      <c r="Z60" s="15"/>
      <c r="AA60" s="10"/>
      <c r="AB60" s="11"/>
      <c r="AC60" s="11"/>
      <c r="AJ60" s="10"/>
      <c r="AK60" s="10"/>
      <c r="AL60" s="10"/>
      <c r="AM60" s="22"/>
    </row>
    <row r="61" spans="1:39" ht="11.5" customHeight="1" x14ac:dyDescent="0.35">
      <c r="A61" s="22"/>
      <c r="C61" s="138" t="s">
        <v>112</v>
      </c>
      <c r="D61" s="138"/>
      <c r="E61" s="138"/>
      <c r="F61" s="138"/>
      <c r="G61" s="138"/>
      <c r="H61" s="138"/>
      <c r="I61" s="138"/>
      <c r="M61" s="70"/>
      <c r="N61" s="70"/>
      <c r="O61" s="70"/>
      <c r="P61" s="70"/>
      <c r="Q61" s="70"/>
      <c r="R61" s="138" t="s">
        <v>48</v>
      </c>
      <c r="S61" s="138"/>
      <c r="T61" s="138"/>
      <c r="U61" s="138" t="s">
        <v>49</v>
      </c>
      <c r="V61" s="138"/>
      <c r="W61" s="138"/>
      <c r="X61" s="138" t="s">
        <v>50</v>
      </c>
      <c r="Y61" s="138"/>
      <c r="Z61" s="15"/>
      <c r="AA61" s="10"/>
      <c r="AB61" s="138" t="s">
        <v>163</v>
      </c>
      <c r="AC61" s="138"/>
      <c r="AD61" s="138"/>
      <c r="AE61" s="138"/>
      <c r="AF61" s="138"/>
      <c r="AG61" s="138"/>
      <c r="AH61" s="138"/>
      <c r="AJ61" s="10"/>
      <c r="AK61" s="10"/>
      <c r="AL61" s="10"/>
      <c r="AM61" s="22"/>
    </row>
    <row r="62" spans="1:39" ht="11.5" customHeight="1" x14ac:dyDescent="0.3">
      <c r="A62" s="22"/>
      <c r="C62" s="164" t="s">
        <v>167</v>
      </c>
      <c r="D62" s="164"/>
      <c r="E62" s="164"/>
      <c r="F62" s="164"/>
      <c r="G62" s="164"/>
      <c r="H62" s="164"/>
      <c r="I62" s="164"/>
      <c r="M62" s="69" t="str">
        <f>IF(OR(ISNUMBER(FIND("T",$G$31)),ISNUMBER(FIND("M",$G$31))),"Thermal","Long Time")</f>
        <v>Long Time</v>
      </c>
      <c r="N62" s="69"/>
      <c r="O62" s="69"/>
      <c r="P62" s="69"/>
      <c r="Q62" s="69"/>
      <c r="R62" s="72"/>
      <c r="S62" s="72"/>
      <c r="T62" s="72"/>
      <c r="U62" s="72"/>
      <c r="V62" s="72"/>
      <c r="W62" s="72"/>
      <c r="X62" s="71"/>
      <c r="Y62" s="71"/>
      <c r="Z62" s="15"/>
      <c r="AA62" s="10"/>
      <c r="AB62" s="164" t="s">
        <v>164</v>
      </c>
      <c r="AC62" s="164"/>
      <c r="AD62" s="164"/>
      <c r="AE62" s="164"/>
      <c r="AF62" s="164"/>
      <c r="AG62" s="164"/>
      <c r="AH62" s="164"/>
      <c r="AI62" s="10"/>
      <c r="AJ62" s="10"/>
      <c r="AK62" s="10"/>
      <c r="AL62" s="10"/>
      <c r="AM62" s="22"/>
    </row>
    <row r="63" spans="1:39" ht="11.5" customHeight="1" x14ac:dyDescent="0.3">
      <c r="A63" s="22"/>
      <c r="M63" s="69" t="str">
        <f>IF(OR(ISNUMBER(FIND("T",$G$31)),ISNUMBER(FIND("M",$G$31))),"Magnetic","Short Time")</f>
        <v>Short Time</v>
      </c>
      <c r="N63" s="69"/>
      <c r="O63" s="69"/>
      <c r="P63" s="69"/>
      <c r="Q63" s="69"/>
      <c r="R63" s="72"/>
      <c r="S63" s="72"/>
      <c r="T63" s="72"/>
      <c r="U63" s="72"/>
      <c r="V63" s="72"/>
      <c r="W63" s="72"/>
      <c r="X63" s="72"/>
      <c r="Y63" s="72"/>
      <c r="Z63" s="15"/>
      <c r="AA63" s="10"/>
      <c r="AB63" s="11"/>
      <c r="AC63" s="11"/>
      <c r="AD63" s="15"/>
      <c r="AE63" s="10"/>
      <c r="AF63" s="10"/>
      <c r="AG63" s="10"/>
      <c r="AH63" s="10"/>
      <c r="AI63" s="10"/>
      <c r="AJ63" s="10"/>
      <c r="AK63" s="68"/>
      <c r="AL63" s="68"/>
      <c r="AM63" s="22"/>
    </row>
    <row r="64" spans="1:39" ht="11.5" customHeight="1" x14ac:dyDescent="0.35">
      <c r="A64" s="22"/>
      <c r="M64" s="70" t="s">
        <v>51</v>
      </c>
      <c r="N64" s="70"/>
      <c r="O64" s="70"/>
      <c r="P64" s="70"/>
      <c r="Q64" s="70"/>
      <c r="R64" s="72"/>
      <c r="S64" s="72"/>
      <c r="T64" s="72"/>
      <c r="U64" s="71"/>
      <c r="V64" s="71"/>
      <c r="W64" s="71"/>
      <c r="X64" s="71"/>
      <c r="Y64" s="71"/>
      <c r="Z64" s="15"/>
      <c r="AA64" s="10"/>
      <c r="AB64" s="11"/>
      <c r="AC64" s="11"/>
      <c r="AD64" s="15"/>
      <c r="AE64" s="10"/>
      <c r="AF64" s="10"/>
      <c r="AG64" s="10"/>
      <c r="AH64" s="10"/>
      <c r="AI64" s="10"/>
      <c r="AJ64" s="10"/>
      <c r="AK64" s="10"/>
      <c r="AL64" s="10"/>
      <c r="AM64" s="22"/>
    </row>
    <row r="65" spans="1:39" ht="11.5" customHeight="1" x14ac:dyDescent="0.3">
      <c r="A65" s="22"/>
      <c r="M65" s="69" t="s">
        <v>64</v>
      </c>
      <c r="N65" s="69"/>
      <c r="O65" s="69"/>
      <c r="P65" s="69"/>
      <c r="Q65" s="69"/>
      <c r="R65" s="72"/>
      <c r="S65" s="72"/>
      <c r="T65" s="72"/>
      <c r="U65" s="72"/>
      <c r="V65" s="72"/>
      <c r="W65" s="72"/>
      <c r="X65" s="72"/>
      <c r="Y65" s="72"/>
      <c r="Z65" s="15"/>
      <c r="AA65" s="10"/>
      <c r="AB65" s="11"/>
      <c r="AC65" s="11"/>
      <c r="AD65" s="15"/>
      <c r="AE65" s="10"/>
      <c r="AF65" s="10"/>
      <c r="AG65" s="10"/>
      <c r="AH65" s="10"/>
      <c r="AI65" s="10"/>
      <c r="AJ65" s="10"/>
      <c r="AK65" s="10"/>
      <c r="AL65" s="10"/>
      <c r="AM65" s="22"/>
    </row>
    <row r="66" spans="1:39" ht="11.5" customHeight="1" x14ac:dyDescent="0.35">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row>
    <row r="67" spans="1:39" ht="13" x14ac:dyDescent="0.35">
      <c r="A67" s="22"/>
      <c r="B67" s="76" t="s">
        <v>53</v>
      </c>
      <c r="C67" s="77"/>
      <c r="D67" s="77"/>
      <c r="E67" s="97" t="s">
        <v>118</v>
      </c>
      <c r="F67" s="98"/>
      <c r="G67" s="99"/>
      <c r="H67" s="73" t="s">
        <v>54</v>
      </c>
      <c r="I67" s="74"/>
      <c r="J67" s="74"/>
      <c r="K67" s="75"/>
      <c r="L67" s="97" t="s">
        <v>55</v>
      </c>
      <c r="M67" s="98"/>
      <c r="N67" s="99"/>
      <c r="O67" s="84" t="s">
        <v>37</v>
      </c>
      <c r="P67" s="85"/>
      <c r="Q67" s="85"/>
      <c r="R67" s="85"/>
      <c r="S67" s="85"/>
      <c r="T67" s="86"/>
      <c r="U67" s="76" t="s">
        <v>56</v>
      </c>
      <c r="V67" s="77"/>
      <c r="W67" s="77"/>
      <c r="X67" s="77"/>
      <c r="Y67" s="162"/>
      <c r="Z67" s="76" t="s">
        <v>57</v>
      </c>
      <c r="AA67" s="77"/>
      <c r="AB67" s="77"/>
      <c r="AC67" s="77"/>
      <c r="AD67" s="162"/>
      <c r="AE67" s="76" t="s">
        <v>58</v>
      </c>
      <c r="AF67" s="77"/>
      <c r="AG67" s="77"/>
      <c r="AH67" s="77"/>
      <c r="AI67" s="162"/>
      <c r="AJ67" s="80" t="s">
        <v>22</v>
      </c>
      <c r="AK67" s="80"/>
      <c r="AL67" s="80"/>
    </row>
    <row r="68" spans="1:39" ht="13" x14ac:dyDescent="0.35">
      <c r="A68" s="22"/>
      <c r="B68" s="78"/>
      <c r="C68" s="79"/>
      <c r="D68" s="79"/>
      <c r="E68" s="100"/>
      <c r="F68" s="101"/>
      <c r="G68" s="102"/>
      <c r="H68" s="73" t="s">
        <v>37</v>
      </c>
      <c r="I68" s="74"/>
      <c r="J68" s="74"/>
      <c r="K68" s="75"/>
      <c r="L68" s="100"/>
      <c r="M68" s="101"/>
      <c r="N68" s="102"/>
      <c r="O68" s="84" t="s">
        <v>59</v>
      </c>
      <c r="P68" s="85"/>
      <c r="Q68" s="86"/>
      <c r="R68" s="84" t="s">
        <v>60</v>
      </c>
      <c r="S68" s="85"/>
      <c r="T68" s="86"/>
      <c r="U68" s="78"/>
      <c r="V68" s="79"/>
      <c r="W68" s="79"/>
      <c r="X68" s="79"/>
      <c r="Y68" s="163"/>
      <c r="Z68" s="78"/>
      <c r="AA68" s="79"/>
      <c r="AB68" s="79"/>
      <c r="AC68" s="79"/>
      <c r="AD68" s="163"/>
      <c r="AE68" s="78"/>
      <c r="AF68" s="79"/>
      <c r="AG68" s="79"/>
      <c r="AH68" s="79"/>
      <c r="AI68" s="163"/>
      <c r="AJ68" s="80"/>
      <c r="AK68" s="80"/>
      <c r="AL68" s="80"/>
    </row>
    <row r="69" spans="1:39" ht="11.5" customHeight="1" x14ac:dyDescent="0.3">
      <c r="A69" s="22"/>
      <c r="B69" s="87" t="str">
        <f>IF(AND(NOT(ISNUMBER(FIND("T",$G$31))),NOT(ISNUMBER(FIND("M",$G$31)))),"LTD","Thermal")</f>
        <v>LTD</v>
      </c>
      <c r="C69" s="87"/>
      <c r="D69" s="87"/>
      <c r="E69" s="88"/>
      <c r="F69" s="89"/>
      <c r="G69" s="90"/>
      <c r="H69" s="94">
        <v>3</v>
      </c>
      <c r="I69" s="95"/>
      <c r="J69" s="95"/>
      <c r="K69" s="96"/>
      <c r="L69" s="91" t="str">
        <f>IF(E69="","",IF(E69="N/A", "N/A", E69*H69))</f>
        <v/>
      </c>
      <c r="M69" s="92"/>
      <c r="N69" s="93"/>
      <c r="O69" s="88"/>
      <c r="P69" s="89"/>
      <c r="Q69" s="90"/>
      <c r="R69" s="88"/>
      <c r="S69" s="89"/>
      <c r="T69" s="89"/>
      <c r="U69" s="88"/>
      <c r="V69" s="89"/>
      <c r="W69" s="89"/>
      <c r="X69" s="92" t="s">
        <v>61</v>
      </c>
      <c r="Y69" s="93"/>
      <c r="Z69" s="88"/>
      <c r="AA69" s="89"/>
      <c r="AB69" s="89"/>
      <c r="AC69" s="92" t="s">
        <v>61</v>
      </c>
      <c r="AD69" s="93"/>
      <c r="AE69" s="88"/>
      <c r="AF69" s="89"/>
      <c r="AG69" s="89"/>
      <c r="AH69" s="92" t="s">
        <v>61</v>
      </c>
      <c r="AI69" s="93"/>
      <c r="AJ69" s="81" t="str">
        <f>IF(OR(U69="",Z69="",AE69=""),"",IF(AND(U69&lt;=R69,U69&gt;=O69,R69&gt;=Z69,Z69&gt;=O69,R69&gt;=AE69,AE69&gt;=O69),"PASS","FAIL"))</f>
        <v/>
      </c>
      <c r="AK69" s="82"/>
      <c r="AL69" s="83"/>
    </row>
    <row r="70" spans="1:39" ht="11.5" customHeight="1" x14ac:dyDescent="0.3">
      <c r="A70" s="22"/>
      <c r="B70" s="87" t="str">
        <f>IF(AND(NOT(ISNUMBER(FIND("T",$G$31))),NOT(ISNUMBER(FIND("M",$G$31)))),"LTPU","Magnetic")</f>
        <v>LTPU</v>
      </c>
      <c r="C70" s="87"/>
      <c r="D70" s="87"/>
      <c r="E70" s="88"/>
      <c r="F70" s="89"/>
      <c r="G70" s="90"/>
      <c r="H70" s="94">
        <v>-0.1</v>
      </c>
      <c r="I70" s="96"/>
      <c r="J70" s="94">
        <v>0.1</v>
      </c>
      <c r="K70" s="96"/>
      <c r="L70" s="91" t="str">
        <f>IF(E70="","",E70)</f>
        <v/>
      </c>
      <c r="M70" s="92"/>
      <c r="N70" s="93"/>
      <c r="O70" s="91" t="str">
        <f>IF(L70="","",IF(L70="N/A", "N/A", (H70*L70)+L70))</f>
        <v/>
      </c>
      <c r="P70" s="92"/>
      <c r="Q70" s="93"/>
      <c r="R70" s="91" t="str">
        <f>IF(L70="","",IF(O70="N/A", "N/A", (J70*L70)+L70))</f>
        <v/>
      </c>
      <c r="S70" s="92"/>
      <c r="T70" s="92"/>
      <c r="U70" s="88"/>
      <c r="V70" s="89"/>
      <c r="W70" s="89"/>
      <c r="X70" s="92" t="s">
        <v>62</v>
      </c>
      <c r="Y70" s="93"/>
      <c r="Z70" s="88"/>
      <c r="AA70" s="89"/>
      <c r="AB70" s="89"/>
      <c r="AC70" s="92" t="s">
        <v>62</v>
      </c>
      <c r="AD70" s="93"/>
      <c r="AE70" s="88"/>
      <c r="AF70" s="89"/>
      <c r="AG70" s="89"/>
      <c r="AH70" s="92" t="s">
        <v>62</v>
      </c>
      <c r="AI70" s="93"/>
      <c r="AJ70" s="81" t="str">
        <f t="shared" ref="AJ70:AJ76" si="1">IF(OR(U70="",Z70="",AE70=""),"",IF(AND(U70&lt;=R70,U70&gt;=O70,R70&gt;=Z70,Z70&gt;=O70,R70&gt;=AE70,AE70&gt;=O70),"PASS","FAIL"))</f>
        <v/>
      </c>
      <c r="AK70" s="82"/>
      <c r="AL70" s="83"/>
      <c r="AM70" s="38"/>
    </row>
    <row r="71" spans="1:39" ht="11.5" customHeight="1" x14ac:dyDescent="0.3">
      <c r="A71" s="22"/>
      <c r="B71" s="87" t="s">
        <v>115</v>
      </c>
      <c r="C71" s="87"/>
      <c r="D71" s="87"/>
      <c r="E71" s="88"/>
      <c r="F71" s="89"/>
      <c r="G71" s="90"/>
      <c r="H71" s="94">
        <v>1.1000000000000001</v>
      </c>
      <c r="I71" s="95"/>
      <c r="J71" s="95"/>
      <c r="K71" s="96"/>
      <c r="L71" s="91" t="str">
        <f>IF(E71="","",IF(E71="N/A", "N/A", E71*H71))</f>
        <v/>
      </c>
      <c r="M71" s="92"/>
      <c r="N71" s="93"/>
      <c r="O71" s="88"/>
      <c r="P71" s="89"/>
      <c r="Q71" s="90"/>
      <c r="R71" s="88"/>
      <c r="S71" s="89"/>
      <c r="T71" s="89"/>
      <c r="U71" s="88"/>
      <c r="V71" s="89"/>
      <c r="W71" s="89"/>
      <c r="X71" s="92" t="s">
        <v>61</v>
      </c>
      <c r="Y71" s="93"/>
      <c r="Z71" s="88"/>
      <c r="AA71" s="89"/>
      <c r="AB71" s="89"/>
      <c r="AC71" s="92" t="s">
        <v>61</v>
      </c>
      <c r="AD71" s="93"/>
      <c r="AE71" s="88"/>
      <c r="AF71" s="89"/>
      <c r="AG71" s="89"/>
      <c r="AH71" s="92" t="s">
        <v>61</v>
      </c>
      <c r="AI71" s="93"/>
      <c r="AJ71" s="81" t="str">
        <f t="shared" si="1"/>
        <v/>
      </c>
      <c r="AK71" s="82"/>
      <c r="AL71" s="83"/>
    </row>
    <row r="72" spans="1:39" ht="11.5" customHeight="1" x14ac:dyDescent="0.3">
      <c r="A72" s="22"/>
      <c r="B72" s="87" t="s">
        <v>114</v>
      </c>
      <c r="C72" s="87"/>
      <c r="D72" s="87"/>
      <c r="E72" s="88"/>
      <c r="F72" s="89"/>
      <c r="G72" s="90"/>
      <c r="H72" s="94">
        <v>-0.1</v>
      </c>
      <c r="I72" s="96"/>
      <c r="J72" s="94">
        <v>0.1</v>
      </c>
      <c r="K72" s="96"/>
      <c r="L72" s="91" t="str">
        <f>IF(E72="","",E72)</f>
        <v/>
      </c>
      <c r="M72" s="92"/>
      <c r="N72" s="93"/>
      <c r="O72" s="91" t="str">
        <f>IF(L72="","",IF(L72="N/A", "N/A", (H72*L72)+L72))</f>
        <v/>
      </c>
      <c r="P72" s="92"/>
      <c r="Q72" s="93"/>
      <c r="R72" s="91" t="str">
        <f>IF(L72="","",IF(L72="N/A", "N/A", (J72*L72)+L72))</f>
        <v/>
      </c>
      <c r="S72" s="92"/>
      <c r="T72" s="92"/>
      <c r="U72" s="88"/>
      <c r="V72" s="89"/>
      <c r="W72" s="89"/>
      <c r="X72" s="92" t="s">
        <v>62</v>
      </c>
      <c r="Y72" s="93"/>
      <c r="Z72" s="88"/>
      <c r="AA72" s="89"/>
      <c r="AB72" s="89"/>
      <c r="AC72" s="92" t="s">
        <v>62</v>
      </c>
      <c r="AD72" s="93"/>
      <c r="AE72" s="88"/>
      <c r="AF72" s="89"/>
      <c r="AG72" s="89"/>
      <c r="AH72" s="92" t="s">
        <v>62</v>
      </c>
      <c r="AI72" s="93"/>
      <c r="AJ72" s="81" t="str">
        <f t="shared" si="1"/>
        <v/>
      </c>
      <c r="AK72" s="82"/>
      <c r="AL72" s="83"/>
    </row>
    <row r="73" spans="1:39" ht="11.5" customHeight="1" x14ac:dyDescent="0.3">
      <c r="A73" s="22"/>
      <c r="B73" s="73" t="s">
        <v>119</v>
      </c>
      <c r="C73" s="74"/>
      <c r="D73" s="75"/>
      <c r="E73" s="88"/>
      <c r="F73" s="89"/>
      <c r="G73" s="90"/>
      <c r="H73" s="94">
        <v>1.1000000000000001</v>
      </c>
      <c r="I73" s="95"/>
      <c r="J73" s="95"/>
      <c r="K73" s="96"/>
      <c r="L73" s="91" t="str">
        <f>IF(E73="","",IF(E73="N/A", "N/A", E73*H73))</f>
        <v/>
      </c>
      <c r="M73" s="92"/>
      <c r="N73" s="93"/>
      <c r="O73" s="88"/>
      <c r="P73" s="89"/>
      <c r="Q73" s="90"/>
      <c r="R73" s="88"/>
      <c r="S73" s="89"/>
      <c r="T73" s="90"/>
      <c r="U73" s="88"/>
      <c r="V73" s="89"/>
      <c r="W73" s="89"/>
      <c r="X73" s="92" t="s">
        <v>61</v>
      </c>
      <c r="Y73" s="93"/>
      <c r="Z73" s="88"/>
      <c r="AA73" s="89"/>
      <c r="AB73" s="89"/>
      <c r="AC73" s="92" t="s">
        <v>61</v>
      </c>
      <c r="AD73" s="93"/>
      <c r="AE73" s="88"/>
      <c r="AF73" s="89"/>
      <c r="AG73" s="89"/>
      <c r="AH73" s="92" t="s">
        <v>61</v>
      </c>
      <c r="AI73" s="93"/>
      <c r="AJ73" s="81" t="str">
        <f t="shared" si="1"/>
        <v/>
      </c>
      <c r="AK73" s="82"/>
      <c r="AL73" s="83"/>
    </row>
    <row r="74" spans="1:39" ht="11.5" customHeight="1" x14ac:dyDescent="0.3">
      <c r="A74" s="22"/>
      <c r="B74" s="87" t="s">
        <v>120</v>
      </c>
      <c r="C74" s="87"/>
      <c r="D74" s="87"/>
      <c r="E74" s="139"/>
      <c r="F74" s="140"/>
      <c r="G74" s="141"/>
      <c r="H74" s="142">
        <v>-0.2</v>
      </c>
      <c r="I74" s="143"/>
      <c r="J74" s="142">
        <v>0.2</v>
      </c>
      <c r="K74" s="143"/>
      <c r="L74" s="144" t="str">
        <f>IF(E74="","",E74)</f>
        <v/>
      </c>
      <c r="M74" s="145"/>
      <c r="N74" s="146"/>
      <c r="O74" s="91" t="str">
        <f>IF(L74="","",IF(L74="N/A", "N/A", (H74*L74)+L74))</f>
        <v/>
      </c>
      <c r="P74" s="92"/>
      <c r="Q74" s="93"/>
      <c r="R74" s="91" t="str">
        <f>IF(L74="","",IF(L74="N/A", "N/A", (J74*L74)+L74))</f>
        <v/>
      </c>
      <c r="S74" s="92"/>
      <c r="T74" s="92"/>
      <c r="U74" s="88"/>
      <c r="V74" s="89"/>
      <c r="W74" s="89"/>
      <c r="X74" s="92" t="str">
        <f>IF(J70="N/A","","A")</f>
        <v>A</v>
      </c>
      <c r="Y74" s="93"/>
      <c r="Z74" s="88"/>
      <c r="AA74" s="89"/>
      <c r="AB74" s="89"/>
      <c r="AC74" s="92" t="str">
        <f>IF(R64="N/A","","A")</f>
        <v>A</v>
      </c>
      <c r="AD74" s="93"/>
      <c r="AE74" s="88"/>
      <c r="AF74" s="89"/>
      <c r="AG74" s="89"/>
      <c r="AH74" s="92" t="str">
        <f>IF(R64="N/A","","A")</f>
        <v>A</v>
      </c>
      <c r="AI74" s="93"/>
      <c r="AJ74" s="81" t="str">
        <f t="shared" si="1"/>
        <v/>
      </c>
      <c r="AK74" s="82"/>
      <c r="AL74" s="83"/>
    </row>
    <row r="75" spans="1:39" ht="11.5" customHeight="1" x14ac:dyDescent="0.3">
      <c r="A75" s="22"/>
      <c r="B75" s="73" t="s">
        <v>117</v>
      </c>
      <c r="C75" s="74"/>
      <c r="D75" s="75"/>
      <c r="E75" s="88"/>
      <c r="F75" s="89"/>
      <c r="G75" s="90"/>
      <c r="H75" s="94">
        <v>1.1000000000000001</v>
      </c>
      <c r="I75" s="95"/>
      <c r="J75" s="95"/>
      <c r="K75" s="96"/>
      <c r="L75" s="91" t="str">
        <f>IF(E75="","",IF(E75="N/A", "N/A", E75*H75))</f>
        <v/>
      </c>
      <c r="M75" s="92"/>
      <c r="N75" s="93"/>
      <c r="O75" s="88"/>
      <c r="P75" s="89"/>
      <c r="Q75" s="90"/>
      <c r="R75" s="88"/>
      <c r="S75" s="89"/>
      <c r="T75" s="89"/>
      <c r="U75" s="88"/>
      <c r="V75" s="89"/>
      <c r="W75" s="89"/>
      <c r="X75" s="92" t="s">
        <v>61</v>
      </c>
      <c r="Y75" s="93"/>
      <c r="Z75" s="88"/>
      <c r="AA75" s="89"/>
      <c r="AB75" s="89"/>
      <c r="AC75" s="92" t="s">
        <v>61</v>
      </c>
      <c r="AD75" s="93"/>
      <c r="AE75" s="88"/>
      <c r="AF75" s="89"/>
      <c r="AG75" s="89"/>
      <c r="AH75" s="92" t="s">
        <v>61</v>
      </c>
      <c r="AI75" s="93"/>
      <c r="AJ75" s="81" t="str">
        <f t="shared" si="1"/>
        <v/>
      </c>
      <c r="AK75" s="82"/>
      <c r="AL75" s="83"/>
    </row>
    <row r="76" spans="1:39" ht="11.5" customHeight="1" x14ac:dyDescent="0.3">
      <c r="A76" s="22"/>
      <c r="B76" s="73" t="s">
        <v>116</v>
      </c>
      <c r="C76" s="74"/>
      <c r="D76" s="75"/>
      <c r="E76" s="88"/>
      <c r="F76" s="89"/>
      <c r="G76" s="90"/>
      <c r="H76" s="94">
        <v>-0.15</v>
      </c>
      <c r="I76" s="96"/>
      <c r="J76" s="94">
        <v>0.15</v>
      </c>
      <c r="K76" s="96"/>
      <c r="L76" s="91" t="str">
        <f>IF(E76="","",E76)</f>
        <v/>
      </c>
      <c r="M76" s="92"/>
      <c r="N76" s="93"/>
      <c r="O76" s="91" t="str">
        <f>IF(L76="","",IF(L76="N/A", "N/A", (H76*L76)+L76))</f>
        <v/>
      </c>
      <c r="P76" s="92"/>
      <c r="Q76" s="93"/>
      <c r="R76" s="91" t="str">
        <f>IF(L76="","",IF(L76="N/A", "N/A", (L76*J76)+L76))</f>
        <v/>
      </c>
      <c r="S76" s="92"/>
      <c r="T76" s="93"/>
      <c r="U76" s="88"/>
      <c r="V76" s="89"/>
      <c r="W76" s="89"/>
      <c r="X76" s="92" t="s">
        <v>62</v>
      </c>
      <c r="Y76" s="93"/>
      <c r="Z76" s="88"/>
      <c r="AA76" s="89"/>
      <c r="AB76" s="89"/>
      <c r="AC76" s="92" t="s">
        <v>62</v>
      </c>
      <c r="AD76" s="93"/>
      <c r="AE76" s="88"/>
      <c r="AF76" s="89"/>
      <c r="AG76" s="89"/>
      <c r="AH76" s="92" t="s">
        <v>62</v>
      </c>
      <c r="AI76" s="93"/>
      <c r="AJ76" s="81" t="str">
        <f t="shared" si="1"/>
        <v/>
      </c>
      <c r="AK76" s="82"/>
      <c r="AL76" s="83"/>
    </row>
    <row r="77" spans="1:39" ht="11.5" customHeight="1" x14ac:dyDescent="0.35">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c r="AA77" s="22"/>
      <c r="AB77" s="22"/>
      <c r="AC77" s="22"/>
      <c r="AD77" s="22"/>
      <c r="AE77" s="22"/>
      <c r="AF77" s="22"/>
      <c r="AG77" s="22"/>
      <c r="AH77" s="22"/>
      <c r="AI77" s="22"/>
      <c r="AJ77" s="22"/>
      <c r="AK77" s="22"/>
      <c r="AL77" s="22"/>
      <c r="AM77" s="22"/>
    </row>
    <row r="78" spans="1:39" ht="11.5" customHeight="1" thickBot="1" x14ac:dyDescent="0.4">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row>
    <row r="79" spans="1:39" ht="11.5" customHeight="1" x14ac:dyDescent="0.35">
      <c r="A79" s="24" t="s">
        <v>18</v>
      </c>
      <c r="B79" s="26"/>
      <c r="C79" s="26"/>
      <c r="D79" s="26"/>
      <c r="E79" s="26"/>
      <c r="F79" s="26"/>
      <c r="G79" s="26"/>
      <c r="H79" s="26"/>
      <c r="I79" s="26"/>
      <c r="J79" s="26"/>
      <c r="K79" s="26"/>
      <c r="L79" s="26"/>
      <c r="M79" s="26"/>
      <c r="N79" s="26"/>
      <c r="O79" s="26"/>
      <c r="P79" s="26"/>
      <c r="Q79" s="26"/>
      <c r="R79" s="26"/>
      <c r="S79" s="26"/>
      <c r="T79" s="26"/>
      <c r="U79" s="26"/>
      <c r="V79" s="26"/>
      <c r="W79" s="26"/>
      <c r="X79" s="26"/>
      <c r="Y79" s="26"/>
      <c r="Z79" s="26"/>
      <c r="AA79" s="26"/>
      <c r="AB79" s="26"/>
      <c r="AC79" s="26"/>
      <c r="AD79" s="26"/>
      <c r="AE79" s="26"/>
      <c r="AF79" s="26"/>
      <c r="AG79" s="26"/>
      <c r="AH79" s="26"/>
      <c r="AI79" s="26"/>
      <c r="AJ79" s="26"/>
      <c r="AK79" s="26"/>
      <c r="AL79" s="26"/>
      <c r="AM79" s="26"/>
    </row>
    <row r="80" spans="1:39" ht="11.5" customHeight="1" x14ac:dyDescent="0.35">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row>
    <row r="81" spans="1:39" ht="11.5" customHeight="1" x14ac:dyDescent="0.35">
      <c r="A81" s="11"/>
      <c r="C81" s="137" t="s">
        <v>162</v>
      </c>
      <c r="D81" s="137"/>
      <c r="E81" s="137"/>
      <c r="F81" s="137"/>
      <c r="G81" s="137"/>
      <c r="H81" s="137"/>
      <c r="I81" s="137"/>
      <c r="J81" s="137"/>
      <c r="K81" s="137"/>
      <c r="L81" s="137"/>
      <c r="M81" s="136"/>
      <c r="N81" s="136"/>
      <c r="O81" s="136"/>
      <c r="P81" s="136"/>
      <c r="Q81" s="136"/>
      <c r="R81" s="136"/>
      <c r="S81" s="136"/>
      <c r="T81" s="137" t="s">
        <v>21</v>
      </c>
      <c r="U81" s="137"/>
      <c r="V81" s="137"/>
      <c r="W81" s="137"/>
      <c r="X81" s="137"/>
      <c r="Y81" s="136"/>
      <c r="Z81" s="136"/>
      <c r="AA81" s="136"/>
      <c r="AB81" s="136"/>
      <c r="AC81" s="136"/>
      <c r="AD81" s="136"/>
      <c r="AE81" s="136"/>
      <c r="AF81" s="137" t="s">
        <v>19</v>
      </c>
      <c r="AG81" s="137"/>
      <c r="AH81" s="137"/>
      <c r="AI81" s="136"/>
      <c r="AJ81" s="136"/>
      <c r="AK81" s="136"/>
      <c r="AL81" s="136"/>
      <c r="AM81" s="11"/>
    </row>
    <row r="82" spans="1:39" ht="11.5" customHeight="1" x14ac:dyDescent="0.35">
      <c r="A82" s="11"/>
      <c r="E82" s="27"/>
      <c r="F82" s="27"/>
      <c r="G82" s="27"/>
      <c r="H82" s="27"/>
      <c r="I82" s="27"/>
      <c r="J82" s="27"/>
      <c r="K82" s="27"/>
      <c r="L82" s="16"/>
      <c r="M82" s="16"/>
      <c r="N82" s="16"/>
      <c r="O82" s="16"/>
      <c r="P82" s="16"/>
      <c r="W82" s="11"/>
      <c r="X82" s="16"/>
      <c r="Y82" s="16"/>
      <c r="Z82" s="16"/>
      <c r="AA82" s="27"/>
      <c r="AB82" s="27"/>
      <c r="AC82" s="27"/>
      <c r="AD82" s="27"/>
      <c r="AE82" s="11"/>
      <c r="AF82" s="11"/>
      <c r="AG82" s="11"/>
      <c r="AH82" s="11"/>
    </row>
    <row r="83" spans="1:39" ht="11" customHeight="1" x14ac:dyDescent="0.3">
      <c r="A83" s="11"/>
      <c r="E83" s="137" t="s">
        <v>20</v>
      </c>
      <c r="F83" s="137"/>
      <c r="G83" s="137"/>
      <c r="H83" s="137"/>
      <c r="I83" s="137"/>
      <c r="J83" s="137"/>
      <c r="K83" s="137"/>
      <c r="L83" s="137"/>
      <c r="M83" s="177"/>
      <c r="N83" s="177"/>
      <c r="O83" s="177"/>
      <c r="P83" s="177"/>
      <c r="Q83" s="177"/>
      <c r="R83" s="177"/>
      <c r="S83" s="177"/>
      <c r="T83" s="137" t="s">
        <v>21</v>
      </c>
      <c r="U83" s="137"/>
      <c r="V83" s="137"/>
      <c r="W83" s="137"/>
      <c r="X83" s="137"/>
      <c r="Y83" s="136"/>
      <c r="Z83" s="136"/>
      <c r="AA83" s="136"/>
      <c r="AB83" s="136"/>
      <c r="AC83" s="136"/>
      <c r="AD83" s="136"/>
      <c r="AE83" s="136"/>
      <c r="AF83" s="137" t="s">
        <v>19</v>
      </c>
      <c r="AG83" s="137"/>
      <c r="AH83" s="137"/>
      <c r="AI83" s="136"/>
      <c r="AJ83" s="136"/>
      <c r="AK83" s="136"/>
      <c r="AL83" s="136"/>
      <c r="AM83" s="11"/>
    </row>
    <row r="84" spans="1:39" ht="11" customHeight="1" x14ac:dyDescent="0.3">
      <c r="A84" s="11"/>
      <c r="E84" s="28"/>
      <c r="F84" s="28"/>
      <c r="G84" s="28"/>
      <c r="H84" s="28"/>
      <c r="I84" s="28"/>
      <c r="J84" s="28"/>
      <c r="K84" s="28"/>
      <c r="L84" s="28"/>
      <c r="M84" s="29"/>
      <c r="N84" s="29"/>
      <c r="O84" s="29"/>
      <c r="P84" s="29"/>
      <c r="Q84" s="29"/>
      <c r="R84" s="29"/>
      <c r="S84" s="29"/>
      <c r="T84" s="16"/>
      <c r="U84" s="16"/>
      <c r="V84" s="16"/>
      <c r="W84" s="16"/>
      <c r="X84" s="16"/>
      <c r="Y84" s="12"/>
      <c r="Z84" s="12"/>
      <c r="AA84" s="12"/>
      <c r="AB84" s="12"/>
      <c r="AC84" s="12"/>
      <c r="AD84" s="12"/>
      <c r="AE84" s="11"/>
      <c r="AF84" s="16"/>
      <c r="AG84" s="16"/>
      <c r="AH84" s="16"/>
      <c r="AI84" s="12"/>
      <c r="AJ84" s="12"/>
      <c r="AK84" s="12"/>
      <c r="AL84" s="12"/>
      <c r="AM84" s="11"/>
    </row>
    <row r="85" spans="1:39" ht="11.5" customHeight="1" x14ac:dyDescent="0.35">
      <c r="A85" s="11"/>
      <c r="E85" s="137" t="s">
        <v>63</v>
      </c>
      <c r="F85" s="137"/>
      <c r="G85" s="137"/>
      <c r="H85" s="137"/>
      <c r="I85" s="137"/>
      <c r="J85" s="137"/>
      <c r="K85" s="137"/>
      <c r="L85" s="137"/>
      <c r="M85" s="136"/>
      <c r="N85" s="136"/>
      <c r="O85" s="136"/>
      <c r="P85" s="136"/>
      <c r="Q85" s="136"/>
      <c r="R85" s="136"/>
      <c r="S85" s="136"/>
      <c r="T85" s="137" t="s">
        <v>21</v>
      </c>
      <c r="U85" s="137"/>
      <c r="V85" s="137"/>
      <c r="W85" s="137"/>
      <c r="X85" s="137"/>
      <c r="Y85" s="136"/>
      <c r="Z85" s="136"/>
      <c r="AA85" s="136"/>
      <c r="AB85" s="136"/>
      <c r="AC85" s="136"/>
      <c r="AD85" s="136"/>
      <c r="AE85" s="136"/>
      <c r="AF85" s="137" t="s">
        <v>19</v>
      </c>
      <c r="AG85" s="137"/>
      <c r="AH85" s="137"/>
      <c r="AI85" s="136"/>
      <c r="AJ85" s="136"/>
      <c r="AK85" s="136"/>
      <c r="AL85" s="136"/>
      <c r="AM85" s="11"/>
    </row>
    <row r="86" spans="1:39" ht="11.5" customHeight="1" thickBot="1" x14ac:dyDescent="0.4">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row>
    <row r="87" spans="1:39" ht="11.5" customHeight="1" x14ac:dyDescent="0.35">
      <c r="A87" s="7" t="s">
        <v>10</v>
      </c>
      <c r="C87" s="11"/>
      <c r="D87" s="11"/>
      <c r="E87" s="26"/>
      <c r="F87" s="26"/>
      <c r="G87" s="26"/>
      <c r="H87" s="26"/>
      <c r="I87" s="26"/>
      <c r="J87" s="26"/>
      <c r="K87" s="26"/>
      <c r="L87" s="26"/>
      <c r="M87" s="26"/>
      <c r="N87" s="26"/>
      <c r="O87" s="26"/>
      <c r="P87" s="26"/>
      <c r="Q87" s="26"/>
      <c r="R87" s="26"/>
      <c r="S87" s="26"/>
      <c r="T87" s="26"/>
      <c r="U87" s="26"/>
      <c r="V87" s="26"/>
      <c r="W87" s="26"/>
      <c r="X87" s="26"/>
      <c r="Y87" s="26"/>
      <c r="Z87" s="26"/>
      <c r="AA87" s="26"/>
      <c r="AB87" s="26"/>
      <c r="AC87" s="26"/>
      <c r="AD87" s="26"/>
      <c r="AE87" s="26"/>
      <c r="AF87" s="26"/>
      <c r="AG87" s="26"/>
      <c r="AH87" s="26"/>
      <c r="AI87" s="26"/>
      <c r="AJ87" s="26"/>
      <c r="AK87" s="26"/>
      <c r="AL87" s="26"/>
      <c r="AM87" s="11"/>
    </row>
    <row r="88" spans="1:39" ht="11.5" customHeight="1" x14ac:dyDescent="0.35">
      <c r="A88" s="7"/>
      <c r="B88" s="176"/>
      <c r="C88" s="176"/>
      <c r="D88" s="176"/>
      <c r="E88" s="176"/>
      <c r="F88" s="176"/>
      <c r="G88" s="176"/>
      <c r="H88" s="176"/>
      <c r="I88" s="176"/>
      <c r="J88" s="176"/>
      <c r="K88" s="176"/>
      <c r="L88" s="176"/>
      <c r="M88" s="176"/>
      <c r="N88" s="176"/>
      <c r="O88" s="176"/>
      <c r="P88" s="176"/>
      <c r="Q88" s="176"/>
      <c r="R88" s="176"/>
      <c r="S88" s="176"/>
      <c r="T88" s="176"/>
      <c r="U88" s="176"/>
      <c r="V88" s="176"/>
      <c r="W88" s="176"/>
      <c r="X88" s="176"/>
      <c r="Y88" s="176"/>
      <c r="Z88" s="176"/>
      <c r="AA88" s="176"/>
      <c r="AB88" s="176"/>
      <c r="AC88" s="176"/>
      <c r="AD88" s="176"/>
      <c r="AE88" s="176"/>
      <c r="AF88" s="176"/>
      <c r="AG88" s="176"/>
      <c r="AH88" s="176"/>
      <c r="AI88" s="176"/>
      <c r="AJ88" s="176"/>
      <c r="AK88" s="176"/>
      <c r="AL88" s="176"/>
      <c r="AM88" s="11"/>
    </row>
    <row r="89" spans="1:39" ht="11.5" customHeight="1" x14ac:dyDescent="0.35">
      <c r="A89" s="7"/>
      <c r="B89" s="176"/>
      <c r="C89" s="176"/>
      <c r="D89" s="176"/>
      <c r="E89" s="176"/>
      <c r="F89" s="176"/>
      <c r="G89" s="176"/>
      <c r="H89" s="176"/>
      <c r="I89" s="176"/>
      <c r="J89" s="176"/>
      <c r="K89" s="176"/>
      <c r="L89" s="176"/>
      <c r="M89" s="176"/>
      <c r="N89" s="176"/>
      <c r="O89" s="176"/>
      <c r="P89" s="176"/>
      <c r="Q89" s="176"/>
      <c r="R89" s="176"/>
      <c r="S89" s="176"/>
      <c r="T89" s="176"/>
      <c r="U89" s="176"/>
      <c r="V89" s="176"/>
      <c r="W89" s="176"/>
      <c r="X89" s="176"/>
      <c r="Y89" s="176"/>
      <c r="Z89" s="176"/>
      <c r="AA89" s="176"/>
      <c r="AB89" s="176"/>
      <c r="AC89" s="176"/>
      <c r="AD89" s="176"/>
      <c r="AE89" s="176"/>
      <c r="AF89" s="176"/>
      <c r="AG89" s="176"/>
      <c r="AH89" s="176"/>
      <c r="AI89" s="176"/>
      <c r="AJ89" s="176"/>
      <c r="AK89" s="176"/>
      <c r="AL89" s="176"/>
      <c r="AM89" s="11"/>
    </row>
    <row r="90" spans="1:39" ht="11.5" customHeight="1" x14ac:dyDescent="0.35">
      <c r="A90" s="7"/>
      <c r="B90" s="176"/>
      <c r="C90" s="176"/>
      <c r="D90" s="176"/>
      <c r="E90" s="176"/>
      <c r="F90" s="176"/>
      <c r="G90" s="176"/>
      <c r="H90" s="176"/>
      <c r="I90" s="176"/>
      <c r="J90" s="176"/>
      <c r="K90" s="176"/>
      <c r="L90" s="176"/>
      <c r="M90" s="176"/>
      <c r="N90" s="176"/>
      <c r="O90" s="176"/>
      <c r="P90" s="176"/>
      <c r="Q90" s="176"/>
      <c r="R90" s="176"/>
      <c r="S90" s="176"/>
      <c r="T90" s="176"/>
      <c r="U90" s="176"/>
      <c r="V90" s="176"/>
      <c r="W90" s="176"/>
      <c r="X90" s="176"/>
      <c r="Y90" s="176"/>
      <c r="Z90" s="176"/>
      <c r="AA90" s="176"/>
      <c r="AB90" s="176"/>
      <c r="AC90" s="176"/>
      <c r="AD90" s="176"/>
      <c r="AE90" s="176"/>
      <c r="AF90" s="176"/>
      <c r="AG90" s="176"/>
      <c r="AH90" s="176"/>
      <c r="AI90" s="176"/>
      <c r="AJ90" s="176"/>
      <c r="AK90" s="176"/>
      <c r="AL90" s="176"/>
      <c r="AM90" s="11"/>
    </row>
    <row r="91" spans="1:39" ht="11.5" customHeight="1" x14ac:dyDescent="0.35">
      <c r="A91" s="7"/>
      <c r="B91" s="176"/>
      <c r="C91" s="176"/>
      <c r="D91" s="176"/>
      <c r="E91" s="176"/>
      <c r="F91" s="176"/>
      <c r="G91" s="176"/>
      <c r="H91" s="176"/>
      <c r="I91" s="176"/>
      <c r="J91" s="176"/>
      <c r="K91" s="176"/>
      <c r="L91" s="176"/>
      <c r="M91" s="176"/>
      <c r="N91" s="176"/>
      <c r="O91" s="176"/>
      <c r="P91" s="176"/>
      <c r="Q91" s="176"/>
      <c r="R91" s="176"/>
      <c r="S91" s="176"/>
      <c r="T91" s="176"/>
      <c r="U91" s="176"/>
      <c r="V91" s="176"/>
      <c r="W91" s="176"/>
      <c r="X91" s="176"/>
      <c r="Y91" s="176"/>
      <c r="Z91" s="176"/>
      <c r="AA91" s="176"/>
      <c r="AB91" s="176"/>
      <c r="AC91" s="176"/>
      <c r="AD91" s="176"/>
      <c r="AE91" s="176"/>
      <c r="AF91" s="176"/>
      <c r="AG91" s="176"/>
      <c r="AH91" s="176"/>
      <c r="AI91" s="176"/>
      <c r="AJ91" s="176"/>
      <c r="AK91" s="176"/>
      <c r="AL91" s="176"/>
      <c r="AM91" s="11"/>
    </row>
    <row r="92" spans="1:39" ht="11.5" customHeight="1" x14ac:dyDescent="0.35">
      <c r="A92" s="7"/>
      <c r="B92" s="176"/>
      <c r="C92" s="176"/>
      <c r="D92" s="176"/>
      <c r="E92" s="176"/>
      <c r="F92" s="176"/>
      <c r="G92" s="176"/>
      <c r="H92" s="176"/>
      <c r="I92" s="176"/>
      <c r="J92" s="176"/>
      <c r="K92" s="176"/>
      <c r="L92" s="176"/>
      <c r="M92" s="176"/>
      <c r="N92" s="176"/>
      <c r="O92" s="176"/>
      <c r="P92" s="176"/>
      <c r="Q92" s="176"/>
      <c r="R92" s="176"/>
      <c r="S92" s="176"/>
      <c r="T92" s="176"/>
      <c r="U92" s="176"/>
      <c r="V92" s="176"/>
      <c r="W92" s="176"/>
      <c r="X92" s="176"/>
      <c r="Y92" s="176"/>
      <c r="Z92" s="176"/>
      <c r="AA92" s="176"/>
      <c r="AB92" s="176"/>
      <c r="AC92" s="176"/>
      <c r="AD92" s="176"/>
      <c r="AE92" s="176"/>
      <c r="AF92" s="176"/>
      <c r="AG92" s="176"/>
      <c r="AH92" s="176"/>
      <c r="AI92" s="176"/>
      <c r="AJ92" s="176"/>
      <c r="AK92" s="176"/>
      <c r="AL92" s="176"/>
      <c r="AM92" s="11"/>
    </row>
    <row r="93" spans="1:39" ht="11.5" customHeight="1" x14ac:dyDescent="0.35">
      <c r="A93" s="7"/>
      <c r="B93" s="176"/>
      <c r="C93" s="176"/>
      <c r="D93" s="176"/>
      <c r="E93" s="176"/>
      <c r="F93" s="176"/>
      <c r="G93" s="176"/>
      <c r="H93" s="176"/>
      <c r="I93" s="176"/>
      <c r="J93" s="176"/>
      <c r="K93" s="176"/>
      <c r="L93" s="176"/>
      <c r="M93" s="176"/>
      <c r="N93" s="176"/>
      <c r="O93" s="176"/>
      <c r="P93" s="176"/>
      <c r="Q93" s="176"/>
      <c r="R93" s="176"/>
      <c r="S93" s="176"/>
      <c r="T93" s="176"/>
      <c r="U93" s="176"/>
      <c r="V93" s="176"/>
      <c r="W93" s="176"/>
      <c r="X93" s="176"/>
      <c r="Y93" s="176"/>
      <c r="Z93" s="176"/>
      <c r="AA93" s="176"/>
      <c r="AB93" s="176"/>
      <c r="AC93" s="176"/>
      <c r="AD93" s="176"/>
      <c r="AE93" s="176"/>
      <c r="AF93" s="176"/>
      <c r="AG93" s="176"/>
      <c r="AH93" s="176"/>
      <c r="AI93" s="176"/>
      <c r="AJ93" s="176"/>
      <c r="AK93" s="176"/>
      <c r="AL93" s="176"/>
      <c r="AM93" s="11"/>
    </row>
    <row r="94" spans="1:39" ht="11.5" customHeight="1" x14ac:dyDescent="0.35">
      <c r="A94" s="7"/>
      <c r="B94" s="176"/>
      <c r="C94" s="176"/>
      <c r="D94" s="176"/>
      <c r="E94" s="176"/>
      <c r="F94" s="176"/>
      <c r="G94" s="176"/>
      <c r="H94" s="176"/>
      <c r="I94" s="176"/>
      <c r="J94" s="176"/>
      <c r="K94" s="176"/>
      <c r="L94" s="176"/>
      <c r="M94" s="176"/>
      <c r="N94" s="176"/>
      <c r="O94" s="176"/>
      <c r="P94" s="176"/>
      <c r="Q94" s="176"/>
      <c r="R94" s="176"/>
      <c r="S94" s="176"/>
      <c r="T94" s="176"/>
      <c r="U94" s="176"/>
      <c r="V94" s="176"/>
      <c r="W94" s="176"/>
      <c r="X94" s="176"/>
      <c r="Y94" s="176"/>
      <c r="Z94" s="176"/>
      <c r="AA94" s="176"/>
      <c r="AB94" s="176"/>
      <c r="AC94" s="176"/>
      <c r="AD94" s="176"/>
      <c r="AE94" s="176"/>
      <c r="AF94" s="176"/>
      <c r="AG94" s="176"/>
      <c r="AH94" s="176"/>
      <c r="AI94" s="176"/>
      <c r="AJ94" s="176"/>
      <c r="AK94" s="176"/>
      <c r="AL94" s="176"/>
      <c r="AM94" s="11"/>
    </row>
    <row r="95" spans="1:39" ht="11" customHeight="1" x14ac:dyDescent="0.35">
      <c r="A95" s="7"/>
      <c r="B95" s="176"/>
      <c r="C95" s="176"/>
      <c r="D95" s="176"/>
      <c r="E95" s="176"/>
      <c r="F95" s="176"/>
      <c r="G95" s="176"/>
      <c r="H95" s="176"/>
      <c r="I95" s="176"/>
      <c r="J95" s="176"/>
      <c r="K95" s="176"/>
      <c r="L95" s="176"/>
      <c r="M95" s="176"/>
      <c r="N95" s="176"/>
      <c r="O95" s="176"/>
      <c r="P95" s="176"/>
      <c r="Q95" s="176"/>
      <c r="R95" s="176"/>
      <c r="S95" s="176"/>
      <c r="T95" s="176"/>
      <c r="U95" s="176"/>
      <c r="V95" s="176"/>
      <c r="W95" s="176"/>
      <c r="X95" s="176"/>
      <c r="Y95" s="176"/>
      <c r="Z95" s="176"/>
      <c r="AA95" s="176"/>
      <c r="AB95" s="176"/>
      <c r="AC95" s="176"/>
      <c r="AD95" s="176"/>
      <c r="AE95" s="176"/>
      <c r="AF95" s="176"/>
      <c r="AG95" s="176"/>
      <c r="AH95" s="176"/>
      <c r="AI95" s="176"/>
      <c r="AJ95" s="176"/>
      <c r="AK95" s="176"/>
      <c r="AL95" s="176"/>
      <c r="AM95" s="11"/>
    </row>
    <row r="96" spans="1:39" ht="11" customHeight="1" x14ac:dyDescent="0.35">
      <c r="A96" s="7"/>
      <c r="B96" s="176"/>
      <c r="C96" s="176"/>
      <c r="D96" s="176"/>
      <c r="E96" s="176"/>
      <c r="F96" s="176"/>
      <c r="G96" s="176"/>
      <c r="H96" s="176"/>
      <c r="I96" s="176"/>
      <c r="J96" s="176"/>
      <c r="K96" s="176"/>
      <c r="L96" s="176"/>
      <c r="M96" s="176"/>
      <c r="N96" s="176"/>
      <c r="O96" s="176"/>
      <c r="P96" s="176"/>
      <c r="Q96" s="176"/>
      <c r="R96" s="176"/>
      <c r="S96" s="176"/>
      <c r="T96" s="176"/>
      <c r="U96" s="176"/>
      <c r="V96" s="176"/>
      <c r="W96" s="176"/>
      <c r="X96" s="176"/>
      <c r="Y96" s="176"/>
      <c r="Z96" s="176"/>
      <c r="AA96" s="176"/>
      <c r="AB96" s="176"/>
      <c r="AC96" s="176"/>
      <c r="AD96" s="176"/>
      <c r="AE96" s="176"/>
      <c r="AF96" s="176"/>
      <c r="AG96" s="176"/>
      <c r="AH96" s="176"/>
      <c r="AI96" s="176"/>
      <c r="AJ96" s="176"/>
      <c r="AK96" s="176"/>
      <c r="AL96" s="176"/>
      <c r="AM96" s="11"/>
    </row>
    <row r="97" spans="1:39" ht="11" customHeight="1" thickBot="1" x14ac:dyDescent="0.4">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row>
    <row r="98" spans="1:39" ht="11" customHeight="1" x14ac:dyDescent="0.35">
      <c r="A98" s="7" t="s">
        <v>148</v>
      </c>
      <c r="C98" s="11"/>
      <c r="D98" s="11"/>
      <c r="E98" s="26"/>
      <c r="F98" s="26"/>
      <c r="G98" s="26"/>
      <c r="H98" s="26"/>
      <c r="I98" s="26"/>
      <c r="J98" s="26"/>
      <c r="K98" s="26"/>
      <c r="L98" s="26"/>
      <c r="M98" s="26"/>
      <c r="N98" s="26"/>
      <c r="O98" s="26"/>
      <c r="P98" s="26"/>
      <c r="Q98" s="26"/>
      <c r="R98" s="26"/>
      <c r="S98" s="26"/>
      <c r="T98" s="26"/>
      <c r="U98" s="26"/>
      <c r="V98" s="26"/>
      <c r="W98" s="26"/>
      <c r="X98" s="26"/>
      <c r="Y98" s="26"/>
      <c r="Z98" s="26"/>
      <c r="AA98" s="26"/>
      <c r="AB98" s="26"/>
      <c r="AC98" s="26"/>
      <c r="AD98" s="26"/>
      <c r="AE98" s="26"/>
      <c r="AF98" s="26"/>
      <c r="AG98" s="26"/>
      <c r="AH98" s="26"/>
      <c r="AI98" s="26"/>
      <c r="AJ98" s="26"/>
      <c r="AK98" s="26"/>
      <c r="AL98" s="26"/>
      <c r="AM98" s="11"/>
    </row>
    <row r="99" spans="1:39" s="30" customFormat="1" ht="11" customHeight="1" x14ac:dyDescent="0.35">
      <c r="A99" s="39"/>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row>
    <row r="100" spans="1:39" s="30" customFormat="1" ht="11" customHeight="1" x14ac:dyDescent="0.35">
      <c r="A100" s="39"/>
      <c r="B100" s="56" t="s">
        <v>165</v>
      </c>
      <c r="C100" s="56"/>
      <c r="D100" s="56"/>
      <c r="E100" s="57" t="s">
        <v>149</v>
      </c>
      <c r="F100" s="58"/>
      <c r="G100" s="58"/>
      <c r="H100" s="58"/>
      <c r="I100" s="58"/>
      <c r="J100" s="59"/>
      <c r="L100" s="53" t="s">
        <v>119</v>
      </c>
      <c r="M100" s="54"/>
      <c r="N100" s="55"/>
      <c r="O100" s="57" t="s">
        <v>153</v>
      </c>
      <c r="P100" s="58"/>
      <c r="Q100" s="58"/>
      <c r="R100" s="58"/>
      <c r="S100" s="58"/>
      <c r="T100" s="58"/>
      <c r="U100" s="59"/>
      <c r="V100" s="3"/>
      <c r="W100" s="50" t="s">
        <v>157</v>
      </c>
      <c r="X100" s="51"/>
      <c r="Y100" s="52"/>
      <c r="Z100" s="50" t="s">
        <v>159</v>
      </c>
      <c r="AA100" s="51"/>
      <c r="AB100" s="51"/>
      <c r="AC100" s="51"/>
      <c r="AD100" s="51"/>
      <c r="AE100" s="51"/>
      <c r="AF100" s="51"/>
      <c r="AG100" s="51"/>
      <c r="AH100" s="51"/>
      <c r="AI100" s="52"/>
    </row>
    <row r="101" spans="1:39" s="30" customFormat="1" ht="11" customHeight="1" x14ac:dyDescent="0.35">
      <c r="A101" s="39"/>
      <c r="B101" s="56" t="s">
        <v>166</v>
      </c>
      <c r="C101" s="56"/>
      <c r="D101" s="56"/>
      <c r="E101" s="60" t="s">
        <v>150</v>
      </c>
      <c r="F101" s="61"/>
      <c r="G101" s="61"/>
      <c r="H101" s="61"/>
      <c r="I101" s="61"/>
      <c r="J101" s="62"/>
      <c r="L101" s="56" t="s">
        <v>120</v>
      </c>
      <c r="M101" s="56"/>
      <c r="N101" s="56"/>
      <c r="O101" s="60" t="s">
        <v>154</v>
      </c>
      <c r="P101" s="61"/>
      <c r="Q101" s="61"/>
      <c r="R101" s="61"/>
      <c r="S101" s="61"/>
      <c r="T101" s="61"/>
      <c r="U101" s="62"/>
      <c r="V101" s="40"/>
      <c r="W101" s="50" t="s">
        <v>158</v>
      </c>
      <c r="X101" s="51"/>
      <c r="Y101" s="52"/>
      <c r="Z101" s="50" t="s">
        <v>160</v>
      </c>
      <c r="AA101" s="51"/>
      <c r="AB101" s="51"/>
      <c r="AC101" s="51"/>
      <c r="AD101" s="51"/>
      <c r="AE101" s="51"/>
      <c r="AF101" s="51"/>
      <c r="AG101" s="51"/>
      <c r="AH101" s="51"/>
      <c r="AI101" s="52"/>
    </row>
    <row r="102" spans="1:39" s="30" customFormat="1" ht="11" customHeight="1" x14ac:dyDescent="0.35">
      <c r="A102" s="39"/>
      <c r="B102" s="56" t="s">
        <v>115</v>
      </c>
      <c r="C102" s="56"/>
      <c r="D102" s="56"/>
      <c r="E102" s="60" t="s">
        <v>151</v>
      </c>
      <c r="F102" s="61"/>
      <c r="G102" s="61"/>
      <c r="H102" s="61"/>
      <c r="I102" s="61"/>
      <c r="J102" s="62"/>
      <c r="L102" s="53" t="s">
        <v>117</v>
      </c>
      <c r="M102" s="54"/>
      <c r="N102" s="55"/>
      <c r="O102" s="60" t="s">
        <v>155</v>
      </c>
      <c r="P102" s="61"/>
      <c r="Q102" s="61"/>
      <c r="R102" s="61"/>
      <c r="S102" s="61"/>
      <c r="T102" s="61"/>
      <c r="U102" s="62"/>
      <c r="V102" s="40"/>
    </row>
    <row r="103" spans="1:39" s="30" customFormat="1" ht="11" customHeight="1" x14ac:dyDescent="0.35">
      <c r="A103" s="39"/>
      <c r="B103" s="56" t="s">
        <v>114</v>
      </c>
      <c r="C103" s="56"/>
      <c r="D103" s="56"/>
      <c r="E103" s="60" t="s">
        <v>152</v>
      </c>
      <c r="F103" s="61"/>
      <c r="G103" s="61"/>
      <c r="H103" s="61"/>
      <c r="I103" s="61"/>
      <c r="J103" s="62"/>
      <c r="L103" s="53" t="s">
        <v>116</v>
      </c>
      <c r="M103" s="54"/>
      <c r="N103" s="55"/>
      <c r="O103" s="60" t="s">
        <v>156</v>
      </c>
      <c r="P103" s="61"/>
      <c r="Q103" s="61"/>
      <c r="R103" s="61"/>
      <c r="S103" s="61"/>
      <c r="T103" s="61"/>
      <c r="U103" s="62"/>
      <c r="V103" s="40"/>
    </row>
    <row r="104" spans="1:39" ht="11" customHeight="1" thickBot="1" x14ac:dyDescent="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row>
    <row r="105" spans="1:39" ht="11" customHeight="1" x14ac:dyDescent="0.35">
      <c r="A105" s="7" t="s">
        <v>123</v>
      </c>
      <c r="C105" s="11"/>
      <c r="D105" s="11"/>
      <c r="E105" s="26"/>
      <c r="F105" s="26"/>
      <c r="G105" s="26"/>
      <c r="H105" s="26"/>
      <c r="I105" s="26"/>
      <c r="J105" s="26"/>
      <c r="K105" s="26"/>
      <c r="L105" s="26"/>
      <c r="M105" s="26"/>
      <c r="N105" s="26"/>
      <c r="O105" s="26"/>
      <c r="P105" s="26"/>
      <c r="Q105" s="26"/>
      <c r="R105" s="26"/>
      <c r="S105" s="26"/>
      <c r="T105" s="26"/>
      <c r="U105" s="26"/>
      <c r="V105" s="26"/>
      <c r="W105" s="26"/>
      <c r="X105" s="26"/>
      <c r="Y105" s="26"/>
      <c r="Z105" s="26"/>
      <c r="AA105" s="26"/>
      <c r="AB105" s="26"/>
      <c r="AC105" s="26"/>
      <c r="AD105" s="26"/>
      <c r="AE105" s="26"/>
      <c r="AF105" s="26"/>
      <c r="AG105" s="26"/>
      <c r="AH105" s="26"/>
      <c r="AI105" s="26"/>
      <c r="AJ105" s="26"/>
      <c r="AK105" s="26"/>
      <c r="AL105" s="26"/>
      <c r="AM105" s="11"/>
    </row>
    <row r="106" spans="1:39" ht="11" customHeight="1" x14ac:dyDescent="0.35">
      <c r="A106" s="7"/>
      <c r="B106" s="41"/>
      <c r="C106" s="41"/>
      <c r="D106" s="41"/>
      <c r="E106" s="41"/>
      <c r="F106" s="41"/>
      <c r="G106" s="41"/>
      <c r="H106" s="41"/>
      <c r="I106" s="41"/>
      <c r="J106" s="41"/>
      <c r="K106" s="41"/>
      <c r="L106" s="41"/>
      <c r="M106" s="41"/>
      <c r="N106" s="41"/>
      <c r="O106" s="41"/>
      <c r="P106" s="41"/>
      <c r="Q106" s="41"/>
      <c r="R106" s="41"/>
      <c r="S106" s="41"/>
      <c r="T106" s="41"/>
      <c r="U106" s="41"/>
      <c r="AM106" s="11"/>
    </row>
    <row r="107" spans="1:39" ht="11" customHeight="1" x14ac:dyDescent="0.35">
      <c r="A107" s="7"/>
      <c r="B107" s="67" t="s">
        <v>129</v>
      </c>
      <c r="C107" s="67"/>
      <c r="D107" s="64" t="s">
        <v>135</v>
      </c>
      <c r="E107" s="65"/>
      <c r="F107" s="65"/>
      <c r="G107" s="65"/>
      <c r="H107" s="65"/>
      <c r="I107" s="65"/>
      <c r="J107" s="65"/>
      <c r="K107" s="65"/>
      <c r="L107" s="65"/>
      <c r="M107" s="65"/>
      <c r="N107" s="65"/>
      <c r="O107" s="65"/>
      <c r="P107" s="65"/>
      <c r="Q107" s="66"/>
      <c r="R107" s="30"/>
      <c r="S107" s="67" t="s">
        <v>122</v>
      </c>
      <c r="T107" s="67"/>
      <c r="U107" s="63" t="s">
        <v>141</v>
      </c>
      <c r="V107" s="63"/>
      <c r="W107" s="63"/>
      <c r="X107" s="63"/>
      <c r="Y107" s="63"/>
      <c r="Z107" s="63"/>
      <c r="AA107" s="63"/>
      <c r="AB107" s="63"/>
      <c r="AC107" s="63"/>
      <c r="AD107" s="63"/>
      <c r="AE107" s="11"/>
    </row>
    <row r="108" spans="1:39" ht="11" customHeight="1" x14ac:dyDescent="0.35">
      <c r="A108" s="7"/>
      <c r="B108" s="67" t="s">
        <v>131</v>
      </c>
      <c r="C108" s="67"/>
      <c r="D108" s="64" t="s">
        <v>136</v>
      </c>
      <c r="E108" s="65"/>
      <c r="F108" s="65"/>
      <c r="G108" s="65"/>
      <c r="H108" s="65"/>
      <c r="I108" s="65"/>
      <c r="J108" s="65"/>
      <c r="K108" s="65"/>
      <c r="L108" s="65"/>
      <c r="M108" s="65"/>
      <c r="N108" s="65"/>
      <c r="O108" s="65"/>
      <c r="P108" s="65"/>
      <c r="Q108" s="66"/>
      <c r="R108" s="30"/>
      <c r="S108" s="67" t="s">
        <v>124</v>
      </c>
      <c r="T108" s="67"/>
      <c r="U108" s="63" t="s">
        <v>142</v>
      </c>
      <c r="V108" s="63"/>
      <c r="W108" s="63"/>
      <c r="X108" s="63"/>
      <c r="Y108" s="63"/>
      <c r="Z108" s="63"/>
      <c r="AA108" s="63"/>
      <c r="AB108" s="63"/>
      <c r="AC108" s="63"/>
      <c r="AD108" s="63"/>
      <c r="AE108" s="11"/>
    </row>
    <row r="109" spans="1:39" ht="11" customHeight="1" x14ac:dyDescent="0.35">
      <c r="A109" s="7"/>
      <c r="B109" s="67" t="s">
        <v>121</v>
      </c>
      <c r="C109" s="67"/>
      <c r="D109" s="64" t="s">
        <v>145</v>
      </c>
      <c r="E109" s="65"/>
      <c r="F109" s="65"/>
      <c r="G109" s="65"/>
      <c r="H109" s="65"/>
      <c r="I109" s="65"/>
      <c r="J109" s="65"/>
      <c r="K109" s="65"/>
      <c r="L109" s="65"/>
      <c r="M109" s="65"/>
      <c r="N109" s="65"/>
      <c r="O109" s="65"/>
      <c r="P109" s="65"/>
      <c r="Q109" s="66"/>
      <c r="R109" s="30"/>
      <c r="S109" s="67" t="s">
        <v>125</v>
      </c>
      <c r="T109" s="67"/>
      <c r="U109" s="63" t="s">
        <v>143</v>
      </c>
      <c r="V109" s="63"/>
      <c r="W109" s="63"/>
      <c r="X109" s="63"/>
      <c r="Y109" s="63"/>
      <c r="Z109" s="63"/>
      <c r="AA109" s="63"/>
      <c r="AB109" s="63"/>
      <c r="AC109" s="63"/>
      <c r="AD109" s="63"/>
      <c r="AE109" s="11"/>
    </row>
    <row r="110" spans="1:39" ht="11" customHeight="1" x14ac:dyDescent="0.35">
      <c r="A110" s="7"/>
      <c r="B110" s="67" t="s">
        <v>130</v>
      </c>
      <c r="C110" s="67"/>
      <c r="D110" s="64" t="s">
        <v>146</v>
      </c>
      <c r="E110" s="65"/>
      <c r="F110" s="65"/>
      <c r="G110" s="65"/>
      <c r="H110" s="65"/>
      <c r="I110" s="65"/>
      <c r="J110" s="65"/>
      <c r="K110" s="65"/>
      <c r="L110" s="65"/>
      <c r="M110" s="65"/>
      <c r="N110" s="65"/>
      <c r="O110" s="65"/>
      <c r="P110" s="65"/>
      <c r="Q110" s="66"/>
      <c r="R110" s="30"/>
      <c r="S110" s="67" t="s">
        <v>126</v>
      </c>
      <c r="T110" s="67"/>
      <c r="U110" s="63" t="s">
        <v>140</v>
      </c>
      <c r="V110" s="63"/>
      <c r="W110" s="63"/>
      <c r="X110" s="63"/>
      <c r="Y110" s="63"/>
      <c r="Z110" s="63"/>
      <c r="AA110" s="63"/>
      <c r="AB110" s="63"/>
      <c r="AC110" s="63"/>
      <c r="AD110" s="63"/>
      <c r="AE110" s="11"/>
    </row>
    <row r="111" spans="1:39" ht="11" customHeight="1" x14ac:dyDescent="0.35">
      <c r="A111" s="7"/>
      <c r="B111" s="67" t="s">
        <v>132</v>
      </c>
      <c r="C111" s="67"/>
      <c r="D111" s="64" t="s">
        <v>144</v>
      </c>
      <c r="E111" s="65"/>
      <c r="F111" s="65"/>
      <c r="G111" s="65"/>
      <c r="H111" s="65"/>
      <c r="I111" s="65"/>
      <c r="J111" s="65"/>
      <c r="K111" s="65"/>
      <c r="L111" s="65"/>
      <c r="M111" s="65"/>
      <c r="N111" s="65"/>
      <c r="O111" s="65"/>
      <c r="P111" s="65"/>
      <c r="Q111" s="66"/>
      <c r="R111" s="30"/>
      <c r="S111" s="67" t="s">
        <v>128</v>
      </c>
      <c r="T111" s="67"/>
      <c r="U111" s="63" t="s">
        <v>139</v>
      </c>
      <c r="V111" s="63"/>
      <c r="W111" s="63"/>
      <c r="X111" s="63"/>
      <c r="Y111" s="63"/>
      <c r="Z111" s="63"/>
      <c r="AA111" s="63"/>
      <c r="AB111" s="63"/>
      <c r="AC111" s="63"/>
      <c r="AD111" s="63"/>
      <c r="AE111" s="11"/>
    </row>
    <row r="112" spans="1:39" ht="11" customHeight="1" x14ac:dyDescent="0.35">
      <c r="A112" s="7"/>
      <c r="B112" s="67" t="s">
        <v>113</v>
      </c>
      <c r="C112" s="67"/>
      <c r="D112" s="64" t="s">
        <v>147</v>
      </c>
      <c r="E112" s="65"/>
      <c r="F112" s="65"/>
      <c r="G112" s="65"/>
      <c r="H112" s="65"/>
      <c r="I112" s="65"/>
      <c r="J112" s="65"/>
      <c r="K112" s="65"/>
      <c r="L112" s="65"/>
      <c r="M112" s="65"/>
      <c r="N112" s="65"/>
      <c r="O112" s="65"/>
      <c r="P112" s="65"/>
      <c r="Q112" s="66"/>
      <c r="R112" s="30"/>
      <c r="S112" s="67" t="s">
        <v>127</v>
      </c>
      <c r="T112" s="67"/>
      <c r="U112" s="63" t="s">
        <v>137</v>
      </c>
      <c r="V112" s="63"/>
      <c r="W112" s="63"/>
      <c r="X112" s="63"/>
      <c r="Y112" s="63"/>
      <c r="Z112" s="63"/>
      <c r="AA112" s="63"/>
      <c r="AB112" s="63"/>
      <c r="AC112" s="63"/>
      <c r="AD112" s="63"/>
      <c r="AE112" s="11"/>
    </row>
    <row r="113" spans="1:39" ht="11" customHeight="1" x14ac:dyDescent="0.35">
      <c r="A113" s="7"/>
      <c r="B113" s="67" t="s">
        <v>133</v>
      </c>
      <c r="C113" s="67"/>
      <c r="D113" s="64" t="s">
        <v>64</v>
      </c>
      <c r="E113" s="65"/>
      <c r="F113" s="65"/>
      <c r="G113" s="65"/>
      <c r="H113" s="65"/>
      <c r="I113" s="65"/>
      <c r="J113" s="65"/>
      <c r="K113" s="65"/>
      <c r="L113" s="65"/>
      <c r="M113" s="65"/>
      <c r="N113" s="65"/>
      <c r="O113" s="65"/>
      <c r="P113" s="65"/>
      <c r="Q113" s="66"/>
      <c r="R113" s="30"/>
      <c r="S113" s="67" t="s">
        <v>134</v>
      </c>
      <c r="T113" s="67"/>
      <c r="U113" s="63" t="s">
        <v>138</v>
      </c>
      <c r="V113" s="63"/>
      <c r="W113" s="63"/>
      <c r="X113" s="63"/>
      <c r="Y113" s="63"/>
      <c r="Z113" s="63"/>
      <c r="AA113" s="63"/>
      <c r="AB113" s="63"/>
      <c r="AC113" s="63"/>
      <c r="AD113" s="63"/>
      <c r="AE113" s="11"/>
    </row>
    <row r="114" spans="1:39" ht="11.5" customHeight="1" thickBot="1" x14ac:dyDescent="0.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row>
  </sheetData>
  <sheetProtection algorithmName="SHA-512" hashValue="CMRNDAkLPgXG80lH+tezDWf256gd1hhpKyQK77YDwPW3C8oFG2ha+2q9rQIq/Je0/vnChztb4Gdv/Q3eDD2Brg==" saltValue="0hIZ128GtZ0GZlkL0/3sjw==" spinCount="100000" sheet="1" formatCells="0" selectLockedCells="1"/>
  <dataConsolidate/>
  <mergeCells count="418">
    <mergeCell ref="AB61:AH61"/>
    <mergeCell ref="AB62:AH62"/>
    <mergeCell ref="C81:L81"/>
    <mergeCell ref="AH73:AI73"/>
    <mergeCell ref="B42:E42"/>
    <mergeCell ref="F42:I42"/>
    <mergeCell ref="J42:M42"/>
    <mergeCell ref="Y52:Z52"/>
    <mergeCell ref="Y53:Z53"/>
    <mergeCell ref="AE54:AF54"/>
    <mergeCell ref="AG53:AH53"/>
    <mergeCell ref="AG54:AH54"/>
    <mergeCell ref="AD50:AH50"/>
    <mergeCell ref="AD51:AF51"/>
    <mergeCell ref="AE52:AF52"/>
    <mergeCell ref="AG52:AH52"/>
    <mergeCell ref="AG51:AH51"/>
    <mergeCell ref="V54:W54"/>
    <mergeCell ref="U43:X43"/>
    <mergeCell ref="V52:W52"/>
    <mergeCell ref="AH72:AI72"/>
    <mergeCell ref="L72:N72"/>
    <mergeCell ref="O76:Q76"/>
    <mergeCell ref="U71:W71"/>
    <mergeCell ref="B108:C108"/>
    <mergeCell ref="B109:C109"/>
    <mergeCell ref="B112:C112"/>
    <mergeCell ref="B113:C113"/>
    <mergeCell ref="B43:E43"/>
    <mergeCell ref="F43:I43"/>
    <mergeCell ref="J43:M43"/>
    <mergeCell ref="N43:O43"/>
    <mergeCell ref="E85:L85"/>
    <mergeCell ref="F50:H51"/>
    <mergeCell ref="L51:N51"/>
    <mergeCell ref="O51:Q51"/>
    <mergeCell ref="I51:K51"/>
    <mergeCell ref="C62:I62"/>
    <mergeCell ref="C61:I61"/>
    <mergeCell ref="B50:E51"/>
    <mergeCell ref="B52:E52"/>
    <mergeCell ref="B53:E53"/>
    <mergeCell ref="B54:E54"/>
    <mergeCell ref="J54:K54"/>
    <mergeCell ref="J52:K52"/>
    <mergeCell ref="J53:K53"/>
    <mergeCell ref="L73:N73"/>
    <mergeCell ref="J72:K72"/>
    <mergeCell ref="T85:X85"/>
    <mergeCell ref="B107:C107"/>
    <mergeCell ref="Y85:AE85"/>
    <mergeCell ref="AF85:AH85"/>
    <mergeCell ref="Y83:AE83"/>
    <mergeCell ref="E73:G73"/>
    <mergeCell ref="H73:K73"/>
    <mergeCell ref="O73:Q73"/>
    <mergeCell ref="B88:AL96"/>
    <mergeCell ref="AH75:AI75"/>
    <mergeCell ref="AH74:AI74"/>
    <mergeCell ref="Z74:AB74"/>
    <mergeCell ref="U74:W74"/>
    <mergeCell ref="X74:Y74"/>
    <mergeCell ref="AC74:AD74"/>
    <mergeCell ref="R73:T73"/>
    <mergeCell ref="E83:L83"/>
    <mergeCell ref="M83:S83"/>
    <mergeCell ref="T83:X83"/>
    <mergeCell ref="E75:G75"/>
    <mergeCell ref="E76:G76"/>
    <mergeCell ref="AC76:AD76"/>
    <mergeCell ref="AI81:AL81"/>
    <mergeCell ref="Y81:AE81"/>
    <mergeCell ref="E35:J35"/>
    <mergeCell ref="E36:J36"/>
    <mergeCell ref="B36:D36"/>
    <mergeCell ref="F54:H54"/>
    <mergeCell ref="F52:H53"/>
    <mergeCell ref="AJ53:AL53"/>
    <mergeCell ref="AK36:AL36"/>
    <mergeCell ref="M60:Y60"/>
    <mergeCell ref="Q42:T42"/>
    <mergeCell ref="U42:X42"/>
    <mergeCell ref="Z42:AC43"/>
    <mergeCell ref="N42:O42"/>
    <mergeCell ref="AA47:AC47"/>
    <mergeCell ref="R47:Z47"/>
    <mergeCell ref="AE47:AI47"/>
    <mergeCell ref="Z36:AD36"/>
    <mergeCell ref="AH36:AJ36"/>
    <mergeCell ref="T36:V36"/>
    <mergeCell ref="AJ47:AL47"/>
    <mergeCell ref="B41:O41"/>
    <mergeCell ref="Q41:X41"/>
    <mergeCell ref="Z41:AC41"/>
    <mergeCell ref="R51:T51"/>
    <mergeCell ref="AA54:AB54"/>
    <mergeCell ref="AH33:AJ33"/>
    <mergeCell ref="F23:AG23"/>
    <mergeCell ref="L32:P32"/>
    <mergeCell ref="L31:X31"/>
    <mergeCell ref="Z32:AD32"/>
    <mergeCell ref="Z31:AL31"/>
    <mergeCell ref="B31:F31"/>
    <mergeCell ref="G31:J31"/>
    <mergeCell ref="B26:E26"/>
    <mergeCell ref="F26:AG26"/>
    <mergeCell ref="AH25:AL25"/>
    <mergeCell ref="B24:E24"/>
    <mergeCell ref="AH26:AL26"/>
    <mergeCell ref="AK33:AL33"/>
    <mergeCell ref="F24:AG24"/>
    <mergeCell ref="AH24:AL24"/>
    <mergeCell ref="AK32:AL32"/>
    <mergeCell ref="B25:E25"/>
    <mergeCell ref="E34:J34"/>
    <mergeCell ref="AH34:AJ34"/>
    <mergeCell ref="B23:E23"/>
    <mergeCell ref="AA14:AE14"/>
    <mergeCell ref="AE4:AH4"/>
    <mergeCell ref="T5:V5"/>
    <mergeCell ref="W36:X36"/>
    <mergeCell ref="Q36:S36"/>
    <mergeCell ref="AE36:AG36"/>
    <mergeCell ref="B20:E20"/>
    <mergeCell ref="O14:T14"/>
    <mergeCell ref="U14:Y14"/>
    <mergeCell ref="L36:P36"/>
    <mergeCell ref="B14:F14"/>
    <mergeCell ref="L34:P34"/>
    <mergeCell ref="B21:E21"/>
    <mergeCell ref="B22:E22"/>
    <mergeCell ref="F22:AG22"/>
    <mergeCell ref="AE32:AG32"/>
    <mergeCell ref="AH32:AJ32"/>
    <mergeCell ref="AE33:AG33"/>
    <mergeCell ref="B34:D34"/>
    <mergeCell ref="B33:J33"/>
    <mergeCell ref="B35:D35"/>
    <mergeCell ref="AE41:AF41"/>
    <mergeCell ref="AE42:AF42"/>
    <mergeCell ref="Q43:T43"/>
    <mergeCell ref="U51:W51"/>
    <mergeCell ref="X51:Z51"/>
    <mergeCell ref="R65:T65"/>
    <mergeCell ref="U67:Y68"/>
    <mergeCell ref="AA48:AC48"/>
    <mergeCell ref="AH71:AI71"/>
    <mergeCell ref="AH70:AI70"/>
    <mergeCell ref="AE67:AI68"/>
    <mergeCell ref="Z67:AD68"/>
    <mergeCell ref="AH69:AI69"/>
    <mergeCell ref="X63:Y63"/>
    <mergeCell ref="AC70:AD70"/>
    <mergeCell ref="U65:W65"/>
    <mergeCell ref="X65:Y65"/>
    <mergeCell ref="U61:W61"/>
    <mergeCell ref="AE69:AG69"/>
    <mergeCell ref="R69:T69"/>
    <mergeCell ref="AE71:AG71"/>
    <mergeCell ref="Z71:AB71"/>
    <mergeCell ref="O69:Q69"/>
    <mergeCell ref="X71:Y71"/>
    <mergeCell ref="L76:N76"/>
    <mergeCell ref="U73:W73"/>
    <mergeCell ref="X73:Y73"/>
    <mergeCell ref="O71:Q71"/>
    <mergeCell ref="R71:T71"/>
    <mergeCell ref="Z70:AB70"/>
    <mergeCell ref="X69:Y69"/>
    <mergeCell ref="AE70:AG70"/>
    <mergeCell ref="AC73:AD73"/>
    <mergeCell ref="Z72:AB72"/>
    <mergeCell ref="AC72:AD72"/>
    <mergeCell ref="U72:W72"/>
    <mergeCell ref="AC71:AD71"/>
    <mergeCell ref="L75:N75"/>
    <mergeCell ref="R48:Z48"/>
    <mergeCell ref="M52:N52"/>
    <mergeCell ref="M53:N53"/>
    <mergeCell ref="M54:N54"/>
    <mergeCell ref="P52:Q52"/>
    <mergeCell ref="P53:Q53"/>
    <mergeCell ref="P54:Q54"/>
    <mergeCell ref="I50:Q50"/>
    <mergeCell ref="U63:W63"/>
    <mergeCell ref="X61:Y61"/>
    <mergeCell ref="M62:Q62"/>
    <mergeCell ref="M63:Q63"/>
    <mergeCell ref="R63:T63"/>
    <mergeCell ref="U62:W62"/>
    <mergeCell ref="X62:Y62"/>
    <mergeCell ref="R62:T62"/>
    <mergeCell ref="R61:T61"/>
    <mergeCell ref="A1:AM1"/>
    <mergeCell ref="L5:M5"/>
    <mergeCell ref="Z6:AD6"/>
    <mergeCell ref="Z2:AD2"/>
    <mergeCell ref="AE2:AH2"/>
    <mergeCell ref="N5:O5"/>
    <mergeCell ref="Q5:R5"/>
    <mergeCell ref="Z3:AD3"/>
    <mergeCell ref="G5:J5"/>
    <mergeCell ref="AJ2:AL4"/>
    <mergeCell ref="AE3:AH3"/>
    <mergeCell ref="Z5:AD5"/>
    <mergeCell ref="AE5:AL5"/>
    <mergeCell ref="B2:E2"/>
    <mergeCell ref="B3:E3"/>
    <mergeCell ref="B4:E4"/>
    <mergeCell ref="G2:X2"/>
    <mergeCell ref="G3:X3"/>
    <mergeCell ref="G4:X4"/>
    <mergeCell ref="B6:F6"/>
    <mergeCell ref="G6:X6"/>
    <mergeCell ref="B5:E5"/>
    <mergeCell ref="Z4:AD4"/>
    <mergeCell ref="AE6:AL6"/>
    <mergeCell ref="E74:G74"/>
    <mergeCell ref="H74:I74"/>
    <mergeCell ref="J74:K74"/>
    <mergeCell ref="L74:N74"/>
    <mergeCell ref="O74:Q74"/>
    <mergeCell ref="X72:Y72"/>
    <mergeCell ref="AE73:AG73"/>
    <mergeCell ref="AE72:AG72"/>
    <mergeCell ref="R72:T72"/>
    <mergeCell ref="Z73:AB73"/>
    <mergeCell ref="J70:K70"/>
    <mergeCell ref="L70:N70"/>
    <mergeCell ref="O70:Q70"/>
    <mergeCell ref="M85:S85"/>
    <mergeCell ref="AI85:AL85"/>
    <mergeCell ref="Z75:AB75"/>
    <mergeCell ref="AC75:AD75"/>
    <mergeCell ref="AE75:AG75"/>
    <mergeCell ref="H76:I76"/>
    <mergeCell ref="J76:K76"/>
    <mergeCell ref="AE76:AG76"/>
    <mergeCell ref="H75:K75"/>
    <mergeCell ref="O75:Q75"/>
    <mergeCell ref="AF83:AH83"/>
    <mergeCell ref="R76:T76"/>
    <mergeCell ref="U76:W76"/>
    <mergeCell ref="X75:Y75"/>
    <mergeCell ref="X76:Y76"/>
    <mergeCell ref="R75:T75"/>
    <mergeCell ref="U75:W75"/>
    <mergeCell ref="AI83:AL83"/>
    <mergeCell ref="AE74:AG74"/>
    <mergeCell ref="R74:T74"/>
    <mergeCell ref="Z76:AB76"/>
    <mergeCell ref="M81:S81"/>
    <mergeCell ref="T81:X81"/>
    <mergeCell ref="AF81:AH81"/>
    <mergeCell ref="Q32:S32"/>
    <mergeCell ref="T32:V32"/>
    <mergeCell ref="W32:X32"/>
    <mergeCell ref="L33:P33"/>
    <mergeCell ref="Q33:S33"/>
    <mergeCell ref="T33:V33"/>
    <mergeCell ref="W33:X33"/>
    <mergeCell ref="W34:X34"/>
    <mergeCell ref="L35:P35"/>
    <mergeCell ref="Q35:S35"/>
    <mergeCell ref="T35:V35"/>
    <mergeCell ref="W35:X35"/>
    <mergeCell ref="AE35:AG35"/>
    <mergeCell ref="Z33:AD33"/>
    <mergeCell ref="Z34:AD34"/>
    <mergeCell ref="Z35:AD35"/>
    <mergeCell ref="Q34:S34"/>
    <mergeCell ref="T34:V34"/>
    <mergeCell ref="AE34:AG34"/>
    <mergeCell ref="AH35:AJ35"/>
    <mergeCell ref="AJ74:AL74"/>
    <mergeCell ref="AH22:AL22"/>
    <mergeCell ref="F25:AG25"/>
    <mergeCell ref="B10:F10"/>
    <mergeCell ref="B11:F11"/>
    <mergeCell ref="B12:F12"/>
    <mergeCell ref="B13:F13"/>
    <mergeCell ref="G12:M12"/>
    <mergeCell ref="G13:M13"/>
    <mergeCell ref="F21:AG21"/>
    <mergeCell ref="AH21:AL21"/>
    <mergeCell ref="AH23:AL23"/>
    <mergeCell ref="F20:AG20"/>
    <mergeCell ref="G10:M10"/>
    <mergeCell ref="G11:M11"/>
    <mergeCell ref="AF10:AL10"/>
    <mergeCell ref="U10:Y10"/>
    <mergeCell ref="U11:Y11"/>
    <mergeCell ref="U13:Y13"/>
    <mergeCell ref="O10:T10"/>
    <mergeCell ref="AF14:AL14"/>
    <mergeCell ref="G14:M14"/>
    <mergeCell ref="AH20:AL20"/>
    <mergeCell ref="AA13:AE13"/>
    <mergeCell ref="U12:Y12"/>
    <mergeCell ref="AH19:AL19"/>
    <mergeCell ref="O11:T11"/>
    <mergeCell ref="O12:T12"/>
    <mergeCell ref="O13:T13"/>
    <mergeCell ref="AF11:AL11"/>
    <mergeCell ref="AF12:AL12"/>
    <mergeCell ref="AF13:AL13"/>
    <mergeCell ref="AA10:AE10"/>
    <mergeCell ref="AA11:AE11"/>
    <mergeCell ref="AA12:AE12"/>
    <mergeCell ref="AK35:AL35"/>
    <mergeCell ref="AK34:AL34"/>
    <mergeCell ref="L67:N68"/>
    <mergeCell ref="E69:G69"/>
    <mergeCell ref="L69:N69"/>
    <mergeCell ref="AJ50:AL51"/>
    <mergeCell ref="AE48:AI48"/>
    <mergeCell ref="AJ48:AL48"/>
    <mergeCell ref="AJ54:AL54"/>
    <mergeCell ref="AA51:AB51"/>
    <mergeCell ref="AA52:AB52"/>
    <mergeCell ref="AA53:AB53"/>
    <mergeCell ref="AJ52:AL52"/>
    <mergeCell ref="R50:Z50"/>
    <mergeCell ref="S52:T52"/>
    <mergeCell ref="S53:T53"/>
    <mergeCell ref="S54:T54"/>
    <mergeCell ref="V53:W53"/>
    <mergeCell ref="Y54:Z54"/>
    <mergeCell ref="AE53:AF53"/>
    <mergeCell ref="O67:T67"/>
    <mergeCell ref="E67:G68"/>
    <mergeCell ref="H67:K67"/>
    <mergeCell ref="R68:T68"/>
    <mergeCell ref="AJ75:AL75"/>
    <mergeCell ref="AJ76:AL76"/>
    <mergeCell ref="B69:D69"/>
    <mergeCell ref="B70:D70"/>
    <mergeCell ref="B71:D71"/>
    <mergeCell ref="B72:D72"/>
    <mergeCell ref="B73:D73"/>
    <mergeCell ref="B74:D74"/>
    <mergeCell ref="E71:G71"/>
    <mergeCell ref="E72:G72"/>
    <mergeCell ref="O72:Q72"/>
    <mergeCell ref="E70:G70"/>
    <mergeCell ref="H69:K69"/>
    <mergeCell ref="Z69:AB69"/>
    <mergeCell ref="AC69:AD69"/>
    <mergeCell ref="H72:I72"/>
    <mergeCell ref="U69:W69"/>
    <mergeCell ref="R70:T70"/>
    <mergeCell ref="U70:W70"/>
    <mergeCell ref="X70:Y70"/>
    <mergeCell ref="AH76:AI76"/>
    <mergeCell ref="L71:N71"/>
    <mergeCell ref="H71:K71"/>
    <mergeCell ref="H70:I70"/>
    <mergeCell ref="AK63:AL63"/>
    <mergeCell ref="M65:Q65"/>
    <mergeCell ref="M64:Q64"/>
    <mergeCell ref="U64:W64"/>
    <mergeCell ref="X64:Y64"/>
    <mergeCell ref="R64:T64"/>
    <mergeCell ref="M61:Q61"/>
    <mergeCell ref="B110:C110"/>
    <mergeCell ref="B111:C111"/>
    <mergeCell ref="B100:D100"/>
    <mergeCell ref="B101:D101"/>
    <mergeCell ref="B102:D102"/>
    <mergeCell ref="B103:D103"/>
    <mergeCell ref="B75:D75"/>
    <mergeCell ref="B76:D76"/>
    <mergeCell ref="B67:D68"/>
    <mergeCell ref="AJ67:AL68"/>
    <mergeCell ref="AJ69:AL69"/>
    <mergeCell ref="AJ70:AL70"/>
    <mergeCell ref="AJ71:AL71"/>
    <mergeCell ref="AJ72:AL72"/>
    <mergeCell ref="AJ73:AL73"/>
    <mergeCell ref="H68:K68"/>
    <mergeCell ref="O68:Q68"/>
    <mergeCell ref="U107:AD107"/>
    <mergeCell ref="U108:AD108"/>
    <mergeCell ref="U109:AD109"/>
    <mergeCell ref="U110:AD110"/>
    <mergeCell ref="U111:AD111"/>
    <mergeCell ref="U112:AD112"/>
    <mergeCell ref="U113:AD113"/>
    <mergeCell ref="W101:Y101"/>
    <mergeCell ref="D107:Q107"/>
    <mergeCell ref="D108:Q108"/>
    <mergeCell ref="D109:Q109"/>
    <mergeCell ref="D110:Q110"/>
    <mergeCell ref="D111:Q111"/>
    <mergeCell ref="D112:Q112"/>
    <mergeCell ref="D113:Q113"/>
    <mergeCell ref="S107:T107"/>
    <mergeCell ref="S108:T108"/>
    <mergeCell ref="S109:T109"/>
    <mergeCell ref="S110:T110"/>
    <mergeCell ref="S111:T111"/>
    <mergeCell ref="S112:T112"/>
    <mergeCell ref="S113:T113"/>
    <mergeCell ref="W100:Y100"/>
    <mergeCell ref="Z100:AI100"/>
    <mergeCell ref="Z101:AI101"/>
    <mergeCell ref="L100:N100"/>
    <mergeCell ref="L101:N101"/>
    <mergeCell ref="L102:N102"/>
    <mergeCell ref="L103:N103"/>
    <mergeCell ref="E100:J100"/>
    <mergeCell ref="E101:J101"/>
    <mergeCell ref="E102:J102"/>
    <mergeCell ref="E103:J103"/>
    <mergeCell ref="O100:U100"/>
    <mergeCell ref="O101:U101"/>
    <mergeCell ref="O102:U102"/>
    <mergeCell ref="O103:U103"/>
  </mergeCells>
  <phoneticPr fontId="2" type="noConversion"/>
  <conditionalFormatting sqref="B70:AL70">
    <cfRule type="expression" dxfId="76" priority="101">
      <formula>NOT(ISNUMBER(FIND("L",$G$31)))</formula>
    </cfRule>
  </conditionalFormatting>
  <conditionalFormatting sqref="B71:AL72">
    <cfRule type="expression" dxfId="75" priority="30">
      <formula>NOT(ISNUMBER(FIND("S",$G$31)))</formula>
    </cfRule>
  </conditionalFormatting>
  <conditionalFormatting sqref="B71:AL76">
    <cfRule type="expression" dxfId="74" priority="12">
      <formula>OR(ISNUMBER(FIND("T",$G$31)),ISNUMBER(FIND("M",$G$31)))</formula>
    </cfRule>
  </conditionalFormatting>
  <conditionalFormatting sqref="E70">
    <cfRule type="expression" dxfId="73" priority="29">
      <formula>AND(NOT(ISNUMBER(FIND("L",$G$31))),NOT(ISNUMBER(FIND("M",$G$31))))</formula>
    </cfRule>
  </conditionalFormatting>
  <conditionalFormatting sqref="E72 E74 E76 E70">
    <cfRule type="expression" dxfId="72" priority="27">
      <formula>($C$62="Secondary Injection")</formula>
    </cfRule>
  </conditionalFormatting>
  <conditionalFormatting sqref="E73 E71:G72">
    <cfRule type="expression" dxfId="71" priority="96">
      <formula>NOT(ISNUMBER(FIND("S",$G$31)))</formula>
    </cfRule>
  </conditionalFormatting>
  <conditionalFormatting sqref="E73 H73 L73 O73 R73 U73 Z73 AE73 E72:AI72">
    <cfRule type="expression" dxfId="70" priority="166">
      <formula>NOT(ISNUMBER(FIND("S",$G$31)))</formula>
    </cfRule>
  </conditionalFormatting>
  <conditionalFormatting sqref="E69:G70">
    <cfRule type="expression" dxfId="69" priority="34">
      <formula>NOT(ISNUMBER(FIND("L",$G$31)))</formula>
    </cfRule>
  </conditionalFormatting>
  <conditionalFormatting sqref="E70:G70">
    <cfRule type="expression" dxfId="68" priority="5">
      <formula>($AB$62="No")</formula>
    </cfRule>
  </conditionalFormatting>
  <conditionalFormatting sqref="E73:G73">
    <cfRule type="expression" dxfId="67" priority="15">
      <formula>($C$62="Primary Injection")</formula>
    </cfRule>
  </conditionalFormatting>
  <conditionalFormatting sqref="E73:G74">
    <cfRule type="expression" dxfId="66" priority="98">
      <formula>NOT(ISNUMBER(FIND("I",$G$31)))</formula>
    </cfRule>
  </conditionalFormatting>
  <conditionalFormatting sqref="E75:G76">
    <cfRule type="expression" dxfId="65" priority="92">
      <formula>NOT(ISNUMBER(FIND("G",$G$31)))</formula>
    </cfRule>
  </conditionalFormatting>
  <conditionalFormatting sqref="E70:AL70">
    <cfRule type="expression" dxfId="64" priority="24">
      <formula>AND(NOT(ISNUMBER(FIND("L",$G$31))),NOT(ISNUMBER(FIND("M",$G$31))))</formula>
    </cfRule>
    <cfRule type="expression" dxfId="63" priority="172">
      <formula>($AB$62="No")</formula>
    </cfRule>
    <cfRule type="expression" dxfId="62" priority="45">
      <formula>($AB$62="No")</formula>
    </cfRule>
    <cfRule type="expression" dxfId="61" priority="167">
      <formula>AND(NOT(ISNUMBER(FIND("L",$G$31))),NOT(ISNUMBER(FIND("M",$G$31))))</formula>
    </cfRule>
  </conditionalFormatting>
  <conditionalFormatting sqref="E71:AL72">
    <cfRule type="expression" dxfId="60" priority="170">
      <formula>NOT(ISNUMBER(FIND("S",$G$31)))</formula>
    </cfRule>
  </conditionalFormatting>
  <conditionalFormatting sqref="E72:AL72 E74:AL74 E76:AL76 E70:AL70">
    <cfRule type="expression" dxfId="59" priority="97">
      <formula>($C$62="Secondary Injection")</formula>
    </cfRule>
    <cfRule type="expression" dxfId="58" priority="22">
      <formula>($C$62="Secondary Injection")</formula>
    </cfRule>
  </conditionalFormatting>
  <conditionalFormatting sqref="E73:AL73">
    <cfRule type="expression" dxfId="57" priority="16">
      <formula>($C$62="Primary Injection")</formula>
    </cfRule>
    <cfRule type="expression" dxfId="56" priority="18">
      <formula>($C$62="Primary Injection")</formula>
    </cfRule>
    <cfRule type="expression" dxfId="55" priority="17">
      <formula>($C$62="Primary Injection")</formula>
    </cfRule>
  </conditionalFormatting>
  <conditionalFormatting sqref="E73:AL74">
    <cfRule type="expression" dxfId="54" priority="174">
      <formula>NOT(ISNUMBER(FIND("I",$G$31)))</formula>
    </cfRule>
  </conditionalFormatting>
  <conditionalFormatting sqref="E74:AL74 E76:AL76 E72:AL72 E70:AL70">
    <cfRule type="expression" dxfId="53" priority="175">
      <formula>($C$62="Secondary Injection")</formula>
    </cfRule>
  </conditionalFormatting>
  <conditionalFormatting sqref="E74:AL74">
    <cfRule type="expression" dxfId="52" priority="169">
      <formula>NOT(ISNUMBER(FIND("I",$G$31)))</formula>
    </cfRule>
  </conditionalFormatting>
  <conditionalFormatting sqref="E75:AL76">
    <cfRule type="expression" dxfId="51" priority="168">
      <formula>NOT(ISNUMBER(FIND("G",$G$31)))</formula>
    </cfRule>
    <cfRule type="expression" dxfId="50" priority="32">
      <formula>NOT(ISNUMBER(FIND("G",$G$31)))</formula>
    </cfRule>
    <cfRule type="expression" dxfId="49" priority="176">
      <formula>NOT(ISNUMBER(FIND("G",$G$31)))</formula>
    </cfRule>
  </conditionalFormatting>
  <conditionalFormatting sqref="L73:N73">
    <cfRule type="expression" dxfId="48" priority="19">
      <formula>NOT(ISNUMBER(FIND("S",$G$31)))</formula>
    </cfRule>
  </conditionalFormatting>
  <conditionalFormatting sqref="L35:X35">
    <cfRule type="expression" dxfId="47" priority="43">
      <formula>OR(ISNUMBER(FIND("T",$G$31)),ISNUMBER(FIND("M",$G$31)))</formula>
    </cfRule>
  </conditionalFormatting>
  <conditionalFormatting sqref="L35:X36">
    <cfRule type="expression" dxfId="46" priority="44">
      <formula>OR(ISNUMBER(FIND("T",$G$31)),ISNUMBER(FIND("M",$G$31)))</formula>
    </cfRule>
  </conditionalFormatting>
  <conditionalFormatting sqref="M64:Y64">
    <cfRule type="expression" dxfId="45" priority="39">
      <formula>OR(ISNUMBER(FIND("T",$G$31)),ISNUMBER(FIND("M",$G$31)))</formula>
    </cfRule>
  </conditionalFormatting>
  <conditionalFormatting sqref="M64:Y65">
    <cfRule type="expression" dxfId="44" priority="40">
      <formula>OR(ISNUMBER(FIND("T",$G$31)),ISNUMBER(FIND("M",$G$31)))</formula>
    </cfRule>
  </conditionalFormatting>
  <conditionalFormatting sqref="Q33 AE33 R62">
    <cfRule type="expression" dxfId="43" priority="28">
      <formula>AND(NOT(ISNUMBER(FIND("L",$G$31))),NOT(ISNUMBER(FIND("T",$G$31))))</formula>
    </cfRule>
  </conditionalFormatting>
  <conditionalFormatting sqref="Q34 AE34 R63">
    <cfRule type="expression" dxfId="42" priority="188">
      <formula>AND(NOT(ISNUMBER(FIND("S",$G$31))),NOT(ISNUMBER(FIND("M",$G$31))))</formula>
    </cfRule>
  </conditionalFormatting>
  <conditionalFormatting sqref="Q35:V35 AE35:AJ35 R64:W64">
    <cfRule type="expression" dxfId="41" priority="185">
      <formula>NOT(ISNUMBER(FIND("I",$G$31)))</formula>
    </cfRule>
  </conditionalFormatting>
  <conditionalFormatting sqref="Q36:X36 AE36:AL36 R65:Y65">
    <cfRule type="expression" dxfId="40" priority="191">
      <formula>NOT(ISNUMBER(FIND("G",$G$31)))</formula>
    </cfRule>
  </conditionalFormatting>
  <conditionalFormatting sqref="T33 AH33 U62">
    <cfRule type="expression" dxfId="39" priority="35">
      <formula>AND(NOT(ISNUMBER(FIND("L",$G$31))),NOT(ISNUMBER(FIND("TMD",$G$31))),NOT(ISNUMBER(FIND("TA",$G$31))))</formula>
    </cfRule>
  </conditionalFormatting>
  <conditionalFormatting sqref="T34 AH34 U63">
    <cfRule type="expression" dxfId="38" priority="33">
      <formula>AND(NOT(ISNUMBER(FIND("S",$G$31))),NOT(ISNUMBER(FIND("TMA",$G$31))),NOT(ISNUMBER(FIND("MA",$G$31))))</formula>
    </cfRule>
  </conditionalFormatting>
  <conditionalFormatting sqref="U72 Z72 AE72">
    <cfRule type="cellIs" dxfId="37" priority="195" operator="notBetween">
      <formula>$O$72</formula>
      <formula>$R$72</formula>
    </cfRule>
  </conditionalFormatting>
  <conditionalFormatting sqref="U69:W69 Z69:AB69 AE69:AG69">
    <cfRule type="cellIs" dxfId="36" priority="194" operator="notBetween">
      <formula>$O$69</formula>
      <formula>$R$69</formula>
    </cfRule>
  </conditionalFormatting>
  <conditionalFormatting sqref="U70:W70 Z70:AB70 AE70:AG70">
    <cfRule type="cellIs" dxfId="35" priority="177" operator="notBetween">
      <formula>$O$70</formula>
      <formula>$R$70</formula>
    </cfRule>
  </conditionalFormatting>
  <conditionalFormatting sqref="U71:W71 Z71:AB71 AE71:AG71">
    <cfRule type="cellIs" dxfId="34" priority="180" operator="notBetween">
      <formula>$O$71</formula>
      <formula>$R$71</formula>
    </cfRule>
  </conditionalFormatting>
  <conditionalFormatting sqref="U73:W73 Z73:AB73 AE73:AG73">
    <cfRule type="cellIs" dxfId="33" priority="178" operator="notBetween">
      <formula>$O$73</formula>
      <formula>$R$73</formula>
    </cfRule>
  </conditionalFormatting>
  <conditionalFormatting sqref="U74:W74 Z74:AB74 AE74:AG74">
    <cfRule type="cellIs" dxfId="32" priority="196" operator="notBetween">
      <formula>$O$74</formula>
      <formula>$R$74</formula>
    </cfRule>
  </conditionalFormatting>
  <conditionalFormatting sqref="U75:W75 Z75:AB75 AE75:AG75">
    <cfRule type="cellIs" dxfId="31" priority="197" operator="notBetween">
      <formula>$O$75</formula>
      <formula>$R$75</formula>
    </cfRule>
  </conditionalFormatting>
  <conditionalFormatting sqref="U76:W76 Z76:AB76 AE76:AG76">
    <cfRule type="cellIs" dxfId="30" priority="181" operator="notBetween">
      <formula>$O$76</formula>
      <formula>$R$76</formula>
    </cfRule>
  </conditionalFormatting>
  <conditionalFormatting sqref="W34 AK34 X63">
    <cfRule type="expression" dxfId="29" priority="182">
      <formula>NOT(ISNUMBER(FIND("S",$G$31)))</formula>
    </cfRule>
  </conditionalFormatting>
  <conditionalFormatting sqref="X73:Y73 AC73:AD73 AH73:AI73">
    <cfRule type="expression" dxfId="28" priority="26">
      <formula>NOT(ISNUMBER(FIND("S",$G$31)))</formula>
    </cfRule>
  </conditionalFormatting>
  <conditionalFormatting sqref="Z42">
    <cfRule type="cellIs" dxfId="27" priority="46" operator="equal">
      <formula>"LIMITED SERVICE"</formula>
    </cfRule>
    <cfRule type="cellIs" dxfId="26" priority="47" operator="equal">
      <formula>"FAIL"</formula>
    </cfRule>
    <cfRule type="cellIs" dxfId="25" priority="48" operator="equal">
      <formula>"PASS"</formula>
    </cfRule>
    <cfRule type="cellIs" dxfId="24" priority="49" operator="equal">
      <formula>"""PASS"""</formula>
    </cfRule>
  </conditionalFormatting>
  <conditionalFormatting sqref="Z35:AL35">
    <cfRule type="expression" dxfId="23" priority="41">
      <formula>OR(ISNUMBER(FIND("T",$G$31)),ISNUMBER(FIND("M",$G$31)))</formula>
    </cfRule>
  </conditionalFormatting>
  <conditionalFormatting sqref="Z35:AL36">
    <cfRule type="expression" dxfId="22" priority="42">
      <formula>OR(ISNUMBER(FIND("T",$G$31)),ISNUMBER(FIND("M",$G$31)))</formula>
    </cfRule>
  </conditionalFormatting>
  <conditionalFormatting sqref="AB61:AH62">
    <cfRule type="expression" dxfId="21" priority="3">
      <formula>NOT(ISNUMBER(FIND("L",$G$31)))</formula>
    </cfRule>
  </conditionalFormatting>
  <conditionalFormatting sqref="AJ2">
    <cfRule type="cellIs" dxfId="20" priority="65" operator="equal">
      <formula>"LIMITED SERVICE"</formula>
    </cfRule>
    <cfRule type="cellIs" dxfId="19" priority="66" operator="equal">
      <formula>"FAIL"</formula>
    </cfRule>
    <cfRule type="cellIs" dxfId="18" priority="67" operator="equal">
      <formula>"PASS"</formula>
    </cfRule>
    <cfRule type="cellIs" dxfId="17" priority="68" operator="equal">
      <formula>"""PASS"""</formula>
    </cfRule>
  </conditionalFormatting>
  <conditionalFormatting sqref="AJ52:AJ54">
    <cfRule type="cellIs" dxfId="16" priority="57" operator="equal">
      <formula>"LIMITED SERVICE"</formula>
    </cfRule>
    <cfRule type="cellIs" dxfId="15" priority="58" operator="equal">
      <formula>"FAIL"</formula>
    </cfRule>
    <cfRule type="cellIs" dxfId="14" priority="59" operator="equal">
      <formula>"PASS"</formula>
    </cfRule>
    <cfRule type="cellIs" dxfId="13" priority="60" operator="equal">
      <formula>"""PASS"""</formula>
    </cfRule>
  </conditionalFormatting>
  <conditionalFormatting sqref="AJ69:AL76">
    <cfRule type="expression" dxfId="12" priority="20">
      <formula>NOT(ISNUMBER(FIND("L",$G$31)))</formula>
    </cfRule>
    <cfRule type="cellIs" dxfId="11" priority="2" operator="equal">
      <formula>"PASS"</formula>
    </cfRule>
    <cfRule type="cellIs" dxfId="10" priority="1" operator="equal">
      <formula>"FAIL"</formula>
    </cfRule>
  </conditionalFormatting>
  <conditionalFormatting sqref="AJ70:AL70">
    <cfRule type="expression" dxfId="9" priority="4">
      <formula>($AB$62="No")</formula>
    </cfRule>
  </conditionalFormatting>
  <conditionalFormatting sqref="AJ70:AL76 E69:AL69">
    <cfRule type="expression" dxfId="8" priority="100">
      <formula>AND(NOT(ISNUMBER(FIND("L",$G$31))),NOT(ISNUMBER(FIND("T",$G$31))))</formula>
    </cfRule>
    <cfRule type="expression" dxfId="7" priority="171">
      <formula>AND(NOT(ISNUMBER(FIND("L",$G$31))),NOT(ISNUMBER(FIND("T",$G$31))))</formula>
    </cfRule>
    <cfRule type="expression" dxfId="6" priority="31">
      <formula>NOT(ISNUMBER(FIND("L",$G$31)))</formula>
    </cfRule>
  </conditionalFormatting>
  <conditionalFormatting sqref="AJ71:AL72">
    <cfRule type="expression" dxfId="5" priority="13">
      <formula>NOT(ISNUMBER(FIND("S",$G$31)))</formula>
    </cfRule>
  </conditionalFormatting>
  <conditionalFormatting sqref="AJ73:AL73">
    <cfRule type="expression" dxfId="4" priority="14">
      <formula>($C$62="Primary Injection")</formula>
    </cfRule>
  </conditionalFormatting>
  <conditionalFormatting sqref="AJ73:AL74">
    <cfRule type="expression" dxfId="3" priority="25">
      <formula>NOT(ISNUMBER(FIND("I",$G$31)))</formula>
    </cfRule>
  </conditionalFormatting>
  <conditionalFormatting sqref="AJ75:AL76">
    <cfRule type="expression" dxfId="2" priority="21">
      <formula>NOT(ISNUMBER(FIND("G",$G$31)))</formula>
    </cfRule>
  </conditionalFormatting>
  <conditionalFormatting sqref="AL70 AL72 AL74 AL76">
    <cfRule type="expression" dxfId="1" priority="6">
      <formula>($C$62="Secondary Injection")</formula>
    </cfRule>
  </conditionalFormatting>
  <conditionalFormatting sqref="AL70">
    <cfRule type="expression" dxfId="0" priority="7">
      <formula>AND(NOT(ISNUMBER(FIND("L",$G$31))),NOT(ISNUMBER(FIND("M",$G$31))))</formula>
    </cfRule>
  </conditionalFormatting>
  <dataValidations count="18">
    <dataValidation type="list" allowBlank="1" showInputMessage="1" showErrorMessage="1" sqref="X63:Y63 X65:Y65 W34:X34 W36:X36 AK34:AL34 AK36:AL36" xr:uid="{EDB6A204-60D6-4427-BEFD-38DE85929758}">
      <formula1>"On,Off,In,Out,N/A"</formula1>
    </dataValidation>
    <dataValidation type="list" allowBlank="1" showInputMessage="1" showErrorMessage="1" sqref="AJ2:AL4" xr:uid="{5AF5E148-D29B-4218-BD83-E08051F254BC}">
      <formula1>"PASS, FAIL, LIMITED SERVICE"</formula1>
    </dataValidation>
    <dataValidation type="list" errorStyle="warning" allowBlank="1" showInputMessage="1" showErrorMessage="1" sqref="AH20:AL27" xr:uid="{19D81D5C-BEDF-4012-A953-DA26FB96C5E4}">
      <formula1>",Satisfactory, Unsatisfactory,Cleaned,See Comments,Not Applicable, By Others"</formula1>
    </dataValidation>
    <dataValidation type="list" allowBlank="1" showInputMessage="1" showErrorMessage="1" sqref="N43:N44" xr:uid="{F54F598E-27F9-4E8F-91CE-16B30E03E071}">
      <formula1>"µΩ,mΩ,Ω"</formula1>
    </dataValidation>
    <dataValidation type="list" allowBlank="1" showInputMessage="1" showErrorMessage="1" sqref="AJ43:AJ44" xr:uid="{3C702E70-6ACF-4456-BF48-C3108DF74AAD}">
      <formula1>"On,Off,In,Out"</formula1>
    </dataValidation>
    <dataValidation type="list" allowBlank="1" showInputMessage="1" showErrorMessage="1" sqref="U43:X44" xr:uid="{4C15FC49-4C85-41A5-A7B7-D590C746992D}">
      <formula1>"&lt;50%,N/A"</formula1>
    </dataValidation>
    <dataValidation type="list" allowBlank="1" showInputMessage="1" showErrorMessage="1" sqref="L52:L54 I52:I54 O52:O54" xr:uid="{702F649C-3DDF-4BCA-B0F5-BFC9A23E534B}">
      <formula1>"&gt;,&lt;"</formula1>
    </dataValidation>
    <dataValidation type="list" errorStyle="warning" allowBlank="1" showInputMessage="1" showErrorMessage="1" promptTitle="Heads Up!!" prompt="This value is based off of the voltage rating in the Nameplate Data Section. You can manually change the value, but this will remove the formula. Please make sure you are not using the blank sheet!" sqref="AE52:AF54" xr:uid="{DE3B60A7-4461-4375-A465-A75996844911}">
      <formula1>"25, 100, N/A"</formula1>
    </dataValidation>
    <dataValidation type="list" allowBlank="1" showInputMessage="1" showErrorMessage="1" promptTitle="Heads Up!!" prompt="This value is based off of the voltage rating in the Nameplate Data Section. You can manually change the value, but this will remove the formula. Please make sure you are not using the blank sheet!" sqref="AJ47:AL47" xr:uid="{77D8D43C-7D0A-4C56-BA53-CDFC94FD71AA}">
      <formula1>"250,500,1000,2500,5000"</formula1>
    </dataValidation>
    <dataValidation type="list" allowBlank="1" showInputMessage="1" showErrorMessage="1" sqref="AF11" xr:uid="{AF83B4FF-B6DF-486E-822F-3E2B643D1213}">
      <formula1>"Over-Center Handle, Two-Step Stored Energy"</formula1>
    </dataValidation>
    <dataValidation type="list" allowBlank="1" showInputMessage="1" showErrorMessage="1" sqref="AF13:AL13" xr:uid="{AAF73353-196C-4B85-98DC-ED3F7E649E63}">
      <formula1>"Yes, No, Enabled,Disabled, N/A"</formula1>
    </dataValidation>
    <dataValidation type="list" allowBlank="1" showInputMessage="1" showErrorMessage="1" sqref="AF12:AL12" xr:uid="{167831B7-E901-4C8C-834B-A4A2A8D9C5D8}">
      <formula1>"Bolt-In, Plug-in, Fixed-Mount, Bushing-Mount"</formula1>
    </dataValidation>
    <dataValidation type="list" errorStyle="warning" allowBlank="1" showInputMessage="1" showErrorMessage="1" sqref="AA52:AB54" xr:uid="{10F3292E-F0CF-486D-9316-842FAB9BEDDD}">
      <formula1>"MΩ,GΩ"</formula1>
    </dataValidation>
    <dataValidation type="list" allowBlank="1" showInputMessage="1" showErrorMessage="1" sqref="AF14:AL14" xr:uid="{782E1F94-70FB-4A6A-BE65-698FC7305818}">
      <formula1>"Yes, No, Simulated, Unknown, N/A"</formula1>
    </dataValidation>
    <dataValidation type="list" errorStyle="warning" allowBlank="1" showInputMessage="1" showErrorMessage="1" promptTitle="Used in formula" prompt="Please put a NUMBER here as it is used in formulas for the sheet" sqref="U12:Y12" xr:uid="{EEF53953-8D36-406B-9DB9-B3EFBF655146}">
      <formula1>"250,480,600,1000"</formula1>
    </dataValidation>
    <dataValidation type="list" allowBlank="1" showInputMessage="1" showErrorMessage="1" sqref="C62" xr:uid="{A35D0A40-5E7B-49AE-8715-B80A340F902B}">
      <formula1>"Primary Injection, Secondary Injection"</formula1>
    </dataValidation>
    <dataValidation type="list" allowBlank="1" showInputMessage="1" showErrorMessage="1" prompt="TMF = fixed thermal, fixed magnetic_x000a_TMD = adjustable thermal, fixed magnetic_x000a_TMA = fixed thermal, adjustable magnetic_x000a_TF = fixed thermal_x000a_TA = adjustable thermal_x000a_MF = adjustable magnetic_x000a_MA = fixed magnetic" sqref="G31:J31" xr:uid="{FB3B63BF-4946-4BE3-96CC-86DBBB673E8B}">
      <formula1>"LI,LS,LSI,LIG,LSG,LSIG,G,TMF,TMD,TMA, TF,TA,MF, MA"</formula1>
    </dataValidation>
    <dataValidation type="list" allowBlank="1" showInputMessage="1" showErrorMessage="1" sqref="AB62:AH62" xr:uid="{8B025D1B-C80B-4B4E-BE89-CC956A403BC5}">
      <formula1>"Yes,No"</formula1>
    </dataValidation>
  </dataValidations>
  <printOptions horizontalCentered="1"/>
  <pageMargins left="0.5" right="0.5" top="1" bottom="0.5" header="0.3" footer="0.3"/>
  <pageSetup fitToHeight="0" orientation="portrait" r:id="rId1"/>
  <headerFooter>
    <oddHeader xml:space="preserve">&amp;L  &amp;G
                &amp;C&amp;"-,Bold"&amp;13Low Voltage, Molded Case, 
Circuit Breaker Test Report&amp;R&amp;"-,Bold"&amp;12&amp;K000000&amp;G
ATS 7.6.1.2      
&amp;14 </oddHeader>
    <oddFooter>&amp;L&amp;8&amp;K00-034AMPQES.COM&amp;C&amp;"Arial,Regular"&amp;9Sheet &amp;P of &amp;N&amp;R&amp;8 &amp;K00-034256-513-8255</oddFooter>
  </headerFooter>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Sheet</vt:lpstr>
      <vt:lpstr>'Test Sheet'!Print_Area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Rodgers</dc:creator>
  <cp:lastModifiedBy>Ethan Thoenes</cp:lastModifiedBy>
  <cp:lastPrinted>2024-11-18T23:26:31Z</cp:lastPrinted>
  <dcterms:created xsi:type="dcterms:W3CDTF">2009-06-02T15:38:13Z</dcterms:created>
  <dcterms:modified xsi:type="dcterms:W3CDTF">2026-02-04T15:41:24Z</dcterms:modified>
</cp:coreProperties>
</file>
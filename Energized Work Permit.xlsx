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trlProps/ctrlProps2.xml" ContentType="application/vnd.ms-excel.controlproperties+xml"/>
  <Override PartName="/xl/ctrlProps/ctrlProps28.xml" ContentType="application/vnd.ms-excel.controlproperties+xml"/>
  <Override PartName="/xl/ctrlProps/ctrlProps18.xml" ContentType="application/vnd.ms-excel.controlproperties+xml"/>
  <Override PartName="/xl/ctrlProps/ctrlProps29.xml" ContentType="application/vnd.ms-excel.controlproperties+xml"/>
  <Override PartName="/xl/ctrlProps/ctrlProps19.xml" ContentType="application/vnd.ms-excel.controlproperties+xml"/>
  <Override PartName="/xl/ctrlProps/ctrlProps4.xml" ContentType="application/vnd.ms-excel.controlproperties+xml"/>
  <Override PartName="/xl/ctrlProps/ctrlProps31.xml" ContentType="application/vnd.ms-excel.controlproperties+xml"/>
  <Override PartName="/xl/ctrlProps/ctrlProps12.xml" ContentType="application/vnd.ms-excel.controlproperties+xml"/>
  <Override PartName="/xl/ctrlProps/ctrlProps21.xml" ContentType="application/vnd.ms-excel.controlproperties+xml"/>
  <Override PartName="/xl/ctrlProps/ctrlProps6.xml" ContentType="application/vnd.ms-excel.controlproperties+xml"/>
  <Override PartName="/xl/ctrlProps/ctrlProps14.xml" ContentType="application/vnd.ms-excel.controlproperties+xml"/>
  <Override PartName="/xl/ctrlProps/ctrlProps8.xml" ContentType="application/vnd.ms-excel.controlproperties+xml"/>
  <Override PartName="/xl/ctrlProps/ctrlProps16.xml" ContentType="application/vnd.ms-excel.controlproperties+xml"/>
  <Override PartName="/xl/ctrlProps/ctrlProps17.xml" ContentType="application/vnd.ms-excel.controlproperties+xml"/>
  <Override PartName="/xl/ctrlProps/ctrlProps10.xml" ContentType="application/vnd.ms-excel.controlproperties+xml"/>
  <Override PartName="/xl/ctrlProps/ctrlProps11.xml" ContentType="application/vnd.ms-excel.controlproperties+xml"/>
  <Override PartName="/xl/ctrlProps/ctrlProps15.xml" ContentType="application/vnd.ms-excel.controlproperties+xml"/>
  <Override PartName="/xl/ctrlProps/ctrlProps20.xml" ContentType="application/vnd.ms-excel.controlproperties+xml"/>
  <Override PartName="/xl/ctrlProps/ctrlProps24.xml" ContentType="application/vnd.ms-excel.controlproperties+xml"/>
  <Override PartName="/xl/ctrlProps/ctrlProps3.xml" ContentType="application/vnd.ms-excel.controlproperties+xml"/>
  <Override PartName="/xl/ctrlProps/ctrlProps33.xml" ContentType="application/vnd.ms-excel.controlproperties+xml"/>
  <Override PartName="/xl/ctrlProps/ctrlProps23.xml" ContentType="application/vnd.ms-excel.controlproperties+xml"/>
  <Override PartName="/xl/ctrlProps/ctrlProps5.xml" ContentType="application/vnd.ms-excel.controlproperties+xml"/>
  <Override PartName="/xl/ctrlProps/ctrlProps30.xml" ContentType="application/vnd.ms-excel.controlproperties+xml"/>
  <Override PartName="/xl/ctrlProps/ctrlProps26.xml" ContentType="application/vnd.ms-excel.controlproperties+xml"/>
  <Override PartName="/xl/ctrlProps/ctrlProps27.xml" ContentType="application/vnd.ms-excel.controlproperties+xml"/>
  <Override PartName="/xl/ctrlProps/ctrlProps9.xml" ContentType="application/vnd.ms-excel.controlproperties+xml"/>
  <Override PartName="/xl/ctrlProps/ctrlProps13.xml" ContentType="application/vnd.ms-excel.controlproperties+xml"/>
  <Override PartName="/xl/ctrlProps/ctrlProps22.xml" ContentType="application/vnd.ms-excel.controlproperties+xml"/>
  <Override PartName="/xl/ctrlProps/ctrlProps32.xml" ContentType="application/vnd.ms-excel.controlproperties+xml"/>
  <Override PartName="/xl/ctrlProps/ctrlProps7.xml" ContentType="application/vnd.ms-excel.controlproperties+xml"/>
  <Override PartName="/xl/ctrlProps/ctrlProps25.xml" ContentType="application/vnd.ms-excel.controlproperties+xml"/>
  <Override PartName="/xl/ctrlProps/ctrlProps34.xml" ContentType="application/vnd.ms-excel.controlproperties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TCF" sheetId="2" state="visible" r:id="rId4"/>
    <sheet name="Temp Conv" sheetId="3" state="visible" r:id="rId5"/>
  </sheets>
  <definedNames>
    <definedName function="false" hidden="false" localSheetId="0" name="_xlnm.Print_Area" vbProcedure="false">Sheet1!$A$1:$AM$61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<sst xmlns="http://schemas.openxmlformats.org/spreadsheetml/2006/main" count="84" uniqueCount="77">
  <si>
    <t xml:space="preserve">Project Location:</t>
  </si>
  <si>
    <t xml:space="preserve">Project Number:</t>
  </si>
  <si>
    <t xml:space="preserve">Description of Circuit/Equipment:</t>
  </si>
  <si>
    <t xml:space="preserve">Description of work to be performed:</t>
  </si>
  <si>
    <t xml:space="preserve">1. Will this job or task require exposure to energized electrical conductors or circuit parts and/or work within an arc flash boundary?</t>
  </si>
  <si>
    <t xml:space="preserve">2. Justification of why the circuit/equipment cannot be de-energized or the work deferred until the next scheduled outage:</t>
  </si>
  <si>
    <t xml:space="preserve">3. Shock Hazard Analysis:</t>
  </si>
  <si>
    <t xml:space="preserve">Voltage (V) Level Phase to Phase</t>
  </si>
  <si>
    <t xml:space="preserve">Less than 120VAC </t>
  </si>
  <si>
    <t xml:space="preserve">120V</t>
  </si>
  <si>
    <t xml:space="preserve">208V</t>
  </si>
  <si>
    <t xml:space="preserve">240V</t>
  </si>
  <si>
    <t xml:space="preserve">277V</t>
  </si>
  <si>
    <t xml:space="preserve">480V</t>
  </si>
  <si>
    <t xml:space="preserve">Greater than 600V</t>
  </si>
  <si>
    <t xml:space="preserve">Other (DC)</t>
  </si>
  <si>
    <t xml:space="preserve">Single phase</t>
  </si>
  <si>
    <t xml:space="preserve">3 Phase</t>
  </si>
  <si>
    <t xml:space="preserve">Approach Boundaries</t>
  </si>
  <si>
    <t xml:space="preserve">Limited: </t>
  </si>
  <si>
    <t xml:space="preserve">inches</t>
  </si>
  <si>
    <t xml:space="preserve">Restricted:</t>
  </si>
  <si>
    <t xml:space="preserve">Prohibited:</t>
  </si>
  <si>
    <t xml:space="preserve">4. Arc Flash Hazard:</t>
  </si>
  <si>
    <t xml:space="preserve">Has an arc flash analysis been performed on this equipment?</t>
  </si>
  <si>
    <t xml:space="preserve">Yes</t>
  </si>
  <si>
    <t xml:space="preserve">No</t>
  </si>
  <si>
    <t xml:space="preserve">If "Yes", what is:</t>
  </si>
  <si>
    <t xml:space="preserve">The Arc Flash Boundary?</t>
  </si>
  <si>
    <t xml:space="preserve">Incident Energy at Working Distance?</t>
  </si>
  <si>
    <t xml:space="preserve">cal/cm²</t>
  </si>
  <si>
    <t xml:space="preserve">If "No", using NFPA 70E Hazard/Risk Category Table, what is:</t>
  </si>
  <si>
    <t xml:space="preserve">The Hazard Risk Category for the task?</t>
  </si>
  <si>
    <t xml:space="preserve">5. What personal protective equipment (PPE) and safety measures will be used (check all that apply)?</t>
  </si>
  <si>
    <t xml:space="preserve">Body</t>
  </si>
  <si>
    <t xml:space="preserve">Arc-Rated or</t>
  </si>
  <si>
    <t xml:space="preserve">Cotton, Long Sleeve Shirt &amp; Long Pants or Coveralls;</t>
  </si>
  <si>
    <t xml:space="preserve">Arc-Rated Flash Suit Jacket and Pants;</t>
  </si>
  <si>
    <t xml:space="preserve">Arc-Rated Fall Protection Harness</t>
  </si>
  <si>
    <t xml:space="preserve">Eye, Face and Head</t>
  </si>
  <si>
    <t xml:space="preserve">Safety Glasses</t>
  </si>
  <si>
    <t xml:space="preserve">Safety Goggle</t>
  </si>
  <si>
    <t xml:space="preserve">Arc-Rated Face Shield</t>
  </si>
  <si>
    <t xml:space="preserve">Arc-Rated Hardhat</t>
  </si>
  <si>
    <t xml:space="preserve">Arc-Rated Balaclava</t>
  </si>
  <si>
    <t xml:space="preserve">Hardhat Liner</t>
  </si>
  <si>
    <t xml:space="preserve">Arc-Rated Flash Hood</t>
  </si>
  <si>
    <t xml:space="preserve">Hearing Protection</t>
  </si>
  <si>
    <t xml:space="preserve">Hands and Arms</t>
  </si>
  <si>
    <t xml:space="preserve">Heavy Duty Leather Gloves</t>
  </si>
  <si>
    <t xml:space="preserve">Rubber Sleeves</t>
  </si>
  <si>
    <t xml:space="preserve">Rubber Insulating Gloves</t>
  </si>
  <si>
    <t xml:space="preserve">Foot</t>
  </si>
  <si>
    <t xml:space="preserve">Closed Toe Shoes</t>
  </si>
  <si>
    <t xml:space="preserve">Leather Work Shoes</t>
  </si>
  <si>
    <t xml:space="preserve">Tools</t>
  </si>
  <si>
    <t xml:space="preserve">Insulated Tools</t>
  </si>
  <si>
    <t xml:space="preserve">Meter</t>
  </si>
  <si>
    <t xml:space="preserve">Rubber Blankets</t>
  </si>
  <si>
    <t xml:space="preserve">Safety Measures</t>
  </si>
  <si>
    <t xml:space="preserve">Barricades With Signs</t>
  </si>
  <si>
    <t xml:space="preserve">Attendant</t>
  </si>
  <si>
    <t xml:space="preserve">Other</t>
  </si>
  <si>
    <t xml:space="preserve">Employee Name (Print)</t>
  </si>
  <si>
    <t xml:space="preserve">Employee Signature</t>
  </si>
  <si>
    <t xml:space="preserve">Date</t>
  </si>
  <si>
    <t xml:space="preserve">Customer Representative Name (Print)</t>
  </si>
  <si>
    <t xml:space="preserve">Customer Representative Signature</t>
  </si>
  <si>
    <t xml:space="preserve">6. Approval to Perform Work While Electrically Energized</t>
  </si>
  <si>
    <t xml:space="preserve">Approving Supervisor Name</t>
  </si>
  <si>
    <t xml:space="preserve">Approving Supervisor Signature</t>
  </si>
  <si>
    <t xml:space="preserve">Insulation Correction Factors (20C)</t>
  </si>
  <si>
    <t xml:space="preserve">Tempurature</t>
  </si>
  <si>
    <t xml:space="preserve">Multiplier</t>
  </si>
  <si>
    <t xml:space="preserve">Temperature Conversion</t>
  </si>
  <si>
    <t xml:space="preserve">°F</t>
  </si>
  <si>
    <t xml:space="preserve">°C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</si>
</sst>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Calibri"/>
      <family val="2"/>
      <charset val="1"/>
    </font>
    <font>
      <sz val="10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0"/>
      <color rgb="FFFF0000"/>
      <name val="Arial"/>
      <family val="2"/>
      <charset val="1"/>
    </font>
    <font>
      <b val="true"/>
      <u val="single"/>
      <sz val="10"/>
      <color theme="1"/>
      <name val="Arial"/>
      <family val="2"/>
      <charset val="1"/>
    </font>
    <font>
      <sz val="11"/>
      <color theme="1"/>
      <name val="Arial"/>
      <family val="2"/>
      <charset val="1"/>
    </font>
    <font>
      <b val="true"/>
      <sz val="12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sz val="14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5">
    <border diagonalUp="false" diagonalDown="false">
      <left/>
      <right/>
      <top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5" fillId="0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0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6" fillId="0" borderId="0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7" fillId="0" borderId="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6" fillId="0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8" fillId="0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6" fillId="0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6" fillId="0" borderId="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0" borderId="5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5" fillId="0" borderId="6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4" fillId="0" borderId="6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4" fillId="0" borderId="7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4" fillId="0" borderId="8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5" fillId="0" borderId="2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4" fillId="0" borderId="2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4" fillId="0" borderId="9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4" fillId="0" borderId="1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4" fillId="0" borderId="1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4" fillId="0" borderId="12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5" fillId="0" borderId="3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4" fillId="0" borderId="3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4" fillId="0" borderId="13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6" fillId="0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6" fillId="0" borderId="1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6" fillId="0" borderId="0" xfId="0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4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0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9" fillId="0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9" fillId="0" borderId="14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12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3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13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3" fillId="0" borderId="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4" xfId="0" applyFont="false" applyBorder="true" applyAlignment="true" applyProtection="true">
      <alignment horizontal="center" vertical="bottom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trlProps/ctrlProps2.xml><?xml version="1.0" encoding="utf-8"?>
<formControlPr xmlns="http://schemas.microsoft.com/office/spreadsheetml/2009/9/main" objectType="CheckBox" autoLine="false" print="true" lockText="1" noThreeD="1"/>
</file>

<file path=xl/ctrlProps/ctrlProps3.xml><?xml version="1.0" encoding="utf-8"?>
<formControlPr xmlns="http://schemas.microsoft.com/office/spreadsheetml/2009/9/main" objectType="CheckBox" autoLine="false" print="true" lockText="1" noThreeD="1"/>
</file>

<file path=xl/ctrlProps/ctrlProps4.xml><?xml version="1.0" encoding="utf-8"?>
<formControlPr xmlns="http://schemas.microsoft.com/office/spreadsheetml/2009/9/main" objectType="CheckBox" autoLine="false" print="true" lockText="1" noThreeD="1"/>
</file>

<file path=xl/ctrlProps/ctrlProps5.xml><?xml version="1.0" encoding="utf-8"?>
<formControlPr xmlns="http://schemas.microsoft.com/office/spreadsheetml/2009/9/main" objectType="CheckBox" autoLine="false" print="true" lockText="1" noThreeD="1"/>
</file>

<file path=xl/ctrlProps/ctrlProps6.xml><?xml version="1.0" encoding="utf-8"?>
<formControlPr xmlns="http://schemas.microsoft.com/office/spreadsheetml/2009/9/main" objectType="CheckBox" autoLine="false" print="true" lockText="1" noThreeD="1"/>
</file>

<file path=xl/ctrlProps/ctrlProps7.xml><?xml version="1.0" encoding="utf-8"?>
<formControlPr xmlns="http://schemas.microsoft.com/office/spreadsheetml/2009/9/main" objectType="CheckBox" autoLine="false" print="true" lockText="1" noThreeD="1"/>
</file>

<file path=xl/ctrlProps/ctrlProps8.xml><?xml version="1.0" encoding="utf-8"?>
<formControlPr xmlns="http://schemas.microsoft.com/office/spreadsheetml/2009/9/main" objectType="CheckBox" autoLine="false" print="true" lockText="1" noThreeD="1"/>
</file>

<file path=xl/ctrlProps/ctrlProps9.xml><?xml version="1.0" encoding="utf-8"?>
<formControlPr xmlns="http://schemas.microsoft.com/office/spreadsheetml/2009/9/main" objectType="CheckBox" autoLine="false" print="true" lockText="1" noThreeD="1"/>
</file>

<file path=xl/ctrlProps/ctrlProps10.xml><?xml version="1.0" encoding="utf-8"?>
<formControlPr xmlns="http://schemas.microsoft.com/office/spreadsheetml/2009/9/main" objectType="CheckBox" autoLine="false" print="true" lockText="1" noThreeD="1"/>
</file>

<file path=xl/ctrlProps/ctrlProps11.xml><?xml version="1.0" encoding="utf-8"?>
<formControlPr xmlns="http://schemas.microsoft.com/office/spreadsheetml/2009/9/main" objectType="CheckBox" autoLine="false" print="true" lockText="1" noThreeD="1"/>
</file>

<file path=xl/ctrlProps/ctrlProps12.xml><?xml version="1.0" encoding="utf-8"?>
<formControlPr xmlns="http://schemas.microsoft.com/office/spreadsheetml/2009/9/main" objectType="CheckBox" autoLine="false" print="true" lockText="1" noThreeD="1"/>
</file>

<file path=xl/ctrlProps/ctrlProps13.xml><?xml version="1.0" encoding="utf-8"?>
<formControlPr xmlns="http://schemas.microsoft.com/office/spreadsheetml/2009/9/main" objectType="CheckBox" autoLine="false" print="true" lockText="1" noThreeD="1"/>
</file>

<file path=xl/ctrlProps/ctrlProps14.xml><?xml version="1.0" encoding="utf-8"?>
<formControlPr xmlns="http://schemas.microsoft.com/office/spreadsheetml/2009/9/main" objectType="CheckBox" autoLine="false" print="true" lockText="1" noThreeD="1"/>
</file>

<file path=xl/ctrlProps/ctrlProps15.xml><?xml version="1.0" encoding="utf-8"?>
<formControlPr xmlns="http://schemas.microsoft.com/office/spreadsheetml/2009/9/main" objectType="CheckBox" autoLine="false" print="true" lockText="1" noThreeD="1"/>
</file>

<file path=xl/ctrlProps/ctrlProps16.xml><?xml version="1.0" encoding="utf-8"?>
<formControlPr xmlns="http://schemas.microsoft.com/office/spreadsheetml/2009/9/main" objectType="CheckBox" autoLine="false" print="true" lockText="1" noThreeD="1"/>
</file>

<file path=xl/ctrlProps/ctrlProps17.xml><?xml version="1.0" encoding="utf-8"?>
<formControlPr xmlns="http://schemas.microsoft.com/office/spreadsheetml/2009/9/main" objectType="CheckBox" autoLine="false" print="true" lockText="1" noThreeD="1"/>
</file>

<file path=xl/ctrlProps/ctrlProps18.xml><?xml version="1.0" encoding="utf-8"?>
<formControlPr xmlns="http://schemas.microsoft.com/office/spreadsheetml/2009/9/main" objectType="CheckBox" autoLine="false" print="true" lockText="1" noThreeD="1"/>
</file>

<file path=xl/ctrlProps/ctrlProps19.xml><?xml version="1.0" encoding="utf-8"?>
<formControlPr xmlns="http://schemas.microsoft.com/office/spreadsheetml/2009/9/main" objectType="CheckBox" autoLine="false" print="true" lockText="1" noThreeD="1"/>
</file>

<file path=xl/ctrlProps/ctrlProps20.xml><?xml version="1.0" encoding="utf-8"?>
<formControlPr xmlns="http://schemas.microsoft.com/office/spreadsheetml/2009/9/main" objectType="CheckBox" autoLine="false" print="true" lockText="1" noThreeD="1"/>
</file>

<file path=xl/ctrlProps/ctrlProps21.xml><?xml version="1.0" encoding="utf-8"?>
<formControlPr xmlns="http://schemas.microsoft.com/office/spreadsheetml/2009/9/main" objectType="CheckBox" autoLine="false" print="true" lockText="1" noThreeD="1"/>
</file>

<file path=xl/ctrlProps/ctrlProps22.xml><?xml version="1.0" encoding="utf-8"?>
<formControlPr xmlns="http://schemas.microsoft.com/office/spreadsheetml/2009/9/main" objectType="CheckBox" autoLine="false" print="true" lockText="1" noThreeD="1"/>
</file>

<file path=xl/ctrlProps/ctrlProps23.xml><?xml version="1.0" encoding="utf-8"?>
<formControlPr xmlns="http://schemas.microsoft.com/office/spreadsheetml/2009/9/main" objectType="CheckBox" autoLine="false" print="true" lockText="1" noThreeD="1"/>
</file>

<file path=xl/ctrlProps/ctrlProps24.xml><?xml version="1.0" encoding="utf-8"?>
<formControlPr xmlns="http://schemas.microsoft.com/office/spreadsheetml/2009/9/main" objectType="CheckBox" autoLine="false" print="true" lockText="1" noThreeD="1"/>
</file>

<file path=xl/ctrlProps/ctrlProps25.xml><?xml version="1.0" encoding="utf-8"?>
<formControlPr xmlns="http://schemas.microsoft.com/office/spreadsheetml/2009/9/main" objectType="CheckBox" autoLine="false" print="true" lockText="1" noThreeD="1"/>
</file>

<file path=xl/ctrlProps/ctrlProps26.xml><?xml version="1.0" encoding="utf-8"?>
<formControlPr xmlns="http://schemas.microsoft.com/office/spreadsheetml/2009/9/main" objectType="CheckBox" autoLine="false" print="true" lockText="1" noThreeD="1"/>
</file>

<file path=xl/ctrlProps/ctrlProps27.xml><?xml version="1.0" encoding="utf-8"?>
<formControlPr xmlns="http://schemas.microsoft.com/office/spreadsheetml/2009/9/main" objectType="CheckBox" autoLine="false" print="true" lockText="1" noThreeD="1"/>
</file>

<file path=xl/ctrlProps/ctrlProps28.xml><?xml version="1.0" encoding="utf-8"?>
<formControlPr xmlns="http://schemas.microsoft.com/office/spreadsheetml/2009/9/main" objectType="CheckBox" autoLine="false" print="true" lockText="1" noThreeD="1"/>
</file>

<file path=xl/ctrlProps/ctrlProps29.xml><?xml version="1.0" encoding="utf-8"?>
<formControlPr xmlns="http://schemas.microsoft.com/office/spreadsheetml/2009/9/main" objectType="CheckBox" autoLine="false" print="true" lockText="1" noThreeD="1"/>
</file>

<file path=xl/ctrlProps/ctrlProps30.xml><?xml version="1.0" encoding="utf-8"?>
<formControlPr xmlns="http://schemas.microsoft.com/office/spreadsheetml/2009/9/main" objectType="CheckBox" autoLine="false" print="true" lockText="1" noThreeD="1"/>
</file>

<file path=xl/ctrlProps/ctrlProps31.xml><?xml version="1.0" encoding="utf-8"?>
<formControlPr xmlns="http://schemas.microsoft.com/office/spreadsheetml/2009/9/main" objectType="CheckBox" autoLine="false" print="true" lockText="1" noThreeD="1"/>
</file>

<file path=xl/ctrlProps/ctrlProps32.xml><?xml version="1.0" encoding="utf-8"?>
<formControlPr xmlns="http://schemas.microsoft.com/office/spreadsheetml/2009/9/main" objectType="CheckBox" autoLine="false" print="true" lockText="1" noThreeD="1"/>
</file>

<file path=xl/ctrlProps/ctrlProps33.xml><?xml version="1.0" encoding="utf-8"?>
<formControlPr xmlns="http://schemas.microsoft.com/office/spreadsheetml/2009/9/main" objectType="CheckBox" autoLine="false" print="true" lockText="1" noThreeD="1"/>
</file>

<file path=xl/ctrlProps/ctrlProps34.xml><?xml version="1.0" encoding="utf-8"?>
<formControlPr xmlns="http://schemas.microsoft.com/office/spreadsheetml/2009/9/main" objectType="CheckBox" autoLine="false" print="true" lockText="1" noThreeD="1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17</xdr:col>
      <xdr:colOff>3240</xdr:colOff>
      <xdr:row>33</xdr:row>
      <xdr:rowOff>117360</xdr:rowOff>
    </xdr:from>
    <xdr:to>
      <xdr:col>17</xdr:col>
      <xdr:colOff>3600</xdr:colOff>
      <xdr:row>34</xdr:row>
      <xdr:rowOff>117720</xdr:rowOff>
    </xdr:to>
    <xdr:sp>
      <xdr:nvSpPr>
        <xdr:cNvPr id="1" name="TextBox 1"/>
        <xdr:cNvSpPr/>
      </xdr:nvSpPr>
      <xdr:spPr>
        <a:xfrm>
          <a:off x="3047400" y="4832280"/>
          <a:ext cx="360" cy="171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177840</xdr:colOff>
          <xdr:row>40</xdr:row>
          <xdr:rowOff>169920</xdr:rowOff>
        </xdr:from>
        <xdr:to>
          <xdr:col>9</xdr:col>
          <xdr:colOff>178920</xdr:colOff>
          <xdr:row>42</xdr:row>
          <xdr:rowOff>28800</xdr:rowOff>
        </xdr:to>
        <xdr:sp>
          <xdr:nvSpPr>
            <xdr:cNvPr id="1001" name="Check Box 2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177840</xdr:colOff>
          <xdr:row>39</xdr:row>
          <xdr:rowOff>170280</xdr:rowOff>
        </xdr:from>
        <xdr:to>
          <xdr:col>9</xdr:col>
          <xdr:colOff>178920</xdr:colOff>
          <xdr:row>41</xdr:row>
          <xdr:rowOff>28800</xdr:rowOff>
        </xdr:to>
        <xdr:sp>
          <xdr:nvSpPr>
            <xdr:cNvPr id="1002" name="Check Box 3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177840</xdr:colOff>
          <xdr:row>38</xdr:row>
          <xdr:rowOff>169920</xdr:rowOff>
        </xdr:from>
        <xdr:to>
          <xdr:col>9</xdr:col>
          <xdr:colOff>178920</xdr:colOff>
          <xdr:row>40</xdr:row>
          <xdr:rowOff>28800</xdr:rowOff>
        </xdr:to>
        <xdr:sp>
          <xdr:nvSpPr>
            <xdr:cNvPr id="1003" name="Check Box 4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177840</xdr:colOff>
          <xdr:row>41</xdr:row>
          <xdr:rowOff>169920</xdr:rowOff>
        </xdr:from>
        <xdr:to>
          <xdr:col>9</xdr:col>
          <xdr:colOff>178920</xdr:colOff>
          <xdr:row>43</xdr:row>
          <xdr:rowOff>28800</xdr:rowOff>
        </xdr:to>
        <xdr:sp>
          <xdr:nvSpPr>
            <xdr:cNvPr id="1004" name="Check Box 6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177840</xdr:colOff>
          <xdr:row>42</xdr:row>
          <xdr:rowOff>169920</xdr:rowOff>
        </xdr:from>
        <xdr:to>
          <xdr:col>9</xdr:col>
          <xdr:colOff>178920</xdr:colOff>
          <xdr:row>44</xdr:row>
          <xdr:rowOff>28800</xdr:rowOff>
        </xdr:to>
        <xdr:sp>
          <xdr:nvSpPr>
            <xdr:cNvPr id="1005" name="Check Box 7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177840</xdr:colOff>
          <xdr:row>43</xdr:row>
          <xdr:rowOff>170280</xdr:rowOff>
        </xdr:from>
        <xdr:to>
          <xdr:col>9</xdr:col>
          <xdr:colOff>178920</xdr:colOff>
          <xdr:row>45</xdr:row>
          <xdr:rowOff>28800</xdr:rowOff>
        </xdr:to>
        <xdr:sp>
          <xdr:nvSpPr>
            <xdr:cNvPr id="1006" name="Check Box 8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177840</xdr:colOff>
          <xdr:row>44</xdr:row>
          <xdr:rowOff>169920</xdr:rowOff>
        </xdr:from>
        <xdr:to>
          <xdr:col>9</xdr:col>
          <xdr:colOff>178920</xdr:colOff>
          <xdr:row>46</xdr:row>
          <xdr:rowOff>28800</xdr:rowOff>
        </xdr:to>
        <xdr:sp>
          <xdr:nvSpPr>
            <xdr:cNvPr id="1007" name="Check Box 9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177840</xdr:colOff>
          <xdr:row>45</xdr:row>
          <xdr:rowOff>169920</xdr:rowOff>
        </xdr:from>
        <xdr:to>
          <xdr:col>9</xdr:col>
          <xdr:colOff>178920</xdr:colOff>
          <xdr:row>47</xdr:row>
          <xdr:rowOff>28800</xdr:rowOff>
        </xdr:to>
        <xdr:sp>
          <xdr:nvSpPr>
            <xdr:cNvPr id="1008" name="Check Box 10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177840</xdr:colOff>
          <xdr:row>41</xdr:row>
          <xdr:rowOff>169920</xdr:rowOff>
        </xdr:from>
        <xdr:to>
          <xdr:col>21</xdr:col>
          <xdr:colOff>178920</xdr:colOff>
          <xdr:row>43</xdr:row>
          <xdr:rowOff>28800</xdr:rowOff>
        </xdr:to>
        <xdr:sp>
          <xdr:nvSpPr>
            <xdr:cNvPr id="1009" name="Check Box 11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177840</xdr:colOff>
          <xdr:row>38</xdr:row>
          <xdr:rowOff>169920</xdr:rowOff>
        </xdr:from>
        <xdr:to>
          <xdr:col>21</xdr:col>
          <xdr:colOff>178920</xdr:colOff>
          <xdr:row>40</xdr:row>
          <xdr:rowOff>28800</xdr:rowOff>
        </xdr:to>
        <xdr:sp>
          <xdr:nvSpPr>
            <xdr:cNvPr id="1010" name="Check Box 12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177840</xdr:colOff>
          <xdr:row>39</xdr:row>
          <xdr:rowOff>170280</xdr:rowOff>
        </xdr:from>
        <xdr:to>
          <xdr:col>21</xdr:col>
          <xdr:colOff>178920</xdr:colOff>
          <xdr:row>41</xdr:row>
          <xdr:rowOff>28800</xdr:rowOff>
        </xdr:to>
        <xdr:sp>
          <xdr:nvSpPr>
            <xdr:cNvPr id="1011" name="Check Box 13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177840</xdr:colOff>
          <xdr:row>40</xdr:row>
          <xdr:rowOff>169920</xdr:rowOff>
        </xdr:from>
        <xdr:to>
          <xdr:col>21</xdr:col>
          <xdr:colOff>178920</xdr:colOff>
          <xdr:row>42</xdr:row>
          <xdr:rowOff>28800</xdr:rowOff>
        </xdr:to>
        <xdr:sp>
          <xdr:nvSpPr>
            <xdr:cNvPr id="1012" name="Check Box 14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177840</xdr:colOff>
          <xdr:row>43</xdr:row>
          <xdr:rowOff>170280</xdr:rowOff>
        </xdr:from>
        <xdr:to>
          <xdr:col>21</xdr:col>
          <xdr:colOff>178920</xdr:colOff>
          <xdr:row>45</xdr:row>
          <xdr:rowOff>28800</xdr:rowOff>
        </xdr:to>
        <xdr:sp>
          <xdr:nvSpPr>
            <xdr:cNvPr id="1013" name="Check Box 15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177840</xdr:colOff>
          <xdr:row>44</xdr:row>
          <xdr:rowOff>169920</xdr:rowOff>
        </xdr:from>
        <xdr:to>
          <xdr:col>21</xdr:col>
          <xdr:colOff>178920</xdr:colOff>
          <xdr:row>46</xdr:row>
          <xdr:rowOff>28800</xdr:rowOff>
        </xdr:to>
        <xdr:sp>
          <xdr:nvSpPr>
            <xdr:cNvPr id="1014" name="Check Box 16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177840</xdr:colOff>
          <xdr:row>45</xdr:row>
          <xdr:rowOff>169920</xdr:rowOff>
        </xdr:from>
        <xdr:to>
          <xdr:col>21</xdr:col>
          <xdr:colOff>178920</xdr:colOff>
          <xdr:row>47</xdr:row>
          <xdr:rowOff>28800</xdr:rowOff>
        </xdr:to>
        <xdr:sp>
          <xdr:nvSpPr>
            <xdr:cNvPr id="1015" name="Check Box 17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177840</xdr:colOff>
          <xdr:row>38</xdr:row>
          <xdr:rowOff>169920</xdr:rowOff>
        </xdr:from>
        <xdr:to>
          <xdr:col>33</xdr:col>
          <xdr:colOff>178920</xdr:colOff>
          <xdr:row>40</xdr:row>
          <xdr:rowOff>28800</xdr:rowOff>
        </xdr:to>
        <xdr:sp>
          <xdr:nvSpPr>
            <xdr:cNvPr id="1016" name="Check Box 18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177840</xdr:colOff>
          <xdr:row>44</xdr:row>
          <xdr:rowOff>169920</xdr:rowOff>
        </xdr:from>
        <xdr:to>
          <xdr:col>33</xdr:col>
          <xdr:colOff>178920</xdr:colOff>
          <xdr:row>46</xdr:row>
          <xdr:rowOff>28800</xdr:rowOff>
        </xdr:to>
        <xdr:sp>
          <xdr:nvSpPr>
            <xdr:cNvPr id="1017" name="Check Box 19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177840</xdr:colOff>
          <xdr:row>36</xdr:row>
          <xdr:rowOff>28800</xdr:rowOff>
        </xdr:from>
        <xdr:to>
          <xdr:col>9</xdr:col>
          <xdr:colOff>178920</xdr:colOff>
          <xdr:row>38</xdr:row>
          <xdr:rowOff>21600</xdr:rowOff>
        </xdr:to>
        <xdr:sp>
          <xdr:nvSpPr>
            <xdr:cNvPr id="1018" name="Check Box 20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177840</xdr:colOff>
          <xdr:row>37</xdr:row>
          <xdr:rowOff>169920</xdr:rowOff>
        </xdr:from>
        <xdr:to>
          <xdr:col>9</xdr:col>
          <xdr:colOff>178920</xdr:colOff>
          <xdr:row>39</xdr:row>
          <xdr:rowOff>28800</xdr:rowOff>
        </xdr:to>
        <xdr:sp>
          <xdr:nvSpPr>
            <xdr:cNvPr id="1019" name="Check Box 21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177480</xdr:colOff>
          <xdr:row>36</xdr:row>
          <xdr:rowOff>36000</xdr:rowOff>
        </xdr:from>
        <xdr:to>
          <xdr:col>15</xdr:col>
          <xdr:colOff>179280</xdr:colOff>
          <xdr:row>38</xdr:row>
          <xdr:rowOff>28800</xdr:rowOff>
        </xdr:to>
        <xdr:sp>
          <xdr:nvSpPr>
            <xdr:cNvPr id="1020" name="Check Box 22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177480</xdr:colOff>
          <xdr:row>37</xdr:row>
          <xdr:rowOff>169920</xdr:rowOff>
        </xdr:from>
        <xdr:to>
          <xdr:col>23</xdr:col>
          <xdr:colOff>178920</xdr:colOff>
          <xdr:row>39</xdr:row>
          <xdr:rowOff>28800</xdr:rowOff>
        </xdr:to>
        <xdr:sp>
          <xdr:nvSpPr>
            <xdr:cNvPr id="1021" name="Check Box 23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36000</xdr:rowOff>
        </xdr:from>
        <xdr:to>
          <xdr:col>4</xdr:col>
          <xdr:colOff>7200</xdr:colOff>
          <xdr:row>17</xdr:row>
          <xdr:rowOff>28800</xdr:rowOff>
        </xdr:to>
        <xdr:sp>
          <xdr:nvSpPr>
            <xdr:cNvPr id="1022" name="Check Box 24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170280</xdr:rowOff>
        </xdr:from>
        <xdr:to>
          <xdr:col>4</xdr:col>
          <xdr:colOff>7200</xdr:colOff>
          <xdr:row>18</xdr:row>
          <xdr:rowOff>28800</xdr:rowOff>
        </xdr:to>
        <xdr:sp>
          <xdr:nvSpPr>
            <xdr:cNvPr id="1023" name="Check Box 25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177480</xdr:colOff>
          <xdr:row>16</xdr:row>
          <xdr:rowOff>170280</xdr:rowOff>
        </xdr:from>
        <xdr:to>
          <xdr:col>11</xdr:col>
          <xdr:colOff>178920</xdr:colOff>
          <xdr:row>18</xdr:row>
          <xdr:rowOff>28800</xdr:rowOff>
        </xdr:to>
        <xdr:sp>
          <xdr:nvSpPr>
            <xdr:cNvPr id="1024" name="Check Box 26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177480</xdr:colOff>
          <xdr:row>15</xdr:row>
          <xdr:rowOff>28800</xdr:rowOff>
        </xdr:from>
        <xdr:to>
          <xdr:col>11</xdr:col>
          <xdr:colOff>178920</xdr:colOff>
          <xdr:row>17</xdr:row>
          <xdr:rowOff>21600</xdr:rowOff>
        </xdr:to>
        <xdr:sp>
          <xdr:nvSpPr>
            <xdr:cNvPr id="1025" name="Check Box 27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177840</xdr:colOff>
          <xdr:row>16</xdr:row>
          <xdr:rowOff>170280</xdr:rowOff>
        </xdr:from>
        <xdr:to>
          <xdr:col>19</xdr:col>
          <xdr:colOff>178920</xdr:colOff>
          <xdr:row>18</xdr:row>
          <xdr:rowOff>28800</xdr:rowOff>
        </xdr:to>
        <xdr:sp>
          <xdr:nvSpPr>
            <xdr:cNvPr id="1026" name="Check Box 28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177840</xdr:colOff>
          <xdr:row>15</xdr:row>
          <xdr:rowOff>28800</xdr:rowOff>
        </xdr:from>
        <xdr:to>
          <xdr:col>19</xdr:col>
          <xdr:colOff>178920</xdr:colOff>
          <xdr:row>17</xdr:row>
          <xdr:rowOff>21600</xdr:rowOff>
        </xdr:to>
        <xdr:sp>
          <xdr:nvSpPr>
            <xdr:cNvPr id="1027" name="Check Box 29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177480</xdr:colOff>
          <xdr:row>16</xdr:row>
          <xdr:rowOff>170280</xdr:rowOff>
        </xdr:from>
        <xdr:to>
          <xdr:col>28</xdr:col>
          <xdr:colOff>178920</xdr:colOff>
          <xdr:row>18</xdr:row>
          <xdr:rowOff>28800</xdr:rowOff>
        </xdr:to>
        <xdr:sp>
          <xdr:nvSpPr>
            <xdr:cNvPr id="1028" name="Check Box 30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177480</xdr:colOff>
          <xdr:row>15</xdr:row>
          <xdr:rowOff>28800</xdr:rowOff>
        </xdr:from>
        <xdr:to>
          <xdr:col>28</xdr:col>
          <xdr:colOff>178920</xdr:colOff>
          <xdr:row>17</xdr:row>
          <xdr:rowOff>21600</xdr:rowOff>
        </xdr:to>
        <xdr:sp>
          <xdr:nvSpPr>
            <xdr:cNvPr id="1029" name="Check Box 31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177840</xdr:colOff>
          <xdr:row>16</xdr:row>
          <xdr:rowOff>170280</xdr:rowOff>
        </xdr:from>
        <xdr:to>
          <xdr:col>36</xdr:col>
          <xdr:colOff>178920</xdr:colOff>
          <xdr:row>18</xdr:row>
          <xdr:rowOff>28800</xdr:rowOff>
        </xdr:to>
        <xdr:sp>
          <xdr:nvSpPr>
            <xdr:cNvPr id="1030" name="Check Box 32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177840</xdr:colOff>
          <xdr:row>15</xdr:row>
          <xdr:rowOff>28800</xdr:rowOff>
        </xdr:from>
        <xdr:to>
          <xdr:col>36</xdr:col>
          <xdr:colOff>178920</xdr:colOff>
          <xdr:row>17</xdr:row>
          <xdr:rowOff>21600</xdr:rowOff>
        </xdr:to>
        <xdr:sp>
          <xdr:nvSpPr>
            <xdr:cNvPr id="1031" name="Check Box 33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21600</xdr:colOff>
          <xdr:row>24</xdr:row>
          <xdr:rowOff>36000</xdr:rowOff>
        </xdr:from>
        <xdr:to>
          <xdr:col>26</xdr:col>
          <xdr:colOff>28800</xdr:colOff>
          <xdr:row>26</xdr:row>
          <xdr:rowOff>28800</xdr:rowOff>
        </xdr:to>
        <xdr:sp>
          <xdr:nvSpPr>
            <xdr:cNvPr id="1032" name="Check Box 34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177840</xdr:colOff>
          <xdr:row>24</xdr:row>
          <xdr:rowOff>36000</xdr:rowOff>
        </xdr:from>
        <xdr:to>
          <xdr:col>29</xdr:col>
          <xdr:colOff>179280</xdr:colOff>
          <xdr:row>26</xdr:row>
          <xdr:rowOff>28800</xdr:rowOff>
        </xdr:to>
        <xdr:sp>
          <xdr:nvSpPr>
            <xdr:cNvPr id="1033" name="Check Box 35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trlProp" Target="../ctrlProps/ctrlProps2.xml"/><Relationship Id="rId4" Type="http://schemas.openxmlformats.org/officeDocument/2006/relationships/ctrlProp" Target="../ctrlProps/ctrlProps3.xml"/><Relationship Id="rId5" Type="http://schemas.openxmlformats.org/officeDocument/2006/relationships/ctrlProp" Target="../ctrlProps/ctrlProps4.xml"/><Relationship Id="rId6" Type="http://schemas.openxmlformats.org/officeDocument/2006/relationships/ctrlProp" Target="../ctrlProps/ctrlProps5.xml"/><Relationship Id="rId7" Type="http://schemas.openxmlformats.org/officeDocument/2006/relationships/ctrlProp" Target="../ctrlProps/ctrlProps6.xml"/><Relationship Id="rId8" Type="http://schemas.openxmlformats.org/officeDocument/2006/relationships/ctrlProp" Target="../ctrlProps/ctrlProps7.xml"/><Relationship Id="rId9" Type="http://schemas.openxmlformats.org/officeDocument/2006/relationships/ctrlProp" Target="../ctrlProps/ctrlProps8.xml"/><Relationship Id="rId10" Type="http://schemas.openxmlformats.org/officeDocument/2006/relationships/ctrlProp" Target="../ctrlProps/ctrlProps9.xml"/><Relationship Id="rId11" Type="http://schemas.openxmlformats.org/officeDocument/2006/relationships/ctrlProp" Target="../ctrlProps/ctrlProps10.xml"/><Relationship Id="rId12" Type="http://schemas.openxmlformats.org/officeDocument/2006/relationships/ctrlProp" Target="../ctrlProps/ctrlProps11.xml"/><Relationship Id="rId13" Type="http://schemas.openxmlformats.org/officeDocument/2006/relationships/ctrlProp" Target="../ctrlProps/ctrlProps12.xml"/><Relationship Id="rId14" Type="http://schemas.openxmlformats.org/officeDocument/2006/relationships/ctrlProp" Target="../ctrlProps/ctrlProps13.xml"/><Relationship Id="rId15" Type="http://schemas.openxmlformats.org/officeDocument/2006/relationships/ctrlProp" Target="../ctrlProps/ctrlProps14.xml"/><Relationship Id="rId16" Type="http://schemas.openxmlformats.org/officeDocument/2006/relationships/ctrlProp" Target="../ctrlProps/ctrlProps15.xml"/><Relationship Id="rId17" Type="http://schemas.openxmlformats.org/officeDocument/2006/relationships/ctrlProp" Target="../ctrlProps/ctrlProps16.xml"/><Relationship Id="rId18" Type="http://schemas.openxmlformats.org/officeDocument/2006/relationships/ctrlProp" Target="../ctrlProps/ctrlProps17.xml"/><Relationship Id="rId19" Type="http://schemas.openxmlformats.org/officeDocument/2006/relationships/ctrlProp" Target="../ctrlProps/ctrlProps18.xml"/><Relationship Id="rId20" Type="http://schemas.openxmlformats.org/officeDocument/2006/relationships/ctrlProp" Target="../ctrlProps/ctrlProps19.xml"/><Relationship Id="rId21" Type="http://schemas.openxmlformats.org/officeDocument/2006/relationships/ctrlProp" Target="../ctrlProps/ctrlProps20.xml"/><Relationship Id="rId22" Type="http://schemas.openxmlformats.org/officeDocument/2006/relationships/ctrlProp" Target="../ctrlProps/ctrlProps21.xml"/><Relationship Id="rId23" Type="http://schemas.openxmlformats.org/officeDocument/2006/relationships/ctrlProp" Target="../ctrlProps/ctrlProps22.xml"/><Relationship Id="rId24" Type="http://schemas.openxmlformats.org/officeDocument/2006/relationships/ctrlProp" Target="../ctrlProps/ctrlProps23.xml"/><Relationship Id="rId25" Type="http://schemas.openxmlformats.org/officeDocument/2006/relationships/ctrlProp" Target="../ctrlProps/ctrlProps24.xml"/><Relationship Id="rId26" Type="http://schemas.openxmlformats.org/officeDocument/2006/relationships/ctrlProp" Target="../ctrlProps/ctrlProps25.xml"/><Relationship Id="rId27" Type="http://schemas.openxmlformats.org/officeDocument/2006/relationships/ctrlProp" Target="../ctrlProps/ctrlProps26.xml"/><Relationship Id="rId28" Type="http://schemas.openxmlformats.org/officeDocument/2006/relationships/ctrlProp" Target="../ctrlProps/ctrlProps27.xml"/><Relationship Id="rId29" Type="http://schemas.openxmlformats.org/officeDocument/2006/relationships/ctrlProp" Target="../ctrlProps/ctrlProps28.xml"/><Relationship Id="rId30" Type="http://schemas.openxmlformats.org/officeDocument/2006/relationships/ctrlProp" Target="../ctrlProps/ctrlProps29.xml"/><Relationship Id="rId31" Type="http://schemas.openxmlformats.org/officeDocument/2006/relationships/ctrlProp" Target="../ctrlProps/ctrlProps30.xml"/><Relationship Id="rId32" Type="http://schemas.openxmlformats.org/officeDocument/2006/relationships/ctrlProp" Target="../ctrlProps/ctrlProps31.xml"/><Relationship Id="rId33" Type="http://schemas.openxmlformats.org/officeDocument/2006/relationships/ctrlProp" Target="../ctrlProps/ctrlProps32.xml"/><Relationship Id="rId34" Type="http://schemas.openxmlformats.org/officeDocument/2006/relationships/ctrlProp" Target="../ctrlProps/ctrlProps33.xml"/><Relationship Id="rId35" Type="http://schemas.openxmlformats.org/officeDocument/2006/relationships/ctrlProp" Target="../ctrlProps/ctrlProps3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M1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4" activeCellId="0" sqref="N4"/>
    </sheetView>
  </sheetViews>
  <sheetFormatPr defaultColWidth="1.6328125" defaultRowHeight="13.5" customHeight="true" zeroHeight="false" outlineLevelRow="0" outlineLevelCol="0"/>
  <cols>
    <col collapsed="false" customWidth="true" hidden="false" outlineLevel="0" max="39" min="1" style="0" width="2.54"/>
  </cols>
  <sheetData>
    <row r="1" customFormat="false" ht="6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customFormat="false" ht="15" hidden="false" customHeight="true" outlineLevel="0" collapsed="false">
      <c r="A2" s="2" t="s">
        <v>0</v>
      </c>
      <c r="B2" s="2"/>
      <c r="C2" s="2"/>
      <c r="D2" s="2"/>
      <c r="E2" s="2"/>
      <c r="F2" s="2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4" t="s">
        <v>1</v>
      </c>
      <c r="AB2" s="4"/>
      <c r="AC2" s="4"/>
      <c r="AD2" s="4"/>
      <c r="AE2" s="4"/>
      <c r="AF2" s="4"/>
      <c r="AG2" s="3"/>
      <c r="AH2" s="3"/>
      <c r="AI2" s="3"/>
      <c r="AJ2" s="3"/>
      <c r="AK2" s="3"/>
      <c r="AL2" s="3"/>
      <c r="AM2" s="3"/>
    </row>
    <row r="3" customFormat="false" ht="1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</row>
    <row r="4" customFormat="false" ht="15" hidden="false" customHeight="true" outlineLevel="0" collapsed="false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customFormat="false" ht="13.5" hidden="false" customHeight="true" outlineLevel="0" collapsed="false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</row>
    <row r="6" customFormat="false" ht="13.5" hidden="false" customHeight="true" outlineLevel="0" collapsed="false">
      <c r="A6" s="7" t="s">
        <v>4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</row>
    <row r="7" customFormat="false" ht="13.5" hidden="false" customHeight="true" outlineLevel="0" collapsed="false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</row>
    <row r="8" customFormat="false" ht="13.5" hidden="false" customHeight="true" outlineLevel="0" collapsed="false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</row>
    <row r="9" customFormat="false" ht="13.5" hidden="false" customHeight="true" outlineLevel="0" collapsed="false">
      <c r="A9" s="7" t="s">
        <v>5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</row>
    <row r="10" customFormat="false" ht="13.5" hidden="false" customHeight="true" outlineLevel="0" collapsed="false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</row>
    <row r="11" customFormat="false" ht="13.5" hidden="false" customHeight="true" outlineLevel="0" collapsed="false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</row>
    <row r="12" customFormat="false" ht="9.75" hidden="false" customHeight="true" outlineLevel="0" collapsed="false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</row>
    <row r="13" customFormat="false" ht="13.5" hidden="false" customHeight="true" outlineLevel="0" collapsed="false">
      <c r="A13" s="9" t="s">
        <v>6</v>
      </c>
      <c r="B13" s="9"/>
      <c r="C13" s="9"/>
      <c r="D13" s="9"/>
      <c r="E13" s="9"/>
      <c r="F13" s="9"/>
      <c r="G13" s="9"/>
      <c r="H13" s="9"/>
      <c r="I13" s="9"/>
      <c r="J13" s="9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</row>
    <row r="14" customFormat="false" ht="3.75" hidden="false" customHeight="tru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  <row r="15" customFormat="false" ht="13.5" hidden="false" customHeight="true" outlineLevel="0" collapsed="false">
      <c r="A15" s="10" t="s">
        <v>7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</row>
    <row r="16" customFormat="false" ht="3.75" hidden="false" customHeight="true" outlineLevel="0" collapsed="false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</row>
    <row r="17" customFormat="false" ht="13.5" hidden="false" customHeight="true" outlineLevel="0" collapsed="false">
      <c r="A17" s="6"/>
      <c r="B17" s="11" t="s">
        <v>8</v>
      </c>
      <c r="C17" s="11"/>
      <c r="D17" s="11"/>
      <c r="E17" s="11"/>
      <c r="F17" s="11"/>
      <c r="G17" s="11"/>
      <c r="H17" s="11"/>
      <c r="I17" s="11"/>
      <c r="J17" s="11" t="s">
        <v>9</v>
      </c>
      <c r="K17" s="11"/>
      <c r="L17" s="11"/>
      <c r="M17" s="11"/>
      <c r="N17" s="11"/>
      <c r="O17" s="11"/>
      <c r="P17" s="12"/>
      <c r="Q17" s="11"/>
      <c r="R17" s="11" t="s">
        <v>10</v>
      </c>
      <c r="S17" s="11"/>
      <c r="T17" s="11"/>
      <c r="U17" s="11"/>
      <c r="V17" s="11"/>
      <c r="W17" s="11"/>
      <c r="X17" s="12"/>
      <c r="Y17" s="12"/>
      <c r="Z17" s="12"/>
      <c r="AA17" s="11" t="s">
        <v>11</v>
      </c>
      <c r="AB17" s="11"/>
      <c r="AC17" s="13"/>
      <c r="AD17" s="13"/>
      <c r="AE17" s="13"/>
      <c r="AF17" s="13"/>
      <c r="AG17" s="6"/>
      <c r="AH17" s="6"/>
      <c r="AI17" s="11" t="s">
        <v>12</v>
      </c>
      <c r="AJ17" s="6"/>
      <c r="AK17" s="6"/>
      <c r="AL17" s="6"/>
      <c r="AM17" s="6"/>
    </row>
    <row r="18" customFormat="false" ht="13.5" hidden="false" customHeight="true" outlineLevel="0" collapsed="false">
      <c r="A18" s="6"/>
      <c r="B18" s="11" t="s">
        <v>13</v>
      </c>
      <c r="C18" s="11"/>
      <c r="D18" s="11"/>
      <c r="E18" s="11"/>
      <c r="F18" s="11"/>
      <c r="G18" s="11"/>
      <c r="H18" s="11"/>
      <c r="I18" s="11"/>
      <c r="J18" s="11" t="s">
        <v>14</v>
      </c>
      <c r="K18" s="11"/>
      <c r="L18" s="11"/>
      <c r="M18" s="11"/>
      <c r="N18" s="11"/>
      <c r="O18" s="11"/>
      <c r="P18" s="12"/>
      <c r="Q18" s="11"/>
      <c r="R18" s="11" t="s">
        <v>15</v>
      </c>
      <c r="S18" s="11"/>
      <c r="T18" s="11"/>
      <c r="U18" s="11"/>
      <c r="V18" s="3"/>
      <c r="W18" s="3"/>
      <c r="X18" s="3"/>
      <c r="Y18" s="12"/>
      <c r="Z18" s="12"/>
      <c r="AA18" s="11" t="s">
        <v>16</v>
      </c>
      <c r="AB18" s="11"/>
      <c r="AC18" s="13"/>
      <c r="AD18" s="13"/>
      <c r="AE18" s="13"/>
      <c r="AF18" s="13"/>
      <c r="AG18" s="6"/>
      <c r="AH18" s="6"/>
      <c r="AI18" s="11" t="s">
        <v>17</v>
      </c>
      <c r="AJ18" s="11"/>
      <c r="AK18" s="11"/>
      <c r="AL18" s="6"/>
      <c r="AM18" s="6"/>
    </row>
    <row r="19" customFormat="false" ht="3.75" hidden="false" customHeight="true" outlineLevel="0" collapsed="false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</row>
    <row r="20" customFormat="false" ht="13.5" hidden="false" customHeight="true" outlineLevel="0" collapsed="false">
      <c r="A20" s="10" t="s">
        <v>18</v>
      </c>
      <c r="B20" s="10"/>
      <c r="C20" s="10"/>
      <c r="D20" s="10"/>
      <c r="E20" s="10"/>
      <c r="F20" s="10"/>
      <c r="G20" s="10"/>
      <c r="H20" s="10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</row>
    <row r="21" customFormat="false" ht="3.75" hidden="false" customHeight="true" outlineLevel="0" collapsed="false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</row>
    <row r="22" customFormat="false" ht="13.5" hidden="false" customHeight="true" outlineLevel="0" collapsed="false">
      <c r="A22" s="4" t="s">
        <v>19</v>
      </c>
      <c r="B22" s="4"/>
      <c r="C22" s="4"/>
      <c r="D22" s="14"/>
      <c r="E22" s="14"/>
      <c r="F22" s="14"/>
      <c r="G22" s="14"/>
      <c r="H22" s="2" t="s">
        <v>20</v>
      </c>
      <c r="I22" s="2"/>
      <c r="J22" s="2"/>
      <c r="K22" s="6"/>
      <c r="L22" s="6"/>
      <c r="M22" s="6"/>
      <c r="N22" s="6"/>
      <c r="O22" s="11" t="s">
        <v>21</v>
      </c>
      <c r="P22" s="11"/>
      <c r="Q22" s="11"/>
      <c r="R22" s="6"/>
      <c r="S22" s="14"/>
      <c r="T22" s="14"/>
      <c r="U22" s="14"/>
      <c r="V22" s="14"/>
      <c r="W22" s="2" t="s">
        <v>20</v>
      </c>
      <c r="X22" s="2"/>
      <c r="Y22" s="2"/>
      <c r="Z22" s="6"/>
      <c r="AA22" s="13"/>
      <c r="AB22" s="13"/>
      <c r="AC22" s="2" t="s">
        <v>22</v>
      </c>
      <c r="AD22" s="2"/>
      <c r="AE22" s="2"/>
      <c r="AF22" s="2"/>
      <c r="AG22" s="14"/>
      <c r="AH22" s="14"/>
      <c r="AI22" s="14"/>
      <c r="AJ22" s="14"/>
      <c r="AK22" s="2" t="s">
        <v>20</v>
      </c>
      <c r="AL22" s="2"/>
      <c r="AM22" s="2"/>
    </row>
    <row r="23" customFormat="false" ht="13.5" hidden="false" customHeight="true" outlineLevel="0" collapsed="false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</row>
    <row r="24" customFormat="false" ht="13.5" hidden="false" customHeight="true" outlineLevel="0" collapsed="false">
      <c r="A24" s="9" t="s">
        <v>23</v>
      </c>
      <c r="B24" s="9"/>
      <c r="C24" s="9"/>
      <c r="D24" s="9"/>
      <c r="E24" s="9"/>
      <c r="F24" s="9"/>
      <c r="G24" s="9"/>
      <c r="H24" s="9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</row>
    <row r="25" customFormat="false" ht="3.75" hidden="false" customHeight="tru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</row>
    <row r="26" customFormat="false" ht="13.5" hidden="false" customHeight="true" outlineLevel="0" collapsed="false">
      <c r="A26" s="9" t="s">
        <v>24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6"/>
      <c r="X26" s="15" t="s">
        <v>25</v>
      </c>
      <c r="Y26" s="15"/>
      <c r="Z26" s="6"/>
      <c r="AA26" s="6"/>
      <c r="AB26" s="16" t="s">
        <v>26</v>
      </c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</row>
    <row r="27" customFormat="false" ht="3.75" hidden="false" customHeight="true" outlineLevel="0" collapsed="false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</row>
    <row r="28" customFormat="false" ht="13.5" hidden="false" customHeight="true" outlineLevel="0" collapsed="false">
      <c r="A28" s="6"/>
      <c r="B28" s="15" t="s">
        <v>27</v>
      </c>
      <c r="C28" s="15"/>
      <c r="D28" s="15"/>
      <c r="E28" s="15"/>
      <c r="F28" s="15"/>
      <c r="G28" s="15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</row>
    <row r="29" customFormat="false" ht="13.5" hidden="false" customHeight="true" outlineLevel="0" collapsed="false">
      <c r="A29" s="6"/>
      <c r="B29" s="6"/>
      <c r="C29" s="2" t="s">
        <v>28</v>
      </c>
      <c r="D29" s="2"/>
      <c r="E29" s="2"/>
      <c r="F29" s="2"/>
      <c r="G29" s="2"/>
      <c r="H29" s="2"/>
      <c r="I29" s="2"/>
      <c r="J29" s="2"/>
      <c r="K29" s="2"/>
      <c r="L29" s="14"/>
      <c r="M29" s="14"/>
      <c r="N29" s="14"/>
      <c r="O29" s="14"/>
      <c r="P29" s="2" t="s">
        <v>20</v>
      </c>
      <c r="Q29" s="2"/>
      <c r="R29" s="2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</row>
    <row r="30" customFormat="false" ht="13.5" hidden="false" customHeight="true" outlineLevel="0" collapsed="false">
      <c r="A30" s="6"/>
      <c r="B30" s="6"/>
      <c r="C30" s="2" t="s">
        <v>29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14"/>
      <c r="Q30" s="14"/>
      <c r="R30" s="14"/>
      <c r="S30" s="14"/>
      <c r="T30" s="11" t="s">
        <v>30</v>
      </c>
      <c r="U30" s="11"/>
      <c r="V30" s="11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</row>
    <row r="31" customFormat="false" ht="3.75" hidden="false" customHeight="true" outlineLevel="0" collapsed="false">
      <c r="A31" s="6"/>
      <c r="B31" s="6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9"/>
      <c r="Q31" s="19"/>
      <c r="R31" s="19"/>
      <c r="S31" s="19"/>
      <c r="T31" s="11"/>
      <c r="U31" s="11"/>
      <c r="V31" s="11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</row>
    <row r="32" customFormat="false" ht="13.5" hidden="false" customHeight="true" outlineLevel="0" collapsed="false">
      <c r="A32" s="6"/>
      <c r="B32" s="16" t="s">
        <v>31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</row>
    <row r="33" customFormat="false" ht="13.5" hidden="false" customHeight="true" outlineLevel="0" collapsed="false">
      <c r="A33" s="6"/>
      <c r="B33" s="6"/>
      <c r="C33" s="2" t="s">
        <v>32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14"/>
      <c r="R33" s="14"/>
      <c r="S33" s="14"/>
      <c r="T33" s="14"/>
      <c r="U33" s="14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</row>
    <row r="34" customFormat="false" ht="13.5" hidden="false" customHeight="true" outlineLevel="0" collapsed="false">
      <c r="A34" s="6"/>
      <c r="B34" s="6"/>
      <c r="C34" s="11" t="s">
        <v>28</v>
      </c>
      <c r="D34" s="11"/>
      <c r="E34" s="11"/>
      <c r="F34" s="11"/>
      <c r="G34" s="11"/>
      <c r="H34" s="11"/>
      <c r="I34" s="11"/>
      <c r="J34" s="11"/>
      <c r="K34" s="6"/>
      <c r="L34" s="14"/>
      <c r="M34" s="14"/>
      <c r="N34" s="14"/>
      <c r="O34" s="14"/>
      <c r="P34" s="2" t="s">
        <v>20</v>
      </c>
      <c r="Q34" s="2"/>
      <c r="R34" s="2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</row>
    <row r="35" customFormat="false" ht="13.5" hidden="false" customHeight="true" outlineLevel="0" collapsed="false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</row>
    <row r="36" customFormat="false" ht="13.5" hidden="false" customHeight="true" outlineLevel="0" collapsed="false">
      <c r="A36" s="16" t="s">
        <v>33</v>
      </c>
      <c r="B36" s="16"/>
      <c r="C36" s="16"/>
      <c r="D36" s="16"/>
      <c r="E36" s="16"/>
      <c r="F36" s="16"/>
      <c r="G36" s="16"/>
      <c r="H36" s="1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</row>
    <row r="37" customFormat="false" ht="3.75" hidden="false" customHeight="true" outlineLevel="0" collapsed="false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</row>
    <row r="38" customFormat="false" ht="13.5" hidden="false" customHeight="true" outlineLevel="0" collapsed="false">
      <c r="A38" s="20" t="s">
        <v>34</v>
      </c>
      <c r="B38" s="20"/>
      <c r="C38" s="20"/>
      <c r="D38" s="20"/>
      <c r="E38" s="20"/>
      <c r="F38" s="20"/>
      <c r="G38" s="21"/>
      <c r="H38" s="22" t="s">
        <v>35</v>
      </c>
      <c r="I38" s="22"/>
      <c r="J38" s="22"/>
      <c r="K38" s="22"/>
      <c r="L38" s="23"/>
      <c r="M38" s="23"/>
      <c r="N38" s="22" t="s">
        <v>36</v>
      </c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3"/>
      <c r="AE38" s="23"/>
      <c r="AF38" s="23"/>
      <c r="AG38" s="23"/>
      <c r="AH38" s="23"/>
      <c r="AI38" s="23"/>
      <c r="AJ38" s="23"/>
      <c r="AK38" s="23"/>
      <c r="AL38" s="23"/>
      <c r="AM38" s="24"/>
    </row>
    <row r="39" customFormat="false" ht="13.5" hidden="false" customHeight="true" outlineLevel="0" collapsed="false">
      <c r="A39" s="20"/>
      <c r="B39" s="20"/>
      <c r="C39" s="20"/>
      <c r="D39" s="20"/>
      <c r="E39" s="20"/>
      <c r="F39" s="20"/>
      <c r="G39" s="25"/>
      <c r="H39" s="26" t="s">
        <v>37</v>
      </c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6" t="s">
        <v>38</v>
      </c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8"/>
    </row>
    <row r="40" customFormat="false" ht="13.5" hidden="false" customHeight="true" outlineLevel="0" collapsed="false">
      <c r="A40" s="20" t="s">
        <v>39</v>
      </c>
      <c r="B40" s="20"/>
      <c r="C40" s="20"/>
      <c r="D40" s="20"/>
      <c r="E40" s="20"/>
      <c r="F40" s="20"/>
      <c r="G40" s="21"/>
      <c r="H40" s="22" t="s">
        <v>40</v>
      </c>
      <c r="I40" s="22"/>
      <c r="J40" s="22"/>
      <c r="K40" s="23"/>
      <c r="L40" s="23"/>
      <c r="M40" s="23"/>
      <c r="N40" s="23"/>
      <c r="O40" s="23"/>
      <c r="P40" s="23"/>
      <c r="Q40" s="23"/>
      <c r="R40" s="23"/>
      <c r="S40" s="13"/>
      <c r="T40" s="22" t="s">
        <v>41</v>
      </c>
      <c r="U40" s="1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 t="s">
        <v>42</v>
      </c>
      <c r="AG40" s="22"/>
      <c r="AH40" s="22"/>
      <c r="AI40" s="22"/>
      <c r="AJ40" s="22"/>
      <c r="AK40" s="22"/>
      <c r="AL40" s="22"/>
      <c r="AM40" s="24"/>
    </row>
    <row r="41" customFormat="false" ht="13.5" hidden="false" customHeight="true" outlineLevel="0" collapsed="false">
      <c r="A41" s="20"/>
      <c r="B41" s="20"/>
      <c r="C41" s="20"/>
      <c r="D41" s="20"/>
      <c r="E41" s="20"/>
      <c r="F41" s="20"/>
      <c r="G41" s="29"/>
      <c r="H41" s="11" t="s">
        <v>43</v>
      </c>
      <c r="I41" s="11"/>
      <c r="J41" s="11"/>
      <c r="K41" s="6"/>
      <c r="L41" s="6"/>
      <c r="M41" s="6"/>
      <c r="N41" s="6"/>
      <c r="O41" s="6"/>
      <c r="P41" s="6"/>
      <c r="Q41" s="6"/>
      <c r="R41" s="6"/>
      <c r="S41" s="13"/>
      <c r="T41" s="11" t="s">
        <v>44</v>
      </c>
      <c r="U41" s="12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 t="s">
        <v>45</v>
      </c>
      <c r="AG41" s="11"/>
      <c r="AH41" s="11"/>
      <c r="AI41" s="11"/>
      <c r="AJ41" s="11"/>
      <c r="AK41" s="11"/>
      <c r="AL41" s="11"/>
      <c r="AM41" s="30"/>
    </row>
    <row r="42" customFormat="false" ht="13.5" hidden="false" customHeight="true" outlineLevel="0" collapsed="false">
      <c r="A42" s="20"/>
      <c r="B42" s="20"/>
      <c r="C42" s="20"/>
      <c r="D42" s="20"/>
      <c r="E42" s="20"/>
      <c r="F42" s="20"/>
      <c r="G42" s="25"/>
      <c r="H42" s="26" t="s">
        <v>46</v>
      </c>
      <c r="I42" s="26"/>
      <c r="J42" s="26"/>
      <c r="K42" s="27"/>
      <c r="L42" s="27"/>
      <c r="M42" s="27"/>
      <c r="N42" s="27"/>
      <c r="O42" s="27"/>
      <c r="P42" s="27"/>
      <c r="Q42" s="27"/>
      <c r="R42" s="27"/>
      <c r="S42" s="13"/>
      <c r="T42" s="26" t="s">
        <v>47</v>
      </c>
      <c r="U42" s="12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8"/>
    </row>
    <row r="43" customFormat="false" ht="13.5" hidden="false" customHeight="true" outlineLevel="0" collapsed="false">
      <c r="A43" s="20" t="s">
        <v>48</v>
      </c>
      <c r="B43" s="20"/>
      <c r="C43" s="20"/>
      <c r="D43" s="20"/>
      <c r="E43" s="20"/>
      <c r="F43" s="20"/>
      <c r="G43" s="21"/>
      <c r="H43" s="22" t="s">
        <v>49</v>
      </c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 t="s">
        <v>50</v>
      </c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4"/>
    </row>
    <row r="44" customFormat="false" ht="13.5" hidden="false" customHeight="true" outlineLevel="0" collapsed="false">
      <c r="A44" s="20"/>
      <c r="B44" s="20"/>
      <c r="C44" s="20"/>
      <c r="D44" s="20"/>
      <c r="E44" s="20"/>
      <c r="F44" s="20"/>
      <c r="G44" s="25"/>
      <c r="H44" s="26" t="s">
        <v>51</v>
      </c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8"/>
    </row>
    <row r="45" customFormat="false" ht="13.5" hidden="false" customHeight="true" outlineLevel="0" collapsed="false">
      <c r="A45" s="20" t="s">
        <v>52</v>
      </c>
      <c r="B45" s="20"/>
      <c r="C45" s="20"/>
      <c r="D45" s="20"/>
      <c r="E45" s="20"/>
      <c r="F45" s="20"/>
      <c r="G45" s="31"/>
      <c r="H45" s="32" t="s">
        <v>53</v>
      </c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 t="s">
        <v>54</v>
      </c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4"/>
    </row>
    <row r="46" customFormat="false" ht="13.5" hidden="false" customHeight="true" outlineLevel="0" collapsed="false">
      <c r="A46" s="20" t="s">
        <v>55</v>
      </c>
      <c r="B46" s="20"/>
      <c r="C46" s="20"/>
      <c r="D46" s="20"/>
      <c r="E46" s="20"/>
      <c r="F46" s="20"/>
      <c r="G46" s="31"/>
      <c r="H46" s="32" t="s">
        <v>56</v>
      </c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2" t="s">
        <v>57</v>
      </c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 t="s">
        <v>58</v>
      </c>
      <c r="AG46" s="33"/>
      <c r="AH46" s="33"/>
      <c r="AI46" s="33"/>
      <c r="AJ46" s="33"/>
      <c r="AK46" s="33"/>
      <c r="AL46" s="33"/>
      <c r="AM46" s="34"/>
    </row>
    <row r="47" customFormat="false" ht="30.1" hidden="false" customHeight="true" outlineLevel="0" collapsed="false">
      <c r="A47" s="20" t="s">
        <v>59</v>
      </c>
      <c r="B47" s="20"/>
      <c r="C47" s="20"/>
      <c r="D47" s="20"/>
      <c r="E47" s="20"/>
      <c r="F47" s="20"/>
      <c r="G47" s="31"/>
      <c r="H47" s="32" t="s">
        <v>60</v>
      </c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 t="s">
        <v>61</v>
      </c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4"/>
    </row>
    <row r="48" customFormat="false" ht="13.5" hidden="false" customHeight="true" outlineLevel="0" collapsed="false">
      <c r="A48" s="35" t="s">
        <v>62</v>
      </c>
      <c r="B48" s="35"/>
      <c r="C48" s="35"/>
      <c r="D48" s="35"/>
      <c r="E48" s="35"/>
      <c r="F48" s="35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</row>
    <row r="49" customFormat="false" ht="13.5" hidden="false" customHeight="true" outlineLevel="0" collapsed="false">
      <c r="A49" s="35"/>
      <c r="B49" s="35"/>
      <c r="C49" s="35"/>
      <c r="D49" s="35"/>
      <c r="E49" s="35"/>
      <c r="F49" s="35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</row>
    <row r="50" customFormat="false" ht="13.5" hidden="false" customHeight="true" outlineLevel="0" collapsed="false">
      <c r="A50" s="37"/>
      <c r="B50" s="37"/>
      <c r="C50" s="37"/>
      <c r="D50" s="37"/>
      <c r="E50" s="37"/>
      <c r="F50" s="37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</row>
    <row r="51" customFormat="false" ht="13.5" hidden="false" customHeight="true" outlineLevel="0" collapsed="false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6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6"/>
      <c r="AG51" s="39"/>
      <c r="AH51" s="39"/>
      <c r="AI51" s="39"/>
      <c r="AJ51" s="39"/>
      <c r="AK51" s="39"/>
      <c r="AL51" s="39"/>
      <c r="AM51" s="39"/>
    </row>
    <row r="52" customFormat="false" ht="13.5" hidden="false" customHeight="true" outlineLevel="0" collapsed="false">
      <c r="A52" s="40" t="s">
        <v>63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6"/>
      <c r="Q52" s="40" t="s">
        <v>64</v>
      </c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6"/>
      <c r="AG52" s="40" t="s">
        <v>65</v>
      </c>
      <c r="AH52" s="40"/>
      <c r="AI52" s="40"/>
      <c r="AJ52" s="40"/>
      <c r="AK52" s="40"/>
      <c r="AL52" s="40"/>
      <c r="AM52" s="40"/>
    </row>
    <row r="53" customFormat="false" ht="13.5" hidden="false" customHeight="true" outlineLevel="0" collapsed="false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6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6"/>
      <c r="AG53" s="41"/>
      <c r="AH53" s="41"/>
      <c r="AI53" s="41"/>
      <c r="AJ53" s="41"/>
      <c r="AK53" s="41"/>
      <c r="AL53" s="41"/>
      <c r="AM53" s="41"/>
    </row>
    <row r="54" customFormat="false" ht="13.5" hidden="false" customHeight="true" outlineLevel="0" collapsed="false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6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6"/>
      <c r="AG54" s="38"/>
      <c r="AH54" s="38"/>
      <c r="AI54" s="38"/>
      <c r="AJ54" s="38"/>
      <c r="AK54" s="38"/>
      <c r="AL54" s="38"/>
      <c r="AM54" s="38"/>
    </row>
    <row r="55" customFormat="false" ht="13.5" hidden="false" customHeight="true" outlineLevel="0" collapsed="false">
      <c r="A55" s="40" t="s">
        <v>66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6"/>
      <c r="Q55" s="40" t="s">
        <v>67</v>
      </c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6"/>
      <c r="AG55" s="40" t="s">
        <v>65</v>
      </c>
      <c r="AH55" s="40"/>
      <c r="AI55" s="40"/>
      <c r="AJ55" s="40"/>
      <c r="AK55" s="40"/>
      <c r="AL55" s="40"/>
      <c r="AM55" s="40"/>
    </row>
    <row r="56" customFormat="false" ht="13.5" hidden="false" customHeight="true" outlineLevel="0" collapsed="false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</row>
    <row r="57" customFormat="false" ht="13.5" hidden="false" customHeight="true" outlineLevel="0" collapsed="false">
      <c r="A57" s="9" t="s">
        <v>68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</row>
    <row r="58" customFormat="false" ht="13.5" hidden="false" customHeight="true" outlineLevel="0" collapsed="false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6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6"/>
      <c r="AG58" s="14"/>
      <c r="AH58" s="14"/>
      <c r="AI58" s="14"/>
      <c r="AJ58" s="14"/>
      <c r="AK58" s="14"/>
      <c r="AL58" s="14"/>
      <c r="AM58" s="14"/>
    </row>
    <row r="59" customFormat="false" ht="13.5" hidden="false" customHeight="true" outlineLevel="0" collapsed="false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6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6"/>
      <c r="AG59" s="14"/>
      <c r="AH59" s="14"/>
      <c r="AI59" s="14"/>
      <c r="AJ59" s="14"/>
      <c r="AK59" s="14"/>
      <c r="AL59" s="14"/>
      <c r="AM59" s="14"/>
    </row>
    <row r="60" customFormat="false" ht="13.5" hidden="false" customHeight="true" outlineLevel="0" collapsed="false">
      <c r="A60" s="42" t="s">
        <v>69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3"/>
      <c r="Q60" s="42" t="s">
        <v>70</v>
      </c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3"/>
      <c r="AG60" s="42" t="s">
        <v>65</v>
      </c>
      <c r="AH60" s="42"/>
      <c r="AI60" s="42"/>
      <c r="AJ60" s="42"/>
      <c r="AK60" s="42"/>
      <c r="AL60" s="42"/>
      <c r="AM60" s="42"/>
    </row>
    <row r="61" customFormat="false" ht="11.25" hidden="false" customHeight="true" outlineLevel="0" collapsed="false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</row>
    <row r="62" customFormat="false" ht="13.5" hidden="false" customHeight="true" outlineLevel="0" collapsed="false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</row>
    <row r="63" customFormat="false" ht="13.5" hidden="false" customHeight="true" outlineLevel="0" collapsed="false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6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  <c r="AM63" s="45"/>
    </row>
    <row r="64" customFormat="false" ht="13.5" hidden="false" customHeight="true" outlineLevel="0" collapsed="false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</row>
    <row r="65" customFormat="false" ht="13.5" hidden="false" customHeight="true" outlineLevel="0" collapsed="false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</row>
    <row r="66" customFormat="false" ht="13.5" hidden="false" customHeight="true" outlineLevel="0" collapsed="false">
      <c r="A66" s="46"/>
      <c r="B66" s="46"/>
      <c r="C66" s="46"/>
      <c r="D66" s="46"/>
      <c r="E66" s="46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6"/>
      <c r="AJ66" s="46"/>
      <c r="AK66" s="46"/>
      <c r="AL66" s="46"/>
      <c r="AM66" s="46"/>
    </row>
    <row r="67" customFormat="false" ht="13.5" hidden="false" customHeight="true" outlineLevel="0" collapsed="false">
      <c r="A67" s="46"/>
      <c r="B67" s="46"/>
      <c r="C67" s="46"/>
      <c r="D67" s="46"/>
      <c r="E67" s="46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6"/>
      <c r="AJ67" s="46"/>
      <c r="AK67" s="46"/>
      <c r="AL67" s="46"/>
      <c r="AM67" s="46"/>
    </row>
    <row r="68" customFormat="false" ht="13.5" hidden="false" customHeight="true" outlineLevel="0" collapsed="false">
      <c r="A68" s="46"/>
      <c r="B68" s="46"/>
      <c r="C68" s="46"/>
      <c r="D68" s="46"/>
      <c r="E68" s="46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6"/>
      <c r="AJ68" s="46"/>
      <c r="AK68" s="46"/>
      <c r="AL68" s="46"/>
      <c r="AM68" s="46"/>
    </row>
    <row r="69" customFormat="false" ht="13.5" hidden="false" customHeight="true" outlineLevel="0" collapsed="false">
      <c r="A69" s="46"/>
      <c r="B69" s="46"/>
      <c r="C69" s="46"/>
      <c r="D69" s="46"/>
      <c r="E69" s="46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6"/>
      <c r="AJ69" s="46"/>
      <c r="AK69" s="46"/>
      <c r="AL69" s="46"/>
      <c r="AM69" s="46"/>
    </row>
    <row r="70" customFormat="false" ht="13.5" hidden="false" customHeight="true" outlineLevel="0" collapsed="false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5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s="46"/>
      <c r="AM70" s="46"/>
    </row>
    <row r="71" customFormat="false" ht="13.5" hidden="false" customHeight="true" outlineLevel="0" collapsed="false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6"/>
    </row>
    <row r="72" customFormat="false" ht="13.5" hidden="false" customHeight="true" outlineLevel="0" collapsed="false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46"/>
      <c r="AL72" s="46"/>
      <c r="AM72" s="46"/>
    </row>
    <row r="73" customFormat="false" ht="13.5" hidden="false" customHeight="true" outlineLevel="0" collapsed="false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</row>
    <row r="74" customFormat="false" ht="13.5" hidden="false" customHeight="true" outlineLevel="0" collapsed="false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  <c r="AM74" s="46"/>
    </row>
    <row r="75" customFormat="false" ht="13.5" hidden="false" customHeight="true" outlineLevel="0" collapsed="false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6"/>
    </row>
    <row r="76" customFormat="false" ht="13.5" hidden="false" customHeight="true" outlineLevel="0" collapsed="false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</row>
    <row r="77" customFormat="false" ht="13.5" hidden="false" customHeight="true" outlineLevel="0" collapsed="false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</row>
    <row r="78" customFormat="false" ht="13.5" hidden="false" customHeight="true" outlineLevel="0" collapsed="false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</row>
    <row r="79" customFormat="false" ht="13.5" hidden="false" customHeight="true" outlineLevel="0" collapsed="false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</row>
    <row r="80" customFormat="false" ht="13.5" hidden="false" customHeight="true" outlineLevel="0" collapsed="false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</row>
    <row r="81" customFormat="false" ht="13.5" hidden="false" customHeight="true" outlineLevel="0" collapsed="false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</row>
    <row r="82" customFormat="false" ht="13.5" hidden="false" customHeight="true" outlineLevel="0" collapsed="false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  <c r="AM82" s="46"/>
    </row>
    <row r="83" customFormat="false" ht="13.5" hidden="false" customHeight="true" outlineLevel="0" collapsed="false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6"/>
      <c r="AM83" s="46"/>
    </row>
    <row r="84" customFormat="false" ht="13.5" hidden="false" customHeight="true" outlineLevel="0" collapsed="false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6"/>
      <c r="AM84" s="46"/>
    </row>
    <row r="85" customFormat="false" ht="13.5" hidden="false" customHeight="true" outlineLevel="0" collapsed="false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  <c r="AK85" s="46"/>
      <c r="AL85" s="46"/>
      <c r="AM85" s="46"/>
    </row>
    <row r="86" customFormat="false" ht="13.5" hidden="false" customHeight="true" outlineLevel="0" collapsed="false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6"/>
    </row>
    <row r="87" customFormat="false" ht="13.5" hidden="false" customHeight="true" outlineLevel="0" collapsed="false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6"/>
    </row>
    <row r="88" customFormat="false" ht="13.5" hidden="false" customHeight="true" outlineLevel="0" collapsed="false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6"/>
      <c r="AM88" s="46"/>
    </row>
    <row r="89" customFormat="false" ht="13.5" hidden="false" customHeight="true" outlineLevel="0" collapsed="false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/>
      <c r="AL89" s="46"/>
      <c r="AM89" s="46"/>
    </row>
    <row r="90" customFormat="false" ht="13.5" hidden="false" customHeight="true" outlineLevel="0" collapsed="false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6"/>
    </row>
    <row r="91" customFormat="false" ht="13.5" hidden="false" customHeight="true" outlineLevel="0" collapsed="false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</row>
    <row r="92" customFormat="false" ht="13.5" hidden="false" customHeight="true" outlineLevel="0" collapsed="false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6"/>
    </row>
    <row r="93" customFormat="false" ht="13.5" hidden="false" customHeight="true" outlineLevel="0" collapsed="false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6"/>
    </row>
    <row r="94" customFormat="false" ht="13.5" hidden="false" customHeight="true" outlineLevel="0" collapsed="false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6"/>
    </row>
    <row r="95" customFormat="false" ht="13.5" hidden="false" customHeight="true" outlineLevel="0" collapsed="false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</row>
    <row r="96" customFormat="false" ht="13.5" hidden="false" customHeight="true" outlineLevel="0" collapsed="false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  <c r="AM96" s="46"/>
    </row>
    <row r="97" customFormat="false" ht="13.5" hidden="false" customHeight="true" outlineLevel="0" collapsed="false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6"/>
      <c r="AM97" s="46"/>
    </row>
    <row r="98" customFormat="false" ht="13.5" hidden="false" customHeight="true" outlineLevel="0" collapsed="false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</row>
    <row r="99" customFormat="false" ht="13.5" hidden="false" customHeight="true" outlineLevel="0" collapsed="false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6"/>
    </row>
    <row r="100" customFormat="false" ht="13.5" hidden="false" customHeight="true" outlineLevel="0" collapsed="false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  <c r="AF100" s="46"/>
      <c r="AG100" s="46"/>
      <c r="AH100" s="46"/>
      <c r="AI100" s="46"/>
      <c r="AJ100" s="46"/>
      <c r="AK100" s="46"/>
      <c r="AL100" s="46"/>
      <c r="AM100" s="46"/>
    </row>
    <row r="101" customFormat="false" ht="13.5" hidden="false" customHeight="true" outlineLevel="0" collapsed="false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6"/>
      <c r="AM101" s="46"/>
    </row>
    <row r="102" customFormat="false" ht="13.5" hidden="false" customHeight="true" outlineLevel="0" collapsed="false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  <c r="AE102" s="46"/>
      <c r="AF102" s="46"/>
      <c r="AG102" s="46"/>
      <c r="AH102" s="46"/>
      <c r="AI102" s="46"/>
      <c r="AJ102" s="46"/>
      <c r="AK102" s="46"/>
      <c r="AL102" s="46"/>
      <c r="AM102" s="46"/>
    </row>
    <row r="103" customFormat="false" ht="13.5" hidden="false" customHeight="true" outlineLevel="0" collapsed="false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  <c r="AF103" s="46"/>
      <c r="AG103" s="46"/>
      <c r="AH103" s="46"/>
      <c r="AI103" s="46"/>
      <c r="AJ103" s="46"/>
      <c r="AK103" s="46"/>
      <c r="AL103" s="46"/>
      <c r="AM103" s="46"/>
    </row>
    <row r="104" customFormat="false" ht="13.5" hidden="false" customHeight="true" outlineLevel="0" collapsed="false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6"/>
      <c r="AM104" s="46"/>
    </row>
    <row r="105" customFormat="false" ht="13.5" hidden="false" customHeight="true" outlineLevel="0" collapsed="false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  <c r="AG105" s="46"/>
      <c r="AH105" s="46"/>
      <c r="AI105" s="46"/>
      <c r="AJ105" s="46"/>
      <c r="AK105" s="46"/>
      <c r="AL105" s="46"/>
      <c r="AM105" s="46"/>
    </row>
    <row r="106" customFormat="false" ht="13.5" hidden="false" customHeight="true" outlineLevel="0" collapsed="false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  <c r="AE106" s="46"/>
      <c r="AF106" s="46"/>
      <c r="AG106" s="46"/>
      <c r="AH106" s="46"/>
      <c r="AI106" s="46"/>
      <c r="AJ106" s="46"/>
      <c r="AK106" s="46"/>
      <c r="AL106" s="46"/>
      <c r="AM106" s="46"/>
    </row>
    <row r="107" customFormat="false" ht="13.5" hidden="false" customHeight="true" outlineLevel="0" collapsed="false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6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  <c r="AE107" s="47"/>
      <c r="AF107" s="47"/>
      <c r="AG107" s="47"/>
      <c r="AH107" s="47"/>
      <c r="AI107" s="47"/>
      <c r="AJ107" s="47"/>
      <c r="AK107" s="47"/>
      <c r="AL107" s="47"/>
      <c r="AM107" s="47"/>
    </row>
    <row r="108" customFormat="false" ht="13.5" hidden="false" customHeight="true" outlineLevel="0" collapsed="false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  <c r="AE108" s="47"/>
      <c r="AF108" s="47"/>
      <c r="AG108" s="47"/>
      <c r="AH108" s="47"/>
      <c r="AI108" s="47"/>
      <c r="AJ108" s="47"/>
      <c r="AK108" s="47"/>
      <c r="AL108" s="47"/>
      <c r="AM108" s="47"/>
    </row>
    <row r="109" customFormat="false" ht="13.5" hidden="false" customHeight="true" outlineLevel="0" collapsed="false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  <c r="AE109" s="47"/>
      <c r="AF109" s="47"/>
      <c r="AG109" s="47"/>
      <c r="AH109" s="47"/>
      <c r="AI109" s="47"/>
      <c r="AJ109" s="47"/>
      <c r="AK109" s="47"/>
      <c r="AL109" s="47"/>
      <c r="AM109" s="47"/>
    </row>
    <row r="110" customFormat="false" ht="13.5" hidden="false" customHeight="true" outlineLevel="0" collapsed="false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  <c r="AE110" s="47"/>
      <c r="AF110" s="47"/>
      <c r="AG110" s="47"/>
      <c r="AH110" s="47"/>
      <c r="AI110" s="47"/>
      <c r="AJ110" s="47"/>
      <c r="AK110" s="47"/>
      <c r="AL110" s="47"/>
      <c r="AM110" s="47"/>
    </row>
    <row r="111" customFormat="false" ht="13.5" hidden="false" customHeight="true" outlineLevel="0" collapsed="false">
      <c r="L111" s="47"/>
    </row>
  </sheetData>
  <mergeCells count="65">
    <mergeCell ref="A1:AM1"/>
    <mergeCell ref="A2:F2"/>
    <mergeCell ref="G2:Z2"/>
    <mergeCell ref="AA2:AF2"/>
    <mergeCell ref="AG2:AM2"/>
    <mergeCell ref="A3:L3"/>
    <mergeCell ref="M3:AM3"/>
    <mergeCell ref="A4:M4"/>
    <mergeCell ref="N4:AM4"/>
    <mergeCell ref="A6:AM7"/>
    <mergeCell ref="A8:AM8"/>
    <mergeCell ref="A9:AM10"/>
    <mergeCell ref="A11:AM11"/>
    <mergeCell ref="A13:J13"/>
    <mergeCell ref="A15:L15"/>
    <mergeCell ref="V18:X18"/>
    <mergeCell ref="A20:H20"/>
    <mergeCell ref="A22:C22"/>
    <mergeCell ref="D22:G22"/>
    <mergeCell ref="H22:J22"/>
    <mergeCell ref="S22:V22"/>
    <mergeCell ref="W22:Y22"/>
    <mergeCell ref="AC22:AF22"/>
    <mergeCell ref="AG22:AJ22"/>
    <mergeCell ref="AK22:AM22"/>
    <mergeCell ref="A24:H24"/>
    <mergeCell ref="A26:V26"/>
    <mergeCell ref="X26:Y26"/>
    <mergeCell ref="B28:G28"/>
    <mergeCell ref="C29:K29"/>
    <mergeCell ref="L29:O29"/>
    <mergeCell ref="P29:R29"/>
    <mergeCell ref="C30:O30"/>
    <mergeCell ref="P30:S30"/>
    <mergeCell ref="C33:P33"/>
    <mergeCell ref="Q33:U33"/>
    <mergeCell ref="L34:O34"/>
    <mergeCell ref="P34:R34"/>
    <mergeCell ref="A38:F39"/>
    <mergeCell ref="A40:F42"/>
    <mergeCell ref="A43:F44"/>
    <mergeCell ref="A45:F45"/>
    <mergeCell ref="A46:F46"/>
    <mergeCell ref="A47:F47"/>
    <mergeCell ref="A48:F49"/>
    <mergeCell ref="G48:AM49"/>
    <mergeCell ref="A51:O51"/>
    <mergeCell ref="Q51:AE51"/>
    <mergeCell ref="AG51:AM51"/>
    <mergeCell ref="A52:O52"/>
    <mergeCell ref="Q52:AE52"/>
    <mergeCell ref="AG52:AM52"/>
    <mergeCell ref="A54:O54"/>
    <mergeCell ref="Q54:AE54"/>
    <mergeCell ref="AG54:AM54"/>
    <mergeCell ref="A55:O55"/>
    <mergeCell ref="Q55:AE55"/>
    <mergeCell ref="AG55:AM55"/>
    <mergeCell ref="A57:U57"/>
    <mergeCell ref="A58:O59"/>
    <mergeCell ref="Q58:AE59"/>
    <mergeCell ref="AG58:AM59"/>
    <mergeCell ref="A60:O60"/>
    <mergeCell ref="Q60:AE60"/>
    <mergeCell ref="AG60:AM60"/>
  </mergeCells>
  <printOptions headings="false" gridLines="false" gridLinesSet="true" horizontalCentered="true" verticalCentered="false"/>
  <pageMargins left="0.7" right="0.7" top="1" bottom="0.5" header="0.3" footer="0.3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&amp;L                &amp;C&amp;"Calibri,Bold"&amp;13Hazard Assessment for Energized Work</oddHeader>
    <oddFooter>&amp;L&amp;8&amp;K919191AMPQES.COM&amp;R&amp;8 &amp;K919191256-513-8255</oddFooter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01" r:id="rId3" name="">
              <controlPr defaultSize="0" locked="1" autoFill="0" autoLine="0" autoPict="0" print="true" altText="Check Box 2">
                <anchor moveWithCells="true" sizeWithCells="false">
                  <from>
                    <xdr:col>5</xdr:col>
                    <xdr:colOff>177840</xdr:colOff>
                    <xdr:row>40</xdr:row>
                    <xdr:rowOff>169920</xdr:rowOff>
                  </from>
                  <to>
                    <xdr:col>9</xdr:col>
                    <xdr:colOff>178920</xdr:colOff>
                    <xdr:row>42</xdr:row>
                    <xdr:rowOff>28800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2" r:id="rId4" name="">
              <controlPr defaultSize="0" locked="1" autoFill="0" autoLine="0" autoPict="0" print="true" altText="Check Box 3">
                <anchor moveWithCells="true" sizeWithCells="false">
                  <from>
                    <xdr:col>5</xdr:col>
                    <xdr:colOff>177840</xdr:colOff>
                    <xdr:row>39</xdr:row>
                    <xdr:rowOff>170280</xdr:rowOff>
                  </from>
                  <to>
                    <xdr:col>9</xdr:col>
                    <xdr:colOff>178920</xdr:colOff>
                    <xdr:row>41</xdr:row>
                    <xdr:rowOff>28800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3" r:id="rId5" name="">
              <controlPr defaultSize="0" locked="1" autoFill="0" autoLine="0" autoPict="0" print="true" altText="Check Box 4">
                <anchor moveWithCells="true" sizeWithCells="false">
                  <from>
                    <xdr:col>5</xdr:col>
                    <xdr:colOff>177840</xdr:colOff>
                    <xdr:row>38</xdr:row>
                    <xdr:rowOff>169920</xdr:rowOff>
                  </from>
                  <to>
                    <xdr:col>9</xdr:col>
                    <xdr:colOff>178920</xdr:colOff>
                    <xdr:row>40</xdr:row>
                    <xdr:rowOff>28800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4" r:id="rId6" name="">
              <controlPr defaultSize="0" locked="1" autoFill="0" autoLine="0" autoPict="0" print="true" altText="Check Box 6">
                <anchor moveWithCells="true" sizeWithCells="false">
                  <from>
                    <xdr:col>5</xdr:col>
                    <xdr:colOff>177840</xdr:colOff>
                    <xdr:row>41</xdr:row>
                    <xdr:rowOff>169920</xdr:rowOff>
                  </from>
                  <to>
                    <xdr:col>9</xdr:col>
                    <xdr:colOff>178920</xdr:colOff>
                    <xdr:row>43</xdr:row>
                    <xdr:rowOff>28800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5" r:id="rId7" name="">
              <controlPr defaultSize="0" locked="1" autoFill="0" autoLine="0" autoPict="0" print="true" altText="Check Box 7">
                <anchor moveWithCells="true" sizeWithCells="false">
                  <from>
                    <xdr:col>5</xdr:col>
                    <xdr:colOff>177840</xdr:colOff>
                    <xdr:row>42</xdr:row>
                    <xdr:rowOff>169920</xdr:rowOff>
                  </from>
                  <to>
                    <xdr:col>9</xdr:col>
                    <xdr:colOff>178920</xdr:colOff>
                    <xdr:row>44</xdr:row>
                    <xdr:rowOff>28800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6" r:id="rId8" name="">
              <controlPr defaultSize="0" locked="1" autoFill="0" autoLine="0" autoPict="0" print="true" altText="Check Box 8">
                <anchor moveWithCells="true" sizeWithCells="false">
                  <from>
                    <xdr:col>5</xdr:col>
                    <xdr:colOff>177840</xdr:colOff>
                    <xdr:row>43</xdr:row>
                    <xdr:rowOff>170280</xdr:rowOff>
                  </from>
                  <to>
                    <xdr:col>9</xdr:col>
                    <xdr:colOff>178920</xdr:colOff>
                    <xdr:row>45</xdr:row>
                    <xdr:rowOff>28800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7" r:id="rId9" name="">
              <controlPr defaultSize="0" locked="1" autoFill="0" autoLine="0" autoPict="0" print="true" altText="Check Box 9">
                <anchor moveWithCells="true" sizeWithCells="false">
                  <from>
                    <xdr:col>5</xdr:col>
                    <xdr:colOff>177840</xdr:colOff>
                    <xdr:row>44</xdr:row>
                    <xdr:rowOff>169920</xdr:rowOff>
                  </from>
                  <to>
                    <xdr:col>9</xdr:col>
                    <xdr:colOff>178920</xdr:colOff>
                    <xdr:row>46</xdr:row>
                    <xdr:rowOff>28800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8" r:id="rId10" name="">
              <controlPr defaultSize="0" locked="1" autoFill="0" autoLine="0" autoPict="0" print="true" altText="Check Box 10">
                <anchor moveWithCells="true" sizeWithCells="false">
                  <from>
                    <xdr:col>5</xdr:col>
                    <xdr:colOff>177840</xdr:colOff>
                    <xdr:row>45</xdr:row>
                    <xdr:rowOff>169920</xdr:rowOff>
                  </from>
                  <to>
                    <xdr:col>9</xdr:col>
                    <xdr:colOff>178920</xdr:colOff>
                    <xdr:row>47</xdr:row>
                    <xdr:rowOff>28800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9" r:id="rId11" name="">
              <controlPr defaultSize="0" locked="1" autoFill="0" autoLine="0" autoPict="0" print="true" altText="Check Box 11">
                <anchor moveWithCells="true" sizeWithCells="false">
                  <from>
                    <xdr:col>17</xdr:col>
                    <xdr:colOff>177840</xdr:colOff>
                    <xdr:row>41</xdr:row>
                    <xdr:rowOff>169920</xdr:rowOff>
                  </from>
                  <to>
                    <xdr:col>21</xdr:col>
                    <xdr:colOff>178920</xdr:colOff>
                    <xdr:row>43</xdr:row>
                    <xdr:rowOff>28800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0" r:id="rId12" name="">
              <controlPr defaultSize="0" locked="1" autoFill="0" autoLine="0" autoPict="0" print="true" altText="Check Box 12">
                <anchor moveWithCells="true" sizeWithCells="false">
                  <from>
                    <xdr:col>17</xdr:col>
                    <xdr:colOff>177840</xdr:colOff>
                    <xdr:row>38</xdr:row>
                    <xdr:rowOff>169920</xdr:rowOff>
                  </from>
                  <to>
                    <xdr:col>21</xdr:col>
                    <xdr:colOff>178920</xdr:colOff>
                    <xdr:row>40</xdr:row>
                    <xdr:rowOff>28800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1" r:id="rId13" name="">
              <controlPr defaultSize="0" locked="1" autoFill="0" autoLine="0" autoPict="0" print="true" altText="Check Box 13">
                <anchor moveWithCells="true" sizeWithCells="false">
                  <from>
                    <xdr:col>17</xdr:col>
                    <xdr:colOff>177840</xdr:colOff>
                    <xdr:row>39</xdr:row>
                    <xdr:rowOff>170280</xdr:rowOff>
                  </from>
                  <to>
                    <xdr:col>21</xdr:col>
                    <xdr:colOff>178920</xdr:colOff>
                    <xdr:row>41</xdr:row>
                    <xdr:rowOff>28800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2" r:id="rId14" name="">
              <controlPr defaultSize="0" locked="1" autoFill="0" autoLine="0" autoPict="0" print="true" altText="Check Box 14">
                <anchor moveWithCells="true" sizeWithCells="false">
                  <from>
                    <xdr:col>17</xdr:col>
                    <xdr:colOff>177840</xdr:colOff>
                    <xdr:row>40</xdr:row>
                    <xdr:rowOff>169920</xdr:rowOff>
                  </from>
                  <to>
                    <xdr:col>21</xdr:col>
                    <xdr:colOff>178920</xdr:colOff>
                    <xdr:row>42</xdr:row>
                    <xdr:rowOff>28800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3" r:id="rId15" name="">
              <controlPr defaultSize="0" locked="1" autoFill="0" autoLine="0" autoPict="0" print="true" altText="Check Box 15">
                <anchor moveWithCells="true" sizeWithCells="false">
                  <from>
                    <xdr:col>17</xdr:col>
                    <xdr:colOff>177840</xdr:colOff>
                    <xdr:row>43</xdr:row>
                    <xdr:rowOff>170280</xdr:rowOff>
                  </from>
                  <to>
                    <xdr:col>21</xdr:col>
                    <xdr:colOff>178920</xdr:colOff>
                    <xdr:row>45</xdr:row>
                    <xdr:rowOff>28800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4" r:id="rId16" name="">
              <controlPr defaultSize="0" locked="1" autoFill="0" autoLine="0" autoPict="0" print="true" altText="Check Box 16">
                <anchor moveWithCells="true" sizeWithCells="false">
                  <from>
                    <xdr:col>17</xdr:col>
                    <xdr:colOff>177840</xdr:colOff>
                    <xdr:row>44</xdr:row>
                    <xdr:rowOff>169920</xdr:rowOff>
                  </from>
                  <to>
                    <xdr:col>21</xdr:col>
                    <xdr:colOff>178920</xdr:colOff>
                    <xdr:row>46</xdr:row>
                    <xdr:rowOff>28800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5" r:id="rId17" name="">
              <controlPr defaultSize="0" locked="1" autoFill="0" autoLine="0" autoPict="0" print="true" altText="Check Box 17">
                <anchor moveWithCells="true" sizeWithCells="false">
                  <from>
                    <xdr:col>17</xdr:col>
                    <xdr:colOff>177840</xdr:colOff>
                    <xdr:row>45</xdr:row>
                    <xdr:rowOff>169920</xdr:rowOff>
                  </from>
                  <to>
                    <xdr:col>21</xdr:col>
                    <xdr:colOff>178920</xdr:colOff>
                    <xdr:row>47</xdr:row>
                    <xdr:rowOff>28800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6" r:id="rId18" name="">
              <controlPr defaultSize="0" locked="1" autoFill="0" autoLine="0" autoPict="0" print="true" altText="Check Box 18">
                <anchor moveWithCells="true" sizeWithCells="false">
                  <from>
                    <xdr:col>29</xdr:col>
                    <xdr:colOff>177840</xdr:colOff>
                    <xdr:row>38</xdr:row>
                    <xdr:rowOff>169920</xdr:rowOff>
                  </from>
                  <to>
                    <xdr:col>33</xdr:col>
                    <xdr:colOff>178920</xdr:colOff>
                    <xdr:row>40</xdr:row>
                    <xdr:rowOff>28800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7" r:id="rId19" name="">
              <controlPr defaultSize="0" locked="1" autoFill="0" autoLine="0" autoPict="0" print="true" altText="Check Box 19">
                <anchor moveWithCells="true" sizeWithCells="false">
                  <from>
                    <xdr:col>29</xdr:col>
                    <xdr:colOff>177840</xdr:colOff>
                    <xdr:row>44</xdr:row>
                    <xdr:rowOff>169920</xdr:rowOff>
                  </from>
                  <to>
                    <xdr:col>33</xdr:col>
                    <xdr:colOff>178920</xdr:colOff>
                    <xdr:row>46</xdr:row>
                    <xdr:rowOff>28800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8" r:id="rId20" name="">
              <controlPr defaultSize="0" locked="1" autoFill="0" autoLine="0" autoPict="0" print="true" altText="Check Box 20">
                <anchor moveWithCells="true" sizeWithCells="false">
                  <from>
                    <xdr:col>5</xdr:col>
                    <xdr:colOff>177840</xdr:colOff>
                    <xdr:row>36</xdr:row>
                    <xdr:rowOff>28800</xdr:rowOff>
                  </from>
                  <to>
                    <xdr:col>9</xdr:col>
                    <xdr:colOff>178920</xdr:colOff>
                    <xdr:row>38</xdr:row>
                    <xdr:rowOff>21600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9" r:id="rId21" name="">
              <controlPr defaultSize="0" locked="1" autoFill="0" autoLine="0" autoPict="0" print="true" altText="Check Box 21">
                <anchor moveWithCells="true" sizeWithCells="false">
                  <from>
                    <xdr:col>5</xdr:col>
                    <xdr:colOff>177840</xdr:colOff>
                    <xdr:row>37</xdr:row>
                    <xdr:rowOff>169920</xdr:rowOff>
                  </from>
                  <to>
                    <xdr:col>9</xdr:col>
                    <xdr:colOff>178920</xdr:colOff>
                    <xdr:row>39</xdr:row>
                    <xdr:rowOff>28800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0" r:id="rId22" name="">
              <controlPr defaultSize="0" locked="1" autoFill="0" autoLine="0" autoPict="0" print="true" altText="Check Box 22">
                <anchor moveWithCells="true" sizeWithCells="false">
                  <from>
                    <xdr:col>11</xdr:col>
                    <xdr:colOff>177480</xdr:colOff>
                    <xdr:row>36</xdr:row>
                    <xdr:rowOff>36000</xdr:rowOff>
                  </from>
                  <to>
                    <xdr:col>15</xdr:col>
                    <xdr:colOff>179280</xdr:colOff>
                    <xdr:row>38</xdr:row>
                    <xdr:rowOff>28800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1" r:id="rId23" name="">
              <controlPr defaultSize="0" locked="1" autoFill="0" autoLine="0" autoPict="0" print="true" altText="Check Box 23">
                <anchor moveWithCells="true" sizeWithCells="false">
                  <from>
                    <xdr:col>19</xdr:col>
                    <xdr:colOff>177480</xdr:colOff>
                    <xdr:row>37</xdr:row>
                    <xdr:rowOff>169920</xdr:rowOff>
                  </from>
                  <to>
                    <xdr:col>23</xdr:col>
                    <xdr:colOff>178920</xdr:colOff>
                    <xdr:row>39</xdr:row>
                    <xdr:rowOff>28800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2" r:id="rId24" name="">
              <controlPr defaultSize="0" locked="1" autoFill="0" autoLine="0" autoPict="0" print="true" altText="Check Box 24">
                <anchor moveWithCells="true" sizeWithCells="false">
                  <from>
                    <xdr:col>0</xdr:col>
                    <xdr:colOff>0</xdr:colOff>
                    <xdr:row>15</xdr:row>
                    <xdr:rowOff>36000</xdr:rowOff>
                  </from>
                  <to>
                    <xdr:col>4</xdr:col>
                    <xdr:colOff>7200</xdr:colOff>
                    <xdr:row>17</xdr:row>
                    <xdr:rowOff>28800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3" r:id="rId25" name="">
              <controlPr defaultSize="0" locked="1" autoFill="0" autoLine="0" autoPict="0" print="true" altText="Check Box 25">
                <anchor moveWithCells="true" sizeWithCells="false">
                  <from>
                    <xdr:col>0</xdr:col>
                    <xdr:colOff>0</xdr:colOff>
                    <xdr:row>16</xdr:row>
                    <xdr:rowOff>170280</xdr:rowOff>
                  </from>
                  <to>
                    <xdr:col>4</xdr:col>
                    <xdr:colOff>7200</xdr:colOff>
                    <xdr:row>18</xdr:row>
                    <xdr:rowOff>28800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" r:id="rId26" name="">
              <controlPr defaultSize="0" locked="1" autoFill="0" autoLine="0" autoPict="0" print="true" altText="Check Box 26">
                <anchor moveWithCells="true" sizeWithCells="false">
                  <from>
                    <xdr:col>7</xdr:col>
                    <xdr:colOff>177480</xdr:colOff>
                    <xdr:row>16</xdr:row>
                    <xdr:rowOff>170280</xdr:rowOff>
                  </from>
                  <to>
                    <xdr:col>11</xdr:col>
                    <xdr:colOff>178920</xdr:colOff>
                    <xdr:row>18</xdr:row>
                    <xdr:rowOff>28800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" r:id="rId27" name="">
              <controlPr defaultSize="0" locked="1" autoFill="0" autoLine="0" autoPict="0" print="true" altText="Check Box 27">
                <anchor moveWithCells="true" sizeWithCells="false">
                  <from>
                    <xdr:col>7</xdr:col>
                    <xdr:colOff>177480</xdr:colOff>
                    <xdr:row>15</xdr:row>
                    <xdr:rowOff>28800</xdr:rowOff>
                  </from>
                  <to>
                    <xdr:col>11</xdr:col>
                    <xdr:colOff>178920</xdr:colOff>
                    <xdr:row>17</xdr:row>
                    <xdr:rowOff>21600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28" name="">
              <controlPr defaultSize="0" locked="1" autoFill="0" autoLine="0" autoPict="0" print="true" altText="Check Box 28">
                <anchor moveWithCells="true" sizeWithCells="false">
                  <from>
                    <xdr:col>15</xdr:col>
                    <xdr:colOff>177840</xdr:colOff>
                    <xdr:row>16</xdr:row>
                    <xdr:rowOff>170280</xdr:rowOff>
                  </from>
                  <to>
                    <xdr:col>19</xdr:col>
                    <xdr:colOff>178920</xdr:colOff>
                    <xdr:row>18</xdr:row>
                    <xdr:rowOff>28800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29" name="">
              <controlPr defaultSize="0" locked="1" autoFill="0" autoLine="0" autoPict="0" print="true" altText="Check Box 29">
                <anchor moveWithCells="true" sizeWithCells="false">
                  <from>
                    <xdr:col>15</xdr:col>
                    <xdr:colOff>177840</xdr:colOff>
                    <xdr:row>15</xdr:row>
                    <xdr:rowOff>28800</xdr:rowOff>
                  </from>
                  <to>
                    <xdr:col>19</xdr:col>
                    <xdr:colOff>178920</xdr:colOff>
                    <xdr:row>17</xdr:row>
                    <xdr:rowOff>21600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30" name="">
              <controlPr defaultSize="0" locked="1" autoFill="0" autoLine="0" autoPict="0" print="true" altText="Check Box 30">
                <anchor moveWithCells="true" sizeWithCells="false">
                  <from>
                    <xdr:col>24</xdr:col>
                    <xdr:colOff>177480</xdr:colOff>
                    <xdr:row>16</xdr:row>
                    <xdr:rowOff>170280</xdr:rowOff>
                  </from>
                  <to>
                    <xdr:col>28</xdr:col>
                    <xdr:colOff>178920</xdr:colOff>
                    <xdr:row>18</xdr:row>
                    <xdr:rowOff>28800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31" name="">
              <controlPr defaultSize="0" locked="1" autoFill="0" autoLine="0" autoPict="0" print="true" altText="Check Box 31">
                <anchor moveWithCells="true" sizeWithCells="false">
                  <from>
                    <xdr:col>24</xdr:col>
                    <xdr:colOff>177480</xdr:colOff>
                    <xdr:row>15</xdr:row>
                    <xdr:rowOff>28800</xdr:rowOff>
                  </from>
                  <to>
                    <xdr:col>28</xdr:col>
                    <xdr:colOff>178920</xdr:colOff>
                    <xdr:row>17</xdr:row>
                    <xdr:rowOff>21600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32" name="">
              <controlPr defaultSize="0" locked="1" autoFill="0" autoLine="0" autoPict="0" print="true" altText="Check Box 32">
                <anchor moveWithCells="true" sizeWithCells="false">
                  <from>
                    <xdr:col>32</xdr:col>
                    <xdr:colOff>177840</xdr:colOff>
                    <xdr:row>16</xdr:row>
                    <xdr:rowOff>170280</xdr:rowOff>
                  </from>
                  <to>
                    <xdr:col>36</xdr:col>
                    <xdr:colOff>178920</xdr:colOff>
                    <xdr:row>18</xdr:row>
                    <xdr:rowOff>28800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33" name="">
              <controlPr defaultSize="0" locked="1" autoFill="0" autoLine="0" autoPict="0" print="true" altText="Check Box 33">
                <anchor moveWithCells="true" sizeWithCells="false">
                  <from>
                    <xdr:col>32</xdr:col>
                    <xdr:colOff>177840</xdr:colOff>
                    <xdr:row>15</xdr:row>
                    <xdr:rowOff>28800</xdr:rowOff>
                  </from>
                  <to>
                    <xdr:col>36</xdr:col>
                    <xdr:colOff>178920</xdr:colOff>
                    <xdr:row>17</xdr:row>
                    <xdr:rowOff>21600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34" name="">
              <controlPr defaultSize="0" locked="1" autoFill="0" autoLine="0" autoPict="0" print="true" altText="Check Box 34">
                <anchor moveWithCells="true" sizeWithCells="false">
                  <from>
                    <xdr:col>22</xdr:col>
                    <xdr:colOff>21600</xdr:colOff>
                    <xdr:row>24</xdr:row>
                    <xdr:rowOff>36000</xdr:rowOff>
                  </from>
                  <to>
                    <xdr:col>26</xdr:col>
                    <xdr:colOff>28800</xdr:colOff>
                    <xdr:row>26</xdr:row>
                    <xdr:rowOff>28800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35" name="">
              <controlPr defaultSize="0" locked="1" autoFill="0" autoLine="0" autoPict="0" print="true" altText="Check Box 35">
                <anchor moveWithCells="true" sizeWithCells="false">
                  <from>
                    <xdr:col>25</xdr:col>
                    <xdr:colOff>177840</xdr:colOff>
                    <xdr:row>24</xdr:row>
                    <xdr:rowOff>36000</xdr:rowOff>
                  </from>
                  <to>
                    <xdr:col>29</xdr:col>
                    <xdr:colOff>179280</xdr:colOff>
                    <xdr:row>26</xdr:row>
                    <xdr:rowOff>28800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4.25" customHeight="false" zeroHeight="false" outlineLevelRow="0" outlineLevelCol="0"/>
  <sheetData>
    <row r="1" customFormat="false" ht="17.35" hidden="false" customHeight="false" outlineLevel="0" collapsed="false">
      <c r="A1" s="48" t="s">
        <v>71</v>
      </c>
      <c r="B1" s="48"/>
      <c r="C1" s="48"/>
      <c r="D1" s="48"/>
      <c r="E1" s="49"/>
      <c r="J1" s="50"/>
    </row>
    <row r="2" customFormat="false" ht="15" hidden="false" customHeight="false" outlineLevel="0" collapsed="false">
      <c r="A2" s="48"/>
      <c r="B2" s="51"/>
      <c r="C2" s="51"/>
      <c r="D2" s="51"/>
      <c r="E2" s="52"/>
    </row>
    <row r="3" customFormat="false" ht="14.25" hidden="false" customHeight="true" outlineLevel="0" collapsed="false">
      <c r="A3" s="53" t="s">
        <v>72</v>
      </c>
      <c r="B3" s="53"/>
      <c r="C3" s="54" t="s">
        <v>73</v>
      </c>
      <c r="D3" s="54"/>
      <c r="E3" s="52"/>
    </row>
    <row r="4" customFormat="false" ht="14.25" hidden="false" customHeight="false" outlineLevel="0" collapsed="false">
      <c r="A4" s="55" t="n">
        <v>-24</v>
      </c>
      <c r="B4" s="55"/>
      <c r="C4" s="55" t="n">
        <f aca="false">C5-0.014</f>
        <v>0.0539999999999999</v>
      </c>
      <c r="D4" s="55"/>
      <c r="E4" s="52"/>
    </row>
    <row r="5" customFormat="false" ht="14.25" hidden="false" customHeight="false" outlineLevel="0" collapsed="false">
      <c r="A5" s="55" t="n">
        <v>-23</v>
      </c>
      <c r="B5" s="55"/>
      <c r="C5" s="55" t="n">
        <f aca="false">C6-0.014</f>
        <v>0.0679999999999999</v>
      </c>
      <c r="D5" s="55"/>
      <c r="E5" s="52"/>
    </row>
    <row r="6" customFormat="false" ht="14.25" hidden="false" customHeight="false" outlineLevel="0" collapsed="false">
      <c r="A6" s="55" t="n">
        <v>-22</v>
      </c>
      <c r="B6" s="55"/>
      <c r="C6" s="55" t="n">
        <f aca="false">C7-0.014</f>
        <v>0.0819999999999999</v>
      </c>
      <c r="D6" s="55"/>
      <c r="E6" s="52"/>
    </row>
    <row r="7" customFormat="false" ht="14.25" hidden="false" customHeight="false" outlineLevel="0" collapsed="false">
      <c r="A7" s="55" t="n">
        <v>-21</v>
      </c>
      <c r="B7" s="55"/>
      <c r="C7" s="55" t="n">
        <f aca="false">C8-0.014</f>
        <v>0.0959999999999999</v>
      </c>
      <c r="D7" s="55"/>
      <c r="E7" s="52"/>
    </row>
    <row r="8" customFormat="false" ht="14.25" hidden="false" customHeight="false" outlineLevel="0" collapsed="false">
      <c r="A8" s="55" t="n">
        <v>-20</v>
      </c>
      <c r="B8" s="55"/>
      <c r="C8" s="55" t="n">
        <f aca="false">C9-0.014</f>
        <v>0.11</v>
      </c>
      <c r="D8" s="55"/>
      <c r="E8" s="52"/>
    </row>
    <row r="9" customFormat="false" ht="14.25" hidden="false" customHeight="false" outlineLevel="0" collapsed="false">
      <c r="A9" s="55" t="n">
        <v>-19</v>
      </c>
      <c r="B9" s="55"/>
      <c r="C9" s="55" t="n">
        <f aca="false">C10-0.014</f>
        <v>0.124</v>
      </c>
      <c r="D9" s="55"/>
      <c r="E9" s="52"/>
    </row>
    <row r="10" customFormat="false" ht="14.25" hidden="false" customHeight="false" outlineLevel="0" collapsed="false">
      <c r="A10" s="55" t="n">
        <v>-18</v>
      </c>
      <c r="B10" s="55"/>
      <c r="C10" s="55" t="n">
        <f aca="false">C11-0.014</f>
        <v>0.138</v>
      </c>
      <c r="D10" s="55"/>
      <c r="E10" s="52"/>
    </row>
    <row r="11" customFormat="false" ht="14.25" hidden="false" customHeight="false" outlineLevel="0" collapsed="false">
      <c r="A11" s="55" t="n">
        <v>-17</v>
      </c>
      <c r="B11" s="55"/>
      <c r="C11" s="55" t="n">
        <f aca="false">C12-0.014</f>
        <v>0.152</v>
      </c>
      <c r="D11" s="55"/>
      <c r="E11" s="52"/>
    </row>
    <row r="12" customFormat="false" ht="14.25" hidden="false" customHeight="false" outlineLevel="0" collapsed="false">
      <c r="A12" s="55" t="n">
        <v>-16</v>
      </c>
      <c r="B12" s="55"/>
      <c r="C12" s="55" t="n">
        <f aca="false">C13-0.014</f>
        <v>0.166</v>
      </c>
      <c r="D12" s="55"/>
      <c r="E12" s="52"/>
    </row>
    <row r="13" customFormat="false" ht="14.25" hidden="false" customHeight="false" outlineLevel="0" collapsed="false">
      <c r="A13" s="55" t="n">
        <v>-15</v>
      </c>
      <c r="B13" s="55"/>
      <c r="C13" s="55" t="n">
        <f aca="false">C14-0.014</f>
        <v>0.18</v>
      </c>
      <c r="D13" s="55"/>
      <c r="E13" s="52"/>
    </row>
    <row r="14" customFormat="false" ht="14.25" hidden="false" customHeight="false" outlineLevel="0" collapsed="false">
      <c r="A14" s="55" t="n">
        <v>-14</v>
      </c>
      <c r="B14" s="55"/>
      <c r="C14" s="55" t="n">
        <f aca="false">C15-0.014</f>
        <v>0.194</v>
      </c>
      <c r="D14" s="55"/>
      <c r="E14" s="52"/>
    </row>
    <row r="15" customFormat="false" ht="14.25" hidden="false" customHeight="false" outlineLevel="0" collapsed="false">
      <c r="A15" s="55" t="n">
        <v>-13</v>
      </c>
      <c r="B15" s="55"/>
      <c r="C15" s="55" t="n">
        <f aca="false">C16-0.014</f>
        <v>0.208</v>
      </c>
      <c r="D15" s="55"/>
      <c r="E15" s="52"/>
    </row>
    <row r="16" customFormat="false" ht="14.25" hidden="false" customHeight="false" outlineLevel="0" collapsed="false">
      <c r="A16" s="55" t="n">
        <v>-12</v>
      </c>
      <c r="B16" s="55"/>
      <c r="C16" s="55" t="n">
        <f aca="false">C17-0.014</f>
        <v>0.222</v>
      </c>
      <c r="D16" s="55"/>
      <c r="E16" s="52"/>
    </row>
    <row r="17" customFormat="false" ht="14.25" hidden="false" customHeight="false" outlineLevel="0" collapsed="false">
      <c r="A17" s="55" t="n">
        <v>-11</v>
      </c>
      <c r="B17" s="55"/>
      <c r="C17" s="55" t="n">
        <f aca="false">C18-0.014</f>
        <v>0.236</v>
      </c>
      <c r="D17" s="55"/>
      <c r="E17" s="52"/>
    </row>
    <row r="18" customFormat="false" ht="14.25" hidden="false" customHeight="false" outlineLevel="0" collapsed="false">
      <c r="A18" s="55" t="n">
        <v>-10</v>
      </c>
      <c r="B18" s="55"/>
      <c r="C18" s="55" t="n">
        <v>0.25</v>
      </c>
      <c r="D18" s="55"/>
      <c r="E18" s="52"/>
    </row>
    <row r="19" customFormat="false" ht="14.25" hidden="false" customHeight="false" outlineLevel="0" collapsed="false">
      <c r="A19" s="55" t="n">
        <v>-9</v>
      </c>
      <c r="B19" s="55"/>
      <c r="C19" s="56" t="n">
        <f aca="false">C18+0.014</f>
        <v>0.264</v>
      </c>
      <c r="D19" s="56"/>
      <c r="E19" s="52"/>
    </row>
    <row r="20" customFormat="false" ht="14.25" hidden="false" customHeight="false" outlineLevel="0" collapsed="false">
      <c r="A20" s="55" t="n">
        <v>-8</v>
      </c>
      <c r="B20" s="55"/>
      <c r="C20" s="56" t="n">
        <f aca="false">C19+0.014</f>
        <v>0.278</v>
      </c>
      <c r="D20" s="56"/>
      <c r="E20" s="52"/>
    </row>
    <row r="21" customFormat="false" ht="14.25" hidden="false" customHeight="false" outlineLevel="0" collapsed="false">
      <c r="A21" s="55" t="n">
        <v>-7</v>
      </c>
      <c r="B21" s="55"/>
      <c r="C21" s="56" t="n">
        <f aca="false">C20+0.014</f>
        <v>0.292</v>
      </c>
      <c r="D21" s="56"/>
      <c r="E21" s="52"/>
    </row>
    <row r="22" customFormat="false" ht="14.25" hidden="false" customHeight="false" outlineLevel="0" collapsed="false">
      <c r="A22" s="55" t="n">
        <v>-6</v>
      </c>
      <c r="B22" s="55"/>
      <c r="C22" s="56" t="n">
        <f aca="false">C21+0.014</f>
        <v>0.306</v>
      </c>
      <c r="D22" s="56"/>
      <c r="E22" s="52"/>
    </row>
    <row r="23" customFormat="false" ht="14.25" hidden="false" customHeight="false" outlineLevel="0" collapsed="false">
      <c r="A23" s="55" t="n">
        <v>-5</v>
      </c>
      <c r="B23" s="55"/>
      <c r="C23" s="56" t="n">
        <v>0.32</v>
      </c>
      <c r="D23" s="56"/>
      <c r="E23" s="52"/>
    </row>
    <row r="24" customFormat="false" ht="14.25" hidden="false" customHeight="false" outlineLevel="0" collapsed="false">
      <c r="A24" s="55" t="n">
        <v>-4</v>
      </c>
      <c r="B24" s="55"/>
      <c r="C24" s="56" t="n">
        <f aca="false">C23+0.016</f>
        <v>0.336</v>
      </c>
      <c r="D24" s="56"/>
      <c r="E24" s="52"/>
    </row>
    <row r="25" customFormat="false" ht="14.25" hidden="false" customHeight="false" outlineLevel="0" collapsed="false">
      <c r="A25" s="55" t="n">
        <v>-3</v>
      </c>
      <c r="B25" s="55"/>
      <c r="C25" s="56" t="n">
        <f aca="false">C24+0.016</f>
        <v>0.352</v>
      </c>
      <c r="D25" s="56"/>
      <c r="E25" s="52"/>
    </row>
    <row r="26" customFormat="false" ht="14.25" hidden="false" customHeight="false" outlineLevel="0" collapsed="false">
      <c r="A26" s="55" t="n">
        <v>-2</v>
      </c>
      <c r="B26" s="55"/>
      <c r="C26" s="56" t="n">
        <f aca="false">C25+0.016</f>
        <v>0.368</v>
      </c>
      <c r="D26" s="56"/>
      <c r="E26" s="52"/>
    </row>
    <row r="27" customFormat="false" ht="14.25" hidden="false" customHeight="false" outlineLevel="0" collapsed="false">
      <c r="A27" s="55" t="n">
        <v>-1</v>
      </c>
      <c r="B27" s="55"/>
      <c r="C27" s="56" t="n">
        <f aca="false">C26+0.016</f>
        <v>0.384</v>
      </c>
      <c r="D27" s="56"/>
      <c r="E27" s="52"/>
    </row>
    <row r="28" customFormat="false" ht="14.25" hidden="false" customHeight="false" outlineLevel="0" collapsed="false">
      <c r="A28" s="55" t="n">
        <v>0</v>
      </c>
      <c r="B28" s="55"/>
      <c r="C28" s="56" t="n">
        <v>0.4</v>
      </c>
      <c r="D28" s="56"/>
      <c r="E28" s="52"/>
    </row>
    <row r="29" customFormat="false" ht="14.25" hidden="false" customHeight="false" outlineLevel="0" collapsed="false">
      <c r="A29" s="55" t="n">
        <v>1</v>
      </c>
      <c r="B29" s="55"/>
      <c r="C29" s="56" t="n">
        <v>0.42</v>
      </c>
      <c r="D29" s="56"/>
      <c r="E29" s="52"/>
    </row>
    <row r="30" customFormat="false" ht="14.25" hidden="false" customHeight="false" outlineLevel="0" collapsed="false">
      <c r="A30" s="55" t="n">
        <v>2</v>
      </c>
      <c r="B30" s="55"/>
      <c r="C30" s="56" t="n">
        <v>0.44</v>
      </c>
      <c r="D30" s="56"/>
      <c r="E30" s="52"/>
    </row>
    <row r="31" customFormat="false" ht="14.25" hidden="false" customHeight="false" outlineLevel="0" collapsed="false">
      <c r="A31" s="55" t="n">
        <v>3</v>
      </c>
      <c r="B31" s="55"/>
      <c r="C31" s="56" t="n">
        <v>0.46</v>
      </c>
      <c r="D31" s="56"/>
      <c r="E31" s="52"/>
    </row>
    <row r="32" customFormat="false" ht="14.25" hidden="false" customHeight="false" outlineLevel="0" collapsed="false">
      <c r="A32" s="55" t="n">
        <v>4</v>
      </c>
      <c r="B32" s="55"/>
      <c r="C32" s="56" t="n">
        <v>0.48</v>
      </c>
      <c r="D32" s="56"/>
      <c r="E32" s="52"/>
    </row>
    <row r="33" customFormat="false" ht="14.25" hidden="false" customHeight="false" outlineLevel="0" collapsed="false">
      <c r="A33" s="55" t="n">
        <v>5</v>
      </c>
      <c r="B33" s="55"/>
      <c r="C33" s="56" t="n">
        <v>0.5</v>
      </c>
      <c r="D33" s="56"/>
      <c r="E33" s="52"/>
    </row>
    <row r="34" customFormat="false" ht="14.25" hidden="false" customHeight="false" outlineLevel="0" collapsed="false">
      <c r="A34" s="55" t="n">
        <v>6</v>
      </c>
      <c r="B34" s="55"/>
      <c r="C34" s="56" t="n">
        <v>0.526</v>
      </c>
      <c r="D34" s="56"/>
      <c r="E34" s="52"/>
    </row>
    <row r="35" customFormat="false" ht="14.25" hidden="false" customHeight="false" outlineLevel="0" collapsed="false">
      <c r="A35" s="55" t="n">
        <v>7</v>
      </c>
      <c r="B35" s="55"/>
      <c r="C35" s="56" t="n">
        <f aca="false">C34+0.026</f>
        <v>0.552</v>
      </c>
      <c r="D35" s="56"/>
      <c r="E35" s="52"/>
    </row>
    <row r="36" customFormat="false" ht="14.25" hidden="false" customHeight="false" outlineLevel="0" collapsed="false">
      <c r="A36" s="55" t="n">
        <v>8</v>
      </c>
      <c r="B36" s="55"/>
      <c r="C36" s="56" t="n">
        <f aca="false">C35+0.026</f>
        <v>0.578</v>
      </c>
      <c r="D36" s="56"/>
      <c r="E36" s="52"/>
    </row>
    <row r="37" customFormat="false" ht="14.25" hidden="false" customHeight="false" outlineLevel="0" collapsed="false">
      <c r="A37" s="55" t="n">
        <v>9</v>
      </c>
      <c r="B37" s="55"/>
      <c r="C37" s="56" t="n">
        <f aca="false">C36+0.026</f>
        <v>0.604</v>
      </c>
      <c r="D37" s="56"/>
      <c r="E37" s="52"/>
    </row>
    <row r="38" customFormat="false" ht="14.25" hidden="false" customHeight="false" outlineLevel="0" collapsed="false">
      <c r="A38" s="55" t="n">
        <v>10</v>
      </c>
      <c r="B38" s="55"/>
      <c r="C38" s="56" t="n">
        <v>0.63</v>
      </c>
      <c r="D38" s="56"/>
      <c r="E38" s="52"/>
    </row>
    <row r="39" customFormat="false" ht="14.25" hidden="false" customHeight="false" outlineLevel="0" collapsed="false">
      <c r="A39" s="55" t="n">
        <v>11</v>
      </c>
      <c r="B39" s="55"/>
      <c r="C39" s="56" t="n">
        <f aca="false">C38+0.036</f>
        <v>0.666</v>
      </c>
      <c r="D39" s="56"/>
      <c r="E39" s="52"/>
    </row>
    <row r="40" customFormat="false" ht="14.25" hidden="false" customHeight="false" outlineLevel="0" collapsed="false">
      <c r="A40" s="55" t="n">
        <v>12</v>
      </c>
      <c r="B40" s="55"/>
      <c r="C40" s="56" t="n">
        <f aca="false">C39+0.036</f>
        <v>0.702</v>
      </c>
      <c r="D40" s="56"/>
      <c r="E40" s="52"/>
    </row>
    <row r="41" customFormat="false" ht="14.25" hidden="false" customHeight="false" outlineLevel="0" collapsed="false">
      <c r="A41" s="55" t="n">
        <v>13</v>
      </c>
      <c r="B41" s="55"/>
      <c r="C41" s="56" t="n">
        <f aca="false">C40+0.036</f>
        <v>0.738</v>
      </c>
      <c r="D41" s="56"/>
      <c r="E41" s="52"/>
    </row>
    <row r="42" customFormat="false" ht="14.25" hidden="false" customHeight="false" outlineLevel="0" collapsed="false">
      <c r="A42" s="55" t="n">
        <v>14</v>
      </c>
      <c r="B42" s="55"/>
      <c r="C42" s="56" t="n">
        <f aca="false">C41+0.036</f>
        <v>0.774</v>
      </c>
      <c r="D42" s="56"/>
      <c r="E42" s="52"/>
    </row>
    <row r="43" customFormat="false" ht="14.25" hidden="false" customHeight="false" outlineLevel="0" collapsed="false">
      <c r="A43" s="55" t="n">
        <v>15</v>
      </c>
      <c r="B43" s="55"/>
      <c r="C43" s="56" t="n">
        <v>0.81</v>
      </c>
      <c r="D43" s="56"/>
      <c r="E43" s="52"/>
    </row>
    <row r="44" customFormat="false" ht="14.25" hidden="false" customHeight="false" outlineLevel="0" collapsed="false">
      <c r="A44" s="55" t="n">
        <v>16</v>
      </c>
      <c r="B44" s="55"/>
      <c r="C44" s="56" t="n">
        <f aca="false">C43+0.038</f>
        <v>0.848</v>
      </c>
      <c r="D44" s="56"/>
      <c r="E44" s="52"/>
    </row>
    <row r="45" customFormat="false" ht="14.25" hidden="false" customHeight="false" outlineLevel="0" collapsed="false">
      <c r="A45" s="55" t="n">
        <v>17</v>
      </c>
      <c r="B45" s="55"/>
      <c r="C45" s="56" t="n">
        <f aca="false">C44+0.038</f>
        <v>0.886</v>
      </c>
      <c r="D45" s="56"/>
      <c r="E45" s="52"/>
    </row>
    <row r="46" customFormat="false" ht="14.25" hidden="false" customHeight="false" outlineLevel="0" collapsed="false">
      <c r="A46" s="55" t="n">
        <v>18</v>
      </c>
      <c r="B46" s="55"/>
      <c r="C46" s="56" t="n">
        <f aca="false">C45+0.038</f>
        <v>0.924</v>
      </c>
      <c r="D46" s="56"/>
      <c r="E46" s="52"/>
    </row>
    <row r="47" customFormat="false" ht="14.25" hidden="false" customHeight="false" outlineLevel="0" collapsed="false">
      <c r="A47" s="55" t="n">
        <v>19</v>
      </c>
      <c r="B47" s="55"/>
      <c r="C47" s="56" t="n">
        <f aca="false">C46+0.038</f>
        <v>0.962</v>
      </c>
      <c r="D47" s="56"/>
      <c r="E47" s="52"/>
    </row>
    <row r="48" customFormat="false" ht="14.25" hidden="false" customHeight="false" outlineLevel="0" collapsed="false">
      <c r="A48" s="55" t="n">
        <v>20</v>
      </c>
      <c r="B48" s="55"/>
      <c r="C48" s="56" t="n">
        <v>1</v>
      </c>
      <c r="D48" s="56"/>
      <c r="E48" s="52"/>
    </row>
    <row r="49" customFormat="false" ht="14.25" hidden="false" customHeight="false" outlineLevel="0" collapsed="false">
      <c r="A49" s="55" t="n">
        <v>21</v>
      </c>
      <c r="B49" s="55"/>
      <c r="C49" s="56" t="n">
        <v>1.05</v>
      </c>
      <c r="D49" s="56"/>
      <c r="E49" s="52"/>
    </row>
    <row r="50" customFormat="false" ht="14.25" hidden="false" customHeight="false" outlineLevel="0" collapsed="false">
      <c r="A50" s="55" t="n">
        <v>22</v>
      </c>
      <c r="B50" s="55"/>
      <c r="C50" s="56" t="n">
        <v>1.1</v>
      </c>
      <c r="D50" s="56"/>
      <c r="E50" s="52"/>
    </row>
    <row r="51" customFormat="false" ht="14.25" hidden="false" customHeight="false" outlineLevel="0" collapsed="false">
      <c r="A51" s="55" t="n">
        <v>23</v>
      </c>
      <c r="B51" s="55"/>
      <c r="C51" s="56" t="n">
        <v>1.15</v>
      </c>
      <c r="D51" s="56"/>
      <c r="E51" s="52"/>
    </row>
    <row r="52" customFormat="false" ht="14.25" hidden="false" customHeight="false" outlineLevel="0" collapsed="false">
      <c r="A52" s="55" t="n">
        <v>24</v>
      </c>
      <c r="B52" s="55"/>
      <c r="C52" s="56" t="n">
        <v>1.2</v>
      </c>
      <c r="D52" s="56"/>
      <c r="E52" s="52"/>
    </row>
    <row r="53" customFormat="false" ht="14.25" hidden="false" customHeight="false" outlineLevel="0" collapsed="false">
      <c r="A53" s="55" t="n">
        <v>25</v>
      </c>
      <c r="B53" s="55"/>
      <c r="C53" s="56" t="n">
        <v>1.25</v>
      </c>
      <c r="D53" s="56"/>
      <c r="E53" s="52"/>
    </row>
    <row r="54" customFormat="false" ht="14.25" hidden="false" customHeight="false" outlineLevel="0" collapsed="false">
      <c r="A54" s="55" t="n">
        <v>26</v>
      </c>
      <c r="B54" s="55"/>
      <c r="C54" s="56" t="n">
        <f aca="false">C53+0.066</f>
        <v>1.316</v>
      </c>
      <c r="D54" s="56"/>
      <c r="E54" s="52"/>
    </row>
    <row r="55" customFormat="false" ht="14.25" hidden="false" customHeight="false" outlineLevel="0" collapsed="false">
      <c r="A55" s="55" t="n">
        <v>27</v>
      </c>
      <c r="B55" s="55"/>
      <c r="C55" s="56" t="n">
        <f aca="false">C54+0.066</f>
        <v>1.382</v>
      </c>
      <c r="D55" s="56"/>
      <c r="E55" s="52"/>
    </row>
    <row r="56" customFormat="false" ht="14.25" hidden="false" customHeight="false" outlineLevel="0" collapsed="false">
      <c r="A56" s="55" t="n">
        <v>28</v>
      </c>
      <c r="B56" s="55"/>
      <c r="C56" s="56" t="n">
        <f aca="false">C55+0.066</f>
        <v>1.448</v>
      </c>
      <c r="D56" s="56"/>
      <c r="E56" s="52"/>
    </row>
    <row r="57" customFormat="false" ht="14.25" hidden="false" customHeight="false" outlineLevel="0" collapsed="false">
      <c r="A57" s="55" t="n">
        <v>29</v>
      </c>
      <c r="B57" s="55"/>
      <c r="C57" s="56" t="n">
        <f aca="false">C56+0.066</f>
        <v>1.514</v>
      </c>
      <c r="D57" s="56"/>
      <c r="E57" s="52"/>
    </row>
    <row r="58" customFormat="false" ht="14.25" hidden="false" customHeight="false" outlineLevel="0" collapsed="false">
      <c r="A58" s="55" t="n">
        <v>30</v>
      </c>
      <c r="B58" s="55"/>
      <c r="C58" s="56" t="n">
        <v>1.58</v>
      </c>
      <c r="D58" s="56"/>
      <c r="E58" s="52"/>
    </row>
    <row r="59" customFormat="false" ht="14.25" hidden="false" customHeight="false" outlineLevel="0" collapsed="false">
      <c r="A59" s="55" t="n">
        <v>31</v>
      </c>
      <c r="B59" s="55"/>
      <c r="C59" s="56" t="n">
        <f aca="false">C58+0.084</f>
        <v>1.664</v>
      </c>
      <c r="D59" s="56"/>
      <c r="E59" s="52"/>
    </row>
    <row r="60" customFormat="false" ht="14.25" hidden="false" customHeight="false" outlineLevel="0" collapsed="false">
      <c r="A60" s="55" t="n">
        <v>32</v>
      </c>
      <c r="B60" s="55"/>
      <c r="C60" s="56" t="n">
        <f aca="false">C59+0.084</f>
        <v>1.748</v>
      </c>
      <c r="D60" s="56"/>
      <c r="E60" s="52"/>
    </row>
    <row r="61" customFormat="false" ht="14.25" hidden="false" customHeight="false" outlineLevel="0" collapsed="false">
      <c r="A61" s="55" t="n">
        <v>33</v>
      </c>
      <c r="B61" s="55"/>
      <c r="C61" s="56" t="n">
        <f aca="false">C60+0.084</f>
        <v>1.832</v>
      </c>
      <c r="D61" s="56"/>
      <c r="E61" s="52"/>
    </row>
    <row r="62" customFormat="false" ht="14.25" hidden="false" customHeight="false" outlineLevel="0" collapsed="false">
      <c r="A62" s="55" t="n">
        <v>34</v>
      </c>
      <c r="B62" s="55"/>
      <c r="C62" s="56" t="n">
        <f aca="false">C61+0.04</f>
        <v>1.872</v>
      </c>
      <c r="D62" s="56"/>
      <c r="E62" s="52"/>
    </row>
    <row r="63" customFormat="false" ht="14.25" hidden="false" customHeight="false" outlineLevel="0" collapsed="false">
      <c r="A63" s="55" t="n">
        <v>35</v>
      </c>
      <c r="B63" s="55"/>
      <c r="C63" s="56" t="n">
        <v>2</v>
      </c>
      <c r="D63" s="56"/>
      <c r="E63" s="52"/>
    </row>
    <row r="64" customFormat="false" ht="14.25" hidden="false" customHeight="false" outlineLevel="0" collapsed="false">
      <c r="A64" s="55" t="n">
        <v>36</v>
      </c>
      <c r="B64" s="55"/>
      <c r="C64" s="56" t="n">
        <v>2.1</v>
      </c>
      <c r="D64" s="56"/>
      <c r="E64" s="52"/>
    </row>
    <row r="65" customFormat="false" ht="14.25" hidden="false" customHeight="false" outlineLevel="0" collapsed="false">
      <c r="A65" s="55" t="n">
        <v>37</v>
      </c>
      <c r="B65" s="55"/>
      <c r="C65" s="56" t="n">
        <v>2.2</v>
      </c>
      <c r="D65" s="56"/>
      <c r="E65" s="52"/>
    </row>
    <row r="66" customFormat="false" ht="14.25" hidden="false" customHeight="false" outlineLevel="0" collapsed="false">
      <c r="A66" s="55" t="n">
        <v>38</v>
      </c>
      <c r="B66" s="55"/>
      <c r="C66" s="56" t="n">
        <v>2.3</v>
      </c>
      <c r="D66" s="56"/>
      <c r="E66" s="52"/>
    </row>
    <row r="67" customFormat="false" ht="14.25" hidden="false" customHeight="false" outlineLevel="0" collapsed="false">
      <c r="A67" s="55" t="n">
        <v>39</v>
      </c>
      <c r="B67" s="55"/>
      <c r="C67" s="56" t="n">
        <v>2.4</v>
      </c>
      <c r="D67" s="56"/>
      <c r="E67" s="52"/>
    </row>
    <row r="68" customFormat="false" ht="14.25" hidden="false" customHeight="false" outlineLevel="0" collapsed="false">
      <c r="A68" s="55" t="n">
        <v>40</v>
      </c>
      <c r="B68" s="55"/>
      <c r="C68" s="56" t="n">
        <v>2.5</v>
      </c>
      <c r="D68" s="56"/>
      <c r="E68" s="52"/>
    </row>
    <row r="69" customFormat="false" ht="14.25" hidden="false" customHeight="false" outlineLevel="0" collapsed="false">
      <c r="A69" s="55" t="n">
        <v>41</v>
      </c>
      <c r="B69" s="55"/>
      <c r="C69" s="56" t="n">
        <f aca="false">C68+0.128</f>
        <v>2.628</v>
      </c>
      <c r="D69" s="56"/>
      <c r="E69" s="52"/>
    </row>
    <row r="70" customFormat="false" ht="14.25" hidden="false" customHeight="false" outlineLevel="0" collapsed="false">
      <c r="A70" s="55" t="n">
        <v>42</v>
      </c>
      <c r="B70" s="55"/>
      <c r="C70" s="56" t="n">
        <f aca="false">C69+0.128</f>
        <v>2.756</v>
      </c>
      <c r="D70" s="56"/>
      <c r="E70" s="52"/>
    </row>
    <row r="71" customFormat="false" ht="14.25" hidden="false" customHeight="false" outlineLevel="0" collapsed="false">
      <c r="A71" s="55" t="n">
        <v>43</v>
      </c>
      <c r="B71" s="55"/>
      <c r="C71" s="56" t="n">
        <f aca="false">C70+0.128</f>
        <v>2.884</v>
      </c>
      <c r="D71" s="56"/>
      <c r="E71" s="52"/>
    </row>
    <row r="72" customFormat="false" ht="14.25" hidden="false" customHeight="false" outlineLevel="0" collapsed="false">
      <c r="A72" s="55" t="n">
        <v>44</v>
      </c>
      <c r="B72" s="55"/>
      <c r="C72" s="56" t="n">
        <f aca="false">C71+0.128</f>
        <v>3.012</v>
      </c>
      <c r="D72" s="56"/>
      <c r="E72" s="52"/>
    </row>
    <row r="73" customFormat="false" ht="14.25" hidden="false" customHeight="false" outlineLevel="0" collapsed="false">
      <c r="A73" s="55" t="n">
        <v>45</v>
      </c>
      <c r="B73" s="55"/>
      <c r="C73" s="56" t="n">
        <v>3.15</v>
      </c>
      <c r="D73" s="56"/>
      <c r="E73" s="52"/>
    </row>
    <row r="74" customFormat="false" ht="14.25" hidden="false" customHeight="false" outlineLevel="0" collapsed="false">
      <c r="A74" s="55" t="n">
        <v>46</v>
      </c>
      <c r="B74" s="55"/>
      <c r="C74" s="56" t="n">
        <f aca="false">C73+0.166</f>
        <v>3.316</v>
      </c>
      <c r="D74" s="56"/>
      <c r="E74" s="52"/>
    </row>
    <row r="75" customFormat="false" ht="14.25" hidden="false" customHeight="false" outlineLevel="0" collapsed="false">
      <c r="A75" s="55" t="n">
        <v>47</v>
      </c>
      <c r="B75" s="55"/>
      <c r="C75" s="56" t="n">
        <f aca="false">C74+0.166</f>
        <v>3.482</v>
      </c>
      <c r="D75" s="56"/>
      <c r="E75" s="52"/>
    </row>
    <row r="76" customFormat="false" ht="14.25" hidden="false" customHeight="false" outlineLevel="0" collapsed="false">
      <c r="A76" s="55" t="n">
        <v>48</v>
      </c>
      <c r="B76" s="55"/>
      <c r="C76" s="56" t="n">
        <f aca="false">C75+0.166</f>
        <v>3.648</v>
      </c>
      <c r="D76" s="56"/>
      <c r="E76" s="52"/>
    </row>
    <row r="77" customFormat="false" ht="14.25" hidden="false" customHeight="false" outlineLevel="0" collapsed="false">
      <c r="A77" s="55" t="n">
        <v>49</v>
      </c>
      <c r="B77" s="55"/>
      <c r="C77" s="56" t="n">
        <f aca="false">C76+0.166</f>
        <v>3.814</v>
      </c>
      <c r="D77" s="56"/>
      <c r="E77" s="52"/>
    </row>
    <row r="78" customFormat="false" ht="14.25" hidden="false" customHeight="false" outlineLevel="0" collapsed="false">
      <c r="A78" s="55" t="n">
        <v>50</v>
      </c>
      <c r="B78" s="55"/>
      <c r="C78" s="56" t="n">
        <v>3.98</v>
      </c>
      <c r="D78" s="56"/>
      <c r="E78" s="52"/>
    </row>
    <row r="79" customFormat="false" ht="14.25" hidden="false" customHeight="false" outlineLevel="0" collapsed="false">
      <c r="A79" s="55" t="n">
        <v>51</v>
      </c>
      <c r="B79" s="55"/>
      <c r="C79" s="56" t="n">
        <f aca="false">C78+0.204</f>
        <v>4.184</v>
      </c>
      <c r="D79" s="56"/>
      <c r="E79" s="52"/>
    </row>
    <row r="80" customFormat="false" ht="14.25" hidden="false" customHeight="false" outlineLevel="0" collapsed="false">
      <c r="A80" s="55" t="n">
        <v>52</v>
      </c>
      <c r="B80" s="55"/>
      <c r="C80" s="56" t="n">
        <f aca="false">C79+0.204</f>
        <v>4.388</v>
      </c>
      <c r="D80" s="56"/>
      <c r="E80" s="52"/>
    </row>
    <row r="81" customFormat="false" ht="14.25" hidden="false" customHeight="false" outlineLevel="0" collapsed="false">
      <c r="A81" s="55" t="n">
        <v>53</v>
      </c>
      <c r="B81" s="55"/>
      <c r="C81" s="56" t="n">
        <f aca="false">C80+0.204</f>
        <v>4.592</v>
      </c>
      <c r="D81" s="56"/>
      <c r="E81" s="52"/>
    </row>
    <row r="82" customFormat="false" ht="14.25" hidden="false" customHeight="false" outlineLevel="0" collapsed="false">
      <c r="A82" s="55" t="n">
        <v>54</v>
      </c>
      <c r="B82" s="55"/>
      <c r="C82" s="56" t="n">
        <f aca="false">C81+0.204</f>
        <v>4.796</v>
      </c>
      <c r="D82" s="56"/>
      <c r="E82" s="52"/>
    </row>
    <row r="83" customFormat="false" ht="14.25" hidden="false" customHeight="false" outlineLevel="0" collapsed="false">
      <c r="A83" s="55" t="n">
        <v>55</v>
      </c>
      <c r="B83" s="55"/>
      <c r="C83" s="56" t="n">
        <v>5</v>
      </c>
      <c r="D83" s="56"/>
      <c r="E83" s="52"/>
    </row>
    <row r="84" customFormat="false" ht="14.25" hidden="false" customHeight="false" outlineLevel="0" collapsed="false">
      <c r="A84" s="55" t="n">
        <v>56</v>
      </c>
      <c r="B84" s="55"/>
      <c r="C84" s="56" t="n">
        <v>5.26</v>
      </c>
      <c r="D84" s="56"/>
      <c r="E84" s="52"/>
    </row>
    <row r="85" customFormat="false" ht="14.25" hidden="false" customHeight="false" outlineLevel="0" collapsed="false">
      <c r="A85" s="55" t="n">
        <v>57</v>
      </c>
      <c r="B85" s="55"/>
      <c r="C85" s="56" t="n">
        <f aca="false">C84+0.26</f>
        <v>5.52</v>
      </c>
      <c r="D85" s="56"/>
      <c r="E85" s="52"/>
    </row>
    <row r="86" customFormat="false" ht="14.25" hidden="false" customHeight="false" outlineLevel="0" collapsed="false">
      <c r="A86" s="55" t="n">
        <v>58</v>
      </c>
      <c r="B86" s="55"/>
      <c r="C86" s="56" t="n">
        <f aca="false">C85+0.26</f>
        <v>5.78</v>
      </c>
      <c r="D86" s="56"/>
      <c r="E86" s="52"/>
    </row>
    <row r="87" customFormat="false" ht="14.25" hidden="false" customHeight="false" outlineLevel="0" collapsed="false">
      <c r="A87" s="55" t="n">
        <v>59</v>
      </c>
      <c r="B87" s="55"/>
      <c r="C87" s="56" t="n">
        <f aca="false">C86+0.26</f>
        <v>6.04</v>
      </c>
      <c r="D87" s="56"/>
      <c r="E87" s="52"/>
    </row>
    <row r="88" customFormat="false" ht="14.25" hidden="false" customHeight="false" outlineLevel="0" collapsed="false">
      <c r="A88" s="55" t="n">
        <v>60</v>
      </c>
      <c r="B88" s="55"/>
      <c r="C88" s="56" t="n">
        <v>6.3</v>
      </c>
      <c r="D88" s="56"/>
      <c r="E88" s="52"/>
    </row>
    <row r="89" customFormat="false" ht="14.25" hidden="false" customHeight="false" outlineLevel="0" collapsed="false">
      <c r="A89" s="55" t="n">
        <v>61</v>
      </c>
      <c r="B89" s="55"/>
      <c r="C89" s="56" t="n">
        <v>6.62</v>
      </c>
      <c r="D89" s="56"/>
      <c r="E89" s="52"/>
    </row>
    <row r="90" customFormat="false" ht="14.25" hidden="false" customHeight="false" outlineLevel="0" collapsed="false">
      <c r="A90" s="55" t="n">
        <v>62</v>
      </c>
      <c r="B90" s="55"/>
      <c r="C90" s="56" t="n">
        <f aca="false">C89+0.32</f>
        <v>6.94</v>
      </c>
      <c r="D90" s="56"/>
      <c r="E90" s="52"/>
    </row>
    <row r="91" customFormat="false" ht="14.25" hidden="false" customHeight="false" outlineLevel="0" collapsed="false">
      <c r="A91" s="55" t="n">
        <v>63</v>
      </c>
      <c r="B91" s="55"/>
      <c r="C91" s="56" t="n">
        <f aca="false">C90+0.32</f>
        <v>7.26</v>
      </c>
      <c r="D91" s="56"/>
      <c r="E91" s="52"/>
    </row>
    <row r="92" customFormat="false" ht="14.25" hidden="false" customHeight="false" outlineLevel="0" collapsed="false">
      <c r="A92" s="55" t="n">
        <v>64</v>
      </c>
      <c r="B92" s="55"/>
      <c r="C92" s="56" t="n">
        <f aca="false">C91+0.32</f>
        <v>7.58</v>
      </c>
      <c r="D92" s="56"/>
      <c r="E92" s="52"/>
    </row>
    <row r="93" customFormat="false" ht="14.25" hidden="false" customHeight="false" outlineLevel="0" collapsed="false">
      <c r="A93" s="55" t="n">
        <v>65</v>
      </c>
      <c r="B93" s="55"/>
      <c r="C93" s="56" t="n">
        <v>7.9</v>
      </c>
      <c r="D93" s="56"/>
      <c r="E93" s="52"/>
    </row>
    <row r="94" customFormat="false" ht="14.25" hidden="false" customHeight="false" outlineLevel="0" collapsed="false">
      <c r="A94" s="55" t="n">
        <v>66</v>
      </c>
      <c r="B94" s="55"/>
      <c r="C94" s="56" t="n">
        <f aca="false">C93+0.42</f>
        <v>8.32</v>
      </c>
      <c r="D94" s="56"/>
      <c r="E94" s="52"/>
    </row>
    <row r="95" customFormat="false" ht="14.25" hidden="false" customHeight="false" outlineLevel="0" collapsed="false">
      <c r="A95" s="55" t="n">
        <v>67</v>
      </c>
      <c r="B95" s="55"/>
      <c r="C95" s="56" t="n">
        <f aca="false">C94+0.42</f>
        <v>8.74</v>
      </c>
      <c r="D95" s="56"/>
      <c r="E95" s="52"/>
    </row>
    <row r="96" customFormat="false" ht="14.25" hidden="false" customHeight="false" outlineLevel="0" collapsed="false">
      <c r="A96" s="55" t="n">
        <v>68</v>
      </c>
      <c r="B96" s="55"/>
      <c r="C96" s="56" t="n">
        <f aca="false">C95+0.42</f>
        <v>9.16</v>
      </c>
      <c r="D96" s="56"/>
      <c r="E96" s="52"/>
    </row>
    <row r="97" customFormat="false" ht="14.25" hidden="false" customHeight="false" outlineLevel="0" collapsed="false">
      <c r="A97" s="55" t="n">
        <v>69</v>
      </c>
      <c r="B97" s="55"/>
      <c r="C97" s="56" t="n">
        <f aca="false">C96+0.42</f>
        <v>9.58</v>
      </c>
      <c r="D97" s="56"/>
      <c r="E97" s="52"/>
    </row>
    <row r="98" customFormat="false" ht="14.25" hidden="false" customHeight="false" outlineLevel="0" collapsed="false">
      <c r="A98" s="55" t="n">
        <v>70</v>
      </c>
      <c r="B98" s="55"/>
      <c r="C98" s="56" t="n">
        <v>10</v>
      </c>
      <c r="D98" s="56"/>
      <c r="E98" s="52"/>
    </row>
    <row r="99" customFormat="false" ht="14.25" hidden="false" customHeight="false" outlineLevel="0" collapsed="false">
      <c r="A99" s="55" t="n">
        <v>71</v>
      </c>
      <c r="B99" s="55"/>
      <c r="C99" s="56" t="n">
        <v>10.52</v>
      </c>
      <c r="D99" s="56"/>
      <c r="E99" s="52"/>
    </row>
    <row r="100" customFormat="false" ht="14.25" hidden="false" customHeight="false" outlineLevel="0" collapsed="false">
      <c r="A100" s="55" t="n">
        <v>72</v>
      </c>
      <c r="B100" s="55"/>
      <c r="C100" s="56" t="n">
        <v>11.04</v>
      </c>
      <c r="D100" s="56"/>
      <c r="E100" s="52"/>
    </row>
    <row r="101" customFormat="false" ht="14.25" hidden="false" customHeight="false" outlineLevel="0" collapsed="false">
      <c r="A101" s="55" t="n">
        <v>73</v>
      </c>
      <c r="B101" s="55"/>
      <c r="C101" s="56" t="n">
        <v>11.56</v>
      </c>
      <c r="D101" s="56"/>
      <c r="E101" s="52"/>
    </row>
    <row r="102" customFormat="false" ht="14.25" hidden="false" customHeight="false" outlineLevel="0" collapsed="false">
      <c r="A102" s="55" t="n">
        <v>74</v>
      </c>
      <c r="B102" s="55"/>
      <c r="C102" s="56" t="n">
        <v>12.08</v>
      </c>
      <c r="D102" s="56"/>
      <c r="E102" s="52"/>
    </row>
    <row r="103" customFormat="false" ht="14.25" hidden="false" customHeight="false" outlineLevel="0" collapsed="false">
      <c r="A103" s="55" t="n">
        <v>75</v>
      </c>
      <c r="B103" s="55"/>
      <c r="C103" s="56" t="n">
        <v>12.6</v>
      </c>
      <c r="D103" s="56"/>
      <c r="E103" s="52"/>
    </row>
    <row r="104" customFormat="false" ht="14.25" hidden="false" customHeight="false" outlineLevel="0" collapsed="false">
      <c r="A104" s="55" t="n">
        <v>76</v>
      </c>
      <c r="B104" s="55"/>
      <c r="C104" s="56" t="n">
        <f aca="false">C103+0.64</f>
        <v>13.24</v>
      </c>
      <c r="D104" s="56"/>
      <c r="E104" s="52"/>
    </row>
    <row r="105" customFormat="false" ht="14.25" hidden="false" customHeight="false" outlineLevel="0" collapsed="false">
      <c r="A105" s="55" t="n">
        <v>77</v>
      </c>
      <c r="B105" s="55"/>
      <c r="C105" s="56" t="n">
        <f aca="false">C104+0.64</f>
        <v>13.88</v>
      </c>
      <c r="D105" s="56"/>
      <c r="E105" s="52"/>
    </row>
    <row r="106" customFormat="false" ht="14.25" hidden="false" customHeight="false" outlineLevel="0" collapsed="false">
      <c r="A106" s="55" t="n">
        <v>78</v>
      </c>
      <c r="B106" s="55"/>
      <c r="C106" s="56" t="n">
        <f aca="false">C105+0.64</f>
        <v>14.52</v>
      </c>
      <c r="D106" s="56"/>
      <c r="E106" s="52"/>
    </row>
    <row r="107" customFormat="false" ht="14.25" hidden="false" customHeight="false" outlineLevel="0" collapsed="false">
      <c r="A107" s="55" t="n">
        <v>79</v>
      </c>
      <c r="B107" s="55"/>
      <c r="C107" s="56" t="n">
        <f aca="false">C106+0.64</f>
        <v>15.16</v>
      </c>
      <c r="D107" s="56"/>
      <c r="E107" s="52"/>
    </row>
    <row r="108" customFormat="false" ht="14.25" hidden="false" customHeight="false" outlineLevel="0" collapsed="false">
      <c r="A108" s="55" t="n">
        <v>80</v>
      </c>
      <c r="B108" s="55"/>
      <c r="C108" s="56" t="n">
        <v>15.8</v>
      </c>
      <c r="D108" s="56"/>
      <c r="E108" s="52"/>
    </row>
    <row r="109" customFormat="false" ht="14.25" hidden="false" customHeight="false" outlineLevel="0" collapsed="false">
      <c r="A109" s="55" t="n">
        <v>81</v>
      </c>
      <c r="B109" s="55"/>
      <c r="C109" s="56" t="n">
        <f aca="false">C108+0.84</f>
        <v>16.64</v>
      </c>
      <c r="D109" s="56"/>
      <c r="E109" s="52"/>
    </row>
    <row r="110" customFormat="false" ht="14.25" hidden="false" customHeight="false" outlineLevel="0" collapsed="false">
      <c r="A110" s="55" t="n">
        <v>82</v>
      </c>
      <c r="B110" s="55"/>
      <c r="C110" s="56" t="n">
        <f aca="false">C109+0.84</f>
        <v>17.48</v>
      </c>
      <c r="D110" s="56"/>
      <c r="E110" s="52"/>
    </row>
    <row r="111" customFormat="false" ht="14.25" hidden="false" customHeight="false" outlineLevel="0" collapsed="false">
      <c r="A111" s="55" t="n">
        <v>83</v>
      </c>
      <c r="B111" s="55"/>
      <c r="C111" s="56" t="n">
        <f aca="false">C110+0.84</f>
        <v>18.32</v>
      </c>
      <c r="D111" s="56"/>
      <c r="E111" s="52"/>
    </row>
    <row r="112" customFormat="false" ht="14.25" hidden="false" customHeight="false" outlineLevel="0" collapsed="false">
      <c r="A112" s="55" t="n">
        <v>84</v>
      </c>
      <c r="B112" s="55"/>
      <c r="C112" s="56" t="n">
        <f aca="false">C111+0.84</f>
        <v>19.16</v>
      </c>
      <c r="D112" s="56"/>
      <c r="E112" s="52"/>
    </row>
    <row r="113" customFormat="false" ht="14.25" hidden="false" customHeight="false" outlineLevel="0" collapsed="false">
      <c r="A113" s="55" t="n">
        <v>85</v>
      </c>
      <c r="B113" s="55"/>
      <c r="C113" s="56" t="n">
        <v>20</v>
      </c>
      <c r="D113" s="56"/>
      <c r="E113" s="52"/>
    </row>
    <row r="114" customFormat="false" ht="14.25" hidden="false" customHeight="false" outlineLevel="0" collapsed="false">
      <c r="A114" s="55" t="n">
        <v>86</v>
      </c>
      <c r="B114" s="55"/>
      <c r="C114" s="56" t="n">
        <f aca="false">C113+1.04</f>
        <v>21.04</v>
      </c>
      <c r="D114" s="56"/>
      <c r="E114" s="52"/>
    </row>
    <row r="115" customFormat="false" ht="14.25" hidden="false" customHeight="false" outlineLevel="0" collapsed="false">
      <c r="A115" s="55" t="n">
        <v>87</v>
      </c>
      <c r="B115" s="55"/>
      <c r="C115" s="56" t="n">
        <f aca="false">C114+1.04</f>
        <v>22.08</v>
      </c>
      <c r="D115" s="56"/>
      <c r="E115" s="52"/>
    </row>
    <row r="116" customFormat="false" ht="14.25" hidden="false" customHeight="false" outlineLevel="0" collapsed="false">
      <c r="A116" s="55" t="n">
        <v>88</v>
      </c>
      <c r="B116" s="55"/>
      <c r="C116" s="56" t="n">
        <f aca="false">C115+1.04</f>
        <v>23.12</v>
      </c>
      <c r="D116" s="56"/>
      <c r="E116" s="52"/>
    </row>
    <row r="117" customFormat="false" ht="14.25" hidden="false" customHeight="false" outlineLevel="0" collapsed="false">
      <c r="A117" s="55" t="n">
        <v>89</v>
      </c>
      <c r="B117" s="55"/>
      <c r="C117" s="56" t="n">
        <f aca="false">C116+1.04</f>
        <v>24.16</v>
      </c>
      <c r="D117" s="56"/>
      <c r="E117" s="52"/>
    </row>
    <row r="118" customFormat="false" ht="14.25" hidden="false" customHeight="false" outlineLevel="0" collapsed="false">
      <c r="A118" s="55" t="n">
        <v>90</v>
      </c>
      <c r="B118" s="55"/>
      <c r="C118" s="56" t="n">
        <v>25.2</v>
      </c>
      <c r="D118" s="56"/>
      <c r="E118" s="52"/>
    </row>
    <row r="119" customFormat="false" ht="14.25" hidden="false" customHeight="false" outlineLevel="0" collapsed="false">
      <c r="A119" s="55" t="n">
        <v>91</v>
      </c>
      <c r="B119" s="55"/>
      <c r="C119" s="56" t="n">
        <f aca="false">C118+1.25</f>
        <v>26.45</v>
      </c>
      <c r="D119" s="56"/>
      <c r="E119" s="52"/>
    </row>
    <row r="120" customFormat="false" ht="14.25" hidden="false" customHeight="false" outlineLevel="0" collapsed="false">
      <c r="A120" s="55" t="n">
        <v>92</v>
      </c>
      <c r="B120" s="55"/>
      <c r="C120" s="56" t="n">
        <f aca="false">C119+1.25</f>
        <v>27.7</v>
      </c>
      <c r="D120" s="56"/>
      <c r="E120" s="52"/>
    </row>
    <row r="121" customFormat="false" ht="14.25" hidden="false" customHeight="false" outlineLevel="0" collapsed="false">
      <c r="A121" s="55" t="n">
        <v>93</v>
      </c>
      <c r="B121" s="55"/>
      <c r="C121" s="56" t="n">
        <f aca="false">C120+1.25</f>
        <v>28.95</v>
      </c>
      <c r="D121" s="56"/>
      <c r="E121" s="52"/>
    </row>
    <row r="122" customFormat="false" ht="14.25" hidden="false" customHeight="false" outlineLevel="0" collapsed="false">
      <c r="A122" s="55" t="n">
        <v>94</v>
      </c>
      <c r="B122" s="55"/>
      <c r="C122" s="56" t="n">
        <f aca="false">C121+1.25</f>
        <v>30.2</v>
      </c>
      <c r="D122" s="56"/>
      <c r="E122" s="52"/>
    </row>
    <row r="123" customFormat="false" ht="14.25" hidden="false" customHeight="false" outlineLevel="0" collapsed="false">
      <c r="A123" s="55" t="n">
        <v>95</v>
      </c>
      <c r="B123" s="55"/>
      <c r="C123" s="56" t="n">
        <v>31.6</v>
      </c>
      <c r="D123" s="56"/>
      <c r="E123" s="52"/>
    </row>
    <row r="124" customFormat="false" ht="14.25" hidden="false" customHeight="false" outlineLevel="0" collapsed="false">
      <c r="A124" s="55" t="n">
        <v>96</v>
      </c>
      <c r="B124" s="55"/>
      <c r="C124" s="56" t="n">
        <f aca="false">C123+1.68</f>
        <v>33.28</v>
      </c>
      <c r="D124" s="56"/>
    </row>
    <row r="125" customFormat="false" ht="14.25" hidden="false" customHeight="false" outlineLevel="0" collapsed="false">
      <c r="A125" s="55" t="n">
        <v>97</v>
      </c>
      <c r="B125" s="55"/>
      <c r="C125" s="56" t="n">
        <f aca="false">C124+1.68</f>
        <v>34.96</v>
      </c>
      <c r="D125" s="56"/>
    </row>
    <row r="126" customFormat="false" ht="14.25" hidden="false" customHeight="false" outlineLevel="0" collapsed="false">
      <c r="A126" s="55" t="n">
        <v>98</v>
      </c>
      <c r="B126" s="55"/>
      <c r="C126" s="56" t="n">
        <f aca="false">C125+1.68</f>
        <v>36.64</v>
      </c>
      <c r="D126" s="56"/>
    </row>
    <row r="127" customFormat="false" ht="14.25" hidden="false" customHeight="false" outlineLevel="0" collapsed="false">
      <c r="A127" s="55" t="n">
        <v>99</v>
      </c>
      <c r="B127" s="55"/>
      <c r="C127" s="56" t="n">
        <f aca="false">C126+1.68</f>
        <v>38.32</v>
      </c>
      <c r="D127" s="56"/>
    </row>
    <row r="128" customFormat="false" ht="14.25" hidden="false" customHeight="false" outlineLevel="0" collapsed="false">
      <c r="A128" s="55" t="n">
        <v>100</v>
      </c>
      <c r="B128" s="55"/>
      <c r="C128" s="56" t="n">
        <v>40</v>
      </c>
      <c r="D128" s="56"/>
    </row>
    <row r="129" customFormat="false" ht="14.25" hidden="false" customHeight="false" outlineLevel="0" collapsed="false">
      <c r="A129" s="55" t="n">
        <v>101</v>
      </c>
      <c r="B129" s="55"/>
      <c r="C129" s="56" t="n">
        <f aca="false">C128+2.08</f>
        <v>42.08</v>
      </c>
      <c r="D129" s="56"/>
    </row>
    <row r="130" customFormat="false" ht="14.25" hidden="false" customHeight="false" outlineLevel="0" collapsed="false">
      <c r="A130" s="55" t="n">
        <v>102</v>
      </c>
      <c r="B130" s="55"/>
      <c r="C130" s="56" t="n">
        <f aca="false">C129+2.08</f>
        <v>44.16</v>
      </c>
      <c r="D130" s="56"/>
    </row>
    <row r="131" customFormat="false" ht="14.25" hidden="false" customHeight="false" outlineLevel="0" collapsed="false">
      <c r="A131" s="55" t="n">
        <v>103</v>
      </c>
      <c r="B131" s="55"/>
      <c r="C131" s="56" t="n">
        <f aca="false">C130+2.08</f>
        <v>46.24</v>
      </c>
      <c r="D131" s="56"/>
    </row>
    <row r="132" customFormat="false" ht="14.25" hidden="false" customHeight="false" outlineLevel="0" collapsed="false">
      <c r="A132" s="55" t="n">
        <v>104</v>
      </c>
      <c r="B132" s="55"/>
      <c r="C132" s="56" t="n">
        <f aca="false">C131+2.08</f>
        <v>48.32</v>
      </c>
      <c r="D132" s="56"/>
    </row>
    <row r="133" customFormat="false" ht="14.25" hidden="false" customHeight="false" outlineLevel="0" collapsed="false">
      <c r="A133" s="55" t="n">
        <v>105</v>
      </c>
      <c r="B133" s="55"/>
      <c r="C133" s="56" t="n">
        <v>50.4</v>
      </c>
      <c r="D133" s="56"/>
    </row>
    <row r="134" customFormat="false" ht="14.25" hidden="false" customHeight="false" outlineLevel="0" collapsed="false">
      <c r="A134" s="55" t="n">
        <v>106</v>
      </c>
      <c r="B134" s="55"/>
      <c r="C134" s="56" t="n">
        <f aca="false">C133+2.56</f>
        <v>52.96</v>
      </c>
      <c r="D134" s="56"/>
    </row>
    <row r="135" customFormat="false" ht="14.25" hidden="false" customHeight="false" outlineLevel="0" collapsed="false">
      <c r="A135" s="55" t="n">
        <v>107</v>
      </c>
      <c r="B135" s="55"/>
      <c r="C135" s="56" t="n">
        <f aca="false">C134+2.56</f>
        <v>55.52</v>
      </c>
      <c r="D135" s="56"/>
    </row>
    <row r="136" customFormat="false" ht="14.25" hidden="false" customHeight="false" outlineLevel="0" collapsed="false">
      <c r="A136" s="55" t="n">
        <v>108</v>
      </c>
      <c r="B136" s="55"/>
      <c r="C136" s="56" t="n">
        <f aca="false">C135+2.56</f>
        <v>58.08</v>
      </c>
      <c r="D136" s="56"/>
    </row>
    <row r="137" customFormat="false" ht="14.25" hidden="false" customHeight="false" outlineLevel="0" collapsed="false">
      <c r="A137" s="55" t="n">
        <v>109</v>
      </c>
      <c r="B137" s="55"/>
      <c r="C137" s="56" t="n">
        <f aca="false">C136+2.56</f>
        <v>60.64</v>
      </c>
      <c r="D137" s="56"/>
    </row>
    <row r="138" customFormat="false" ht="14.25" hidden="false" customHeight="false" outlineLevel="0" collapsed="false">
      <c r="A138" s="55" t="n">
        <v>110</v>
      </c>
      <c r="B138" s="55"/>
      <c r="C138" s="55" t="n">
        <v>63.2</v>
      </c>
      <c r="D138" s="55"/>
    </row>
  </sheetData>
  <mergeCells count="273">
    <mergeCell ref="A1:D1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1"/>
    <mergeCell ref="A32:B32"/>
    <mergeCell ref="C32:D32"/>
    <mergeCell ref="A33:B33"/>
    <mergeCell ref="C33:D33"/>
    <mergeCell ref="A34:B34"/>
    <mergeCell ref="C34:D34"/>
    <mergeCell ref="A35:B35"/>
    <mergeCell ref="C35:D35"/>
    <mergeCell ref="A36:B36"/>
    <mergeCell ref="C36:D36"/>
    <mergeCell ref="A37:B37"/>
    <mergeCell ref="C37:D37"/>
    <mergeCell ref="A38:B38"/>
    <mergeCell ref="C38:D38"/>
    <mergeCell ref="A39:B39"/>
    <mergeCell ref="C39:D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D47"/>
    <mergeCell ref="A48:B48"/>
    <mergeCell ref="C48:D48"/>
    <mergeCell ref="A49:B49"/>
    <mergeCell ref="C49:D49"/>
    <mergeCell ref="A50:B50"/>
    <mergeCell ref="C50:D50"/>
    <mergeCell ref="A51:B51"/>
    <mergeCell ref="C51:D51"/>
    <mergeCell ref="A52:B52"/>
    <mergeCell ref="C52:D52"/>
    <mergeCell ref="A53:B53"/>
    <mergeCell ref="C53:D53"/>
    <mergeCell ref="A54:B54"/>
    <mergeCell ref="C54:D54"/>
    <mergeCell ref="A55:B55"/>
    <mergeCell ref="C55:D55"/>
    <mergeCell ref="A56:B56"/>
    <mergeCell ref="C56:D56"/>
    <mergeCell ref="A57:B57"/>
    <mergeCell ref="C57:D57"/>
    <mergeCell ref="A58:B58"/>
    <mergeCell ref="C58:D58"/>
    <mergeCell ref="A59:B59"/>
    <mergeCell ref="C59:D59"/>
    <mergeCell ref="A60:B60"/>
    <mergeCell ref="C60:D60"/>
    <mergeCell ref="A61:B61"/>
    <mergeCell ref="C61:D61"/>
    <mergeCell ref="A62:B62"/>
    <mergeCell ref="C62:D62"/>
    <mergeCell ref="A63:B63"/>
    <mergeCell ref="C63:D63"/>
    <mergeCell ref="A64:B64"/>
    <mergeCell ref="C64:D64"/>
    <mergeCell ref="A65:B65"/>
    <mergeCell ref="C65:D65"/>
    <mergeCell ref="A66:B66"/>
    <mergeCell ref="C66:D66"/>
    <mergeCell ref="A67:B67"/>
    <mergeCell ref="C67:D67"/>
    <mergeCell ref="A68:B68"/>
    <mergeCell ref="C68:D68"/>
    <mergeCell ref="A69:B69"/>
    <mergeCell ref="C69:D69"/>
    <mergeCell ref="A70:B70"/>
    <mergeCell ref="C70:D70"/>
    <mergeCell ref="A71:B71"/>
    <mergeCell ref="C71:D71"/>
    <mergeCell ref="A72:B72"/>
    <mergeCell ref="C72:D72"/>
    <mergeCell ref="A73:B73"/>
    <mergeCell ref="C73:D73"/>
    <mergeCell ref="A74:B74"/>
    <mergeCell ref="C74:D74"/>
    <mergeCell ref="A75:B75"/>
    <mergeCell ref="C75:D75"/>
    <mergeCell ref="A76:B76"/>
    <mergeCell ref="C76:D76"/>
    <mergeCell ref="A77:B77"/>
    <mergeCell ref="C77:D77"/>
    <mergeCell ref="A78:B78"/>
    <mergeCell ref="C78:D78"/>
    <mergeCell ref="A79:B79"/>
    <mergeCell ref="C79:D79"/>
    <mergeCell ref="A80:B80"/>
    <mergeCell ref="C80:D80"/>
    <mergeCell ref="A81:B81"/>
    <mergeCell ref="C81:D81"/>
    <mergeCell ref="A82:B82"/>
    <mergeCell ref="C82:D82"/>
    <mergeCell ref="A83:B83"/>
    <mergeCell ref="C83:D83"/>
    <mergeCell ref="A84:B84"/>
    <mergeCell ref="C84:D84"/>
    <mergeCell ref="A85:B85"/>
    <mergeCell ref="C85:D85"/>
    <mergeCell ref="A86:B86"/>
    <mergeCell ref="C86:D86"/>
    <mergeCell ref="A87:B87"/>
    <mergeCell ref="C87:D87"/>
    <mergeCell ref="A88:B88"/>
    <mergeCell ref="C88:D88"/>
    <mergeCell ref="A89:B89"/>
    <mergeCell ref="C89:D89"/>
    <mergeCell ref="A90:B90"/>
    <mergeCell ref="C90:D90"/>
    <mergeCell ref="A91:B91"/>
    <mergeCell ref="C91:D91"/>
    <mergeCell ref="A92:B92"/>
    <mergeCell ref="C92:D92"/>
    <mergeCell ref="A93:B93"/>
    <mergeCell ref="C93:D93"/>
    <mergeCell ref="A94:B94"/>
    <mergeCell ref="C94:D94"/>
    <mergeCell ref="A95:B95"/>
    <mergeCell ref="C95:D95"/>
    <mergeCell ref="A96:B96"/>
    <mergeCell ref="C96:D96"/>
    <mergeCell ref="A97:B97"/>
    <mergeCell ref="C97:D97"/>
    <mergeCell ref="A98:B98"/>
    <mergeCell ref="C98:D98"/>
    <mergeCell ref="A99:B99"/>
    <mergeCell ref="C99:D99"/>
    <mergeCell ref="A100:B100"/>
    <mergeCell ref="C100:D100"/>
    <mergeCell ref="A101:B101"/>
    <mergeCell ref="C101:D101"/>
    <mergeCell ref="A102:B102"/>
    <mergeCell ref="C102:D102"/>
    <mergeCell ref="A103:B103"/>
    <mergeCell ref="C103:D103"/>
    <mergeCell ref="A104:B104"/>
    <mergeCell ref="C104:D104"/>
    <mergeCell ref="A105:B105"/>
    <mergeCell ref="C105:D105"/>
    <mergeCell ref="A106:B106"/>
    <mergeCell ref="C106:D106"/>
    <mergeCell ref="A107:B107"/>
    <mergeCell ref="C107:D107"/>
    <mergeCell ref="A108:B108"/>
    <mergeCell ref="C108:D108"/>
    <mergeCell ref="A109:B109"/>
    <mergeCell ref="C109:D109"/>
    <mergeCell ref="A110:B110"/>
    <mergeCell ref="C110:D110"/>
    <mergeCell ref="A111:B111"/>
    <mergeCell ref="C111:D111"/>
    <mergeCell ref="A112:B112"/>
    <mergeCell ref="C112:D112"/>
    <mergeCell ref="A113:B113"/>
    <mergeCell ref="C113:D113"/>
    <mergeCell ref="A114:B114"/>
    <mergeCell ref="C114:D114"/>
    <mergeCell ref="A115:B115"/>
    <mergeCell ref="C115:D115"/>
    <mergeCell ref="A116:B116"/>
    <mergeCell ref="C116:D116"/>
    <mergeCell ref="A117:B117"/>
    <mergeCell ref="C117:D117"/>
    <mergeCell ref="A118:B118"/>
    <mergeCell ref="C118:D118"/>
    <mergeCell ref="A119:B119"/>
    <mergeCell ref="C119:D119"/>
    <mergeCell ref="A120:B120"/>
    <mergeCell ref="C120:D120"/>
    <mergeCell ref="A121:B121"/>
    <mergeCell ref="C121:D121"/>
    <mergeCell ref="A122:B122"/>
    <mergeCell ref="C122:D122"/>
    <mergeCell ref="A123:B123"/>
    <mergeCell ref="C123:D123"/>
    <mergeCell ref="A124:B124"/>
    <mergeCell ref="C124:D124"/>
    <mergeCell ref="A125:B125"/>
    <mergeCell ref="C125:D125"/>
    <mergeCell ref="A126:B126"/>
    <mergeCell ref="C126:D126"/>
    <mergeCell ref="A127:B127"/>
    <mergeCell ref="C127:D127"/>
    <mergeCell ref="A128:B128"/>
    <mergeCell ref="C128:D128"/>
    <mergeCell ref="A129:B129"/>
    <mergeCell ref="C129:D129"/>
    <mergeCell ref="A130:B130"/>
    <mergeCell ref="C130:D130"/>
    <mergeCell ref="A131:B131"/>
    <mergeCell ref="C131:D131"/>
    <mergeCell ref="A132:B132"/>
    <mergeCell ref="C132:D132"/>
    <mergeCell ref="A133:B133"/>
    <mergeCell ref="C133:D133"/>
    <mergeCell ref="A134:B134"/>
    <mergeCell ref="C134:D134"/>
    <mergeCell ref="A135:B135"/>
    <mergeCell ref="C135:D135"/>
    <mergeCell ref="A136:B136"/>
    <mergeCell ref="C136:D136"/>
    <mergeCell ref="A137:B137"/>
    <mergeCell ref="C137:D137"/>
    <mergeCell ref="A138:B138"/>
    <mergeCell ref="C138:D13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515625" defaultRowHeight="14.25" customHeight="false" zeroHeight="false" outlineLevelRow="0" outlineLevelCol="0"/>
  <sheetData>
    <row r="1" customFormat="false" ht="15" hidden="false" customHeight="false" outlineLevel="0" collapsed="false">
      <c r="A1" s="57" t="s">
        <v>74</v>
      </c>
      <c r="B1" s="57"/>
      <c r="C1" s="57"/>
      <c r="D1" s="57"/>
    </row>
    <row r="2" customFormat="false" ht="14.25" hidden="false" customHeight="false" outlineLevel="0" collapsed="false">
      <c r="A2" s="58"/>
      <c r="B2" s="59"/>
      <c r="C2" s="59"/>
      <c r="D2" s="60"/>
    </row>
    <row r="3" customFormat="false" ht="14.25" hidden="false" customHeight="false" outlineLevel="0" collapsed="false">
      <c r="A3" s="61" t="s">
        <v>75</v>
      </c>
      <c r="B3" s="61"/>
      <c r="C3" s="61" t="s">
        <v>76</v>
      </c>
      <c r="D3" s="61"/>
    </row>
    <row r="4" customFormat="false" ht="14.25" hidden="false" customHeight="false" outlineLevel="0" collapsed="false">
      <c r="A4" s="62" t="n">
        <f aca="false">(C4*(9/5))+32</f>
        <v>-11.2</v>
      </c>
      <c r="B4" s="62"/>
      <c r="C4" s="62" t="n">
        <v>-24</v>
      </c>
      <c r="D4" s="62"/>
    </row>
    <row r="5" customFormat="false" ht="14.25" hidden="false" customHeight="false" outlineLevel="0" collapsed="false">
      <c r="A5" s="62" t="n">
        <f aca="false">(C5*(9/5))+32</f>
        <v>-9.4</v>
      </c>
      <c r="B5" s="62"/>
      <c r="C5" s="62" t="n">
        <v>-23</v>
      </c>
      <c r="D5" s="62"/>
    </row>
    <row r="6" customFormat="false" ht="14.25" hidden="false" customHeight="false" outlineLevel="0" collapsed="false">
      <c r="A6" s="62" t="n">
        <f aca="false">(C6*(9/5))+32</f>
        <v>-7.6</v>
      </c>
      <c r="B6" s="62"/>
      <c r="C6" s="62" t="n">
        <v>-22</v>
      </c>
      <c r="D6" s="62"/>
    </row>
    <row r="7" customFormat="false" ht="14.25" hidden="false" customHeight="false" outlineLevel="0" collapsed="false">
      <c r="A7" s="62" t="n">
        <f aca="false">(C7*(9/5))+32</f>
        <v>-5.8</v>
      </c>
      <c r="B7" s="62"/>
      <c r="C7" s="62" t="n">
        <v>-21</v>
      </c>
      <c r="D7" s="62"/>
    </row>
    <row r="8" customFormat="false" ht="14.25" hidden="false" customHeight="false" outlineLevel="0" collapsed="false">
      <c r="A8" s="62" t="n">
        <f aca="false">(C8*(9/5))+32</f>
        <v>-4</v>
      </c>
      <c r="B8" s="62"/>
      <c r="C8" s="62" t="n">
        <v>-20</v>
      </c>
      <c r="D8" s="62"/>
    </row>
    <row r="9" customFormat="false" ht="14.25" hidden="false" customHeight="false" outlineLevel="0" collapsed="false">
      <c r="A9" s="62" t="n">
        <f aca="false">(C9*(9/5))+32</f>
        <v>-2.2</v>
      </c>
      <c r="B9" s="62"/>
      <c r="C9" s="62" t="n">
        <v>-19</v>
      </c>
      <c r="D9" s="62"/>
    </row>
    <row r="10" customFormat="false" ht="14.25" hidden="false" customHeight="false" outlineLevel="0" collapsed="false">
      <c r="A10" s="62" t="n">
        <f aca="false">(C10*(9/5))+32</f>
        <v>-0.399999999999999</v>
      </c>
      <c r="B10" s="62"/>
      <c r="C10" s="62" t="n">
        <v>-18</v>
      </c>
      <c r="D10" s="62"/>
    </row>
    <row r="11" customFormat="false" ht="14.25" hidden="false" customHeight="false" outlineLevel="0" collapsed="false">
      <c r="A11" s="62" t="n">
        <f aca="false">(C11*(9/5))+32</f>
        <v>1.4</v>
      </c>
      <c r="B11" s="62"/>
      <c r="C11" s="62" t="n">
        <v>-17</v>
      </c>
      <c r="D11" s="62"/>
    </row>
    <row r="12" customFormat="false" ht="14.25" hidden="false" customHeight="false" outlineLevel="0" collapsed="false">
      <c r="A12" s="62" t="n">
        <f aca="false">(C12*(9/5))+32</f>
        <v>3.2</v>
      </c>
      <c r="B12" s="62"/>
      <c r="C12" s="62" t="n">
        <v>-16</v>
      </c>
      <c r="D12" s="62"/>
    </row>
    <row r="13" customFormat="false" ht="14.25" hidden="false" customHeight="false" outlineLevel="0" collapsed="false">
      <c r="A13" s="62" t="n">
        <f aca="false">(C13*(9/5))+32</f>
        <v>5</v>
      </c>
      <c r="B13" s="62"/>
      <c r="C13" s="62" t="n">
        <v>-15</v>
      </c>
      <c r="D13" s="62"/>
    </row>
    <row r="14" customFormat="false" ht="14.25" hidden="false" customHeight="false" outlineLevel="0" collapsed="false">
      <c r="A14" s="62" t="n">
        <f aca="false">(C14*(9/5))+32</f>
        <v>6.8</v>
      </c>
      <c r="B14" s="62"/>
      <c r="C14" s="62" t="n">
        <v>-14</v>
      </c>
      <c r="D14" s="62"/>
    </row>
    <row r="15" customFormat="false" ht="14.25" hidden="false" customHeight="false" outlineLevel="0" collapsed="false">
      <c r="A15" s="62" t="n">
        <f aca="false">(C15*(9/5))+32</f>
        <v>8.6</v>
      </c>
      <c r="B15" s="62"/>
      <c r="C15" s="62" t="n">
        <v>-13</v>
      </c>
      <c r="D15" s="62"/>
    </row>
    <row r="16" customFormat="false" ht="14.25" hidden="false" customHeight="false" outlineLevel="0" collapsed="false">
      <c r="A16" s="62" t="n">
        <f aca="false">(C16*(9/5))+32</f>
        <v>10.4</v>
      </c>
      <c r="B16" s="62"/>
      <c r="C16" s="62" t="n">
        <v>-12</v>
      </c>
      <c r="D16" s="62"/>
    </row>
    <row r="17" customFormat="false" ht="14.25" hidden="false" customHeight="false" outlineLevel="0" collapsed="false">
      <c r="A17" s="62" t="n">
        <f aca="false">(C17*(9/5))+32</f>
        <v>12.2</v>
      </c>
      <c r="B17" s="62"/>
      <c r="C17" s="62" t="n">
        <v>-11</v>
      </c>
      <c r="D17" s="62"/>
    </row>
    <row r="18" customFormat="false" ht="14.25" hidden="false" customHeight="false" outlineLevel="0" collapsed="false">
      <c r="A18" s="62" t="n">
        <f aca="false">(C18*(9/5))+32</f>
        <v>14</v>
      </c>
      <c r="B18" s="62"/>
      <c r="C18" s="62" t="n">
        <v>-10</v>
      </c>
      <c r="D18" s="62"/>
    </row>
    <row r="19" customFormat="false" ht="14.25" hidden="false" customHeight="false" outlineLevel="0" collapsed="false">
      <c r="A19" s="62" t="n">
        <f aca="false">(C19*(9/5))+32</f>
        <v>15.8</v>
      </c>
      <c r="B19" s="62"/>
      <c r="C19" s="62" t="n">
        <v>-9</v>
      </c>
      <c r="D19" s="62"/>
    </row>
    <row r="20" customFormat="false" ht="14.25" hidden="false" customHeight="false" outlineLevel="0" collapsed="false">
      <c r="A20" s="62" t="n">
        <f aca="false">(C20*(9/5))+32</f>
        <v>17.6</v>
      </c>
      <c r="B20" s="62"/>
      <c r="C20" s="62" t="n">
        <v>-8</v>
      </c>
      <c r="D20" s="62"/>
    </row>
    <row r="21" customFormat="false" ht="14.25" hidden="false" customHeight="false" outlineLevel="0" collapsed="false">
      <c r="A21" s="62" t="n">
        <f aca="false">(C21*(9/5))+32</f>
        <v>19.4</v>
      </c>
      <c r="B21" s="62"/>
      <c r="C21" s="62" t="n">
        <v>-7</v>
      </c>
      <c r="D21" s="62"/>
    </row>
    <row r="22" customFormat="false" ht="14.25" hidden="false" customHeight="false" outlineLevel="0" collapsed="false">
      <c r="A22" s="62" t="n">
        <f aca="false">(C22*(9/5))+32</f>
        <v>21.2</v>
      </c>
      <c r="B22" s="62"/>
      <c r="C22" s="62" t="n">
        <v>-6</v>
      </c>
      <c r="D22" s="62"/>
    </row>
    <row r="23" customFormat="false" ht="14.25" hidden="false" customHeight="false" outlineLevel="0" collapsed="false">
      <c r="A23" s="62" t="n">
        <f aca="false">(C23*(9/5))+32</f>
        <v>23</v>
      </c>
      <c r="B23" s="62"/>
      <c r="C23" s="62" t="n">
        <v>-5</v>
      </c>
      <c r="D23" s="62"/>
    </row>
    <row r="24" customFormat="false" ht="14.25" hidden="false" customHeight="false" outlineLevel="0" collapsed="false">
      <c r="A24" s="62" t="n">
        <f aca="false">(C24*(9/5))+32</f>
        <v>24.8</v>
      </c>
      <c r="B24" s="62"/>
      <c r="C24" s="62" t="n">
        <v>-4</v>
      </c>
      <c r="D24" s="62"/>
    </row>
    <row r="25" customFormat="false" ht="14.25" hidden="false" customHeight="false" outlineLevel="0" collapsed="false">
      <c r="A25" s="62" t="n">
        <f aca="false">(C25*(9/5))+32</f>
        <v>26.6</v>
      </c>
      <c r="B25" s="62"/>
      <c r="C25" s="62" t="n">
        <v>-3</v>
      </c>
      <c r="D25" s="62"/>
    </row>
    <row r="26" customFormat="false" ht="14.25" hidden="false" customHeight="false" outlineLevel="0" collapsed="false">
      <c r="A26" s="62" t="n">
        <f aca="false">(C26*(9/5))+32</f>
        <v>28.4</v>
      </c>
      <c r="B26" s="62"/>
      <c r="C26" s="62" t="n">
        <v>-2</v>
      </c>
      <c r="D26" s="62"/>
    </row>
    <row r="27" customFormat="false" ht="14.25" hidden="false" customHeight="false" outlineLevel="0" collapsed="false">
      <c r="A27" s="62" t="n">
        <f aca="false">(C27*(9/5))+32</f>
        <v>30.2</v>
      </c>
      <c r="B27" s="62"/>
      <c r="C27" s="62" t="n">
        <v>-1</v>
      </c>
      <c r="D27" s="62"/>
    </row>
    <row r="28" customFormat="false" ht="14.25" hidden="false" customHeight="false" outlineLevel="0" collapsed="false">
      <c r="A28" s="62" t="n">
        <f aca="false">(C28*(9/5))+32</f>
        <v>32</v>
      </c>
      <c r="B28" s="62"/>
      <c r="C28" s="62" t="n">
        <v>0</v>
      </c>
      <c r="D28" s="62"/>
    </row>
    <row r="29" customFormat="false" ht="14.25" hidden="false" customHeight="false" outlineLevel="0" collapsed="false">
      <c r="A29" s="62" t="n">
        <f aca="false">(C29*(9/5))+32</f>
        <v>33.8</v>
      </c>
      <c r="B29" s="62"/>
      <c r="C29" s="62" t="n">
        <v>1</v>
      </c>
      <c r="D29" s="62"/>
    </row>
    <row r="30" customFormat="false" ht="14.25" hidden="false" customHeight="false" outlineLevel="0" collapsed="false">
      <c r="A30" s="62" t="n">
        <f aca="false">(C30*(9/5))+32</f>
        <v>35.6</v>
      </c>
      <c r="B30" s="62"/>
      <c r="C30" s="62" t="n">
        <v>2</v>
      </c>
      <c r="D30" s="62"/>
    </row>
    <row r="31" customFormat="false" ht="14.25" hidden="false" customHeight="false" outlineLevel="0" collapsed="false">
      <c r="A31" s="62" t="n">
        <f aca="false">(C31*(9/5))+32</f>
        <v>37.4</v>
      </c>
      <c r="B31" s="62"/>
      <c r="C31" s="62" t="n">
        <v>3</v>
      </c>
      <c r="D31" s="62"/>
    </row>
    <row r="32" customFormat="false" ht="14.25" hidden="false" customHeight="false" outlineLevel="0" collapsed="false">
      <c r="A32" s="62" t="n">
        <f aca="false">(C32*(9/5))+32</f>
        <v>39.2</v>
      </c>
      <c r="B32" s="62"/>
      <c r="C32" s="62" t="n">
        <v>4</v>
      </c>
      <c r="D32" s="62"/>
    </row>
    <row r="33" customFormat="false" ht="14.25" hidden="false" customHeight="false" outlineLevel="0" collapsed="false">
      <c r="A33" s="62" t="n">
        <f aca="false">(C33*(9/5))+32</f>
        <v>41</v>
      </c>
      <c r="B33" s="62"/>
      <c r="C33" s="62" t="n">
        <v>5</v>
      </c>
      <c r="D33" s="62"/>
    </row>
    <row r="34" customFormat="false" ht="14.25" hidden="false" customHeight="false" outlineLevel="0" collapsed="false">
      <c r="A34" s="62" t="n">
        <f aca="false">(C34*(9/5))+32</f>
        <v>42.8</v>
      </c>
      <c r="B34" s="62"/>
      <c r="C34" s="62" t="n">
        <v>6</v>
      </c>
      <c r="D34" s="62"/>
    </row>
    <row r="35" customFormat="false" ht="14.25" hidden="false" customHeight="false" outlineLevel="0" collapsed="false">
      <c r="A35" s="62" t="n">
        <f aca="false">(C35*(9/5))+32</f>
        <v>44.6</v>
      </c>
      <c r="B35" s="62"/>
      <c r="C35" s="62" t="n">
        <v>7</v>
      </c>
      <c r="D35" s="62"/>
    </row>
    <row r="36" customFormat="false" ht="14.25" hidden="false" customHeight="false" outlineLevel="0" collapsed="false">
      <c r="A36" s="62" t="n">
        <f aca="false">(C36*(9/5))+32</f>
        <v>46.4</v>
      </c>
      <c r="B36" s="62"/>
      <c r="C36" s="62" t="n">
        <v>8</v>
      </c>
      <c r="D36" s="62"/>
    </row>
    <row r="37" customFormat="false" ht="14.25" hidden="false" customHeight="false" outlineLevel="0" collapsed="false">
      <c r="A37" s="62" t="n">
        <f aca="false">(C37*(9/5))+32</f>
        <v>48.2</v>
      </c>
      <c r="B37" s="62"/>
      <c r="C37" s="62" t="n">
        <v>9</v>
      </c>
      <c r="D37" s="62"/>
    </row>
    <row r="38" customFormat="false" ht="14.25" hidden="false" customHeight="false" outlineLevel="0" collapsed="false">
      <c r="A38" s="62" t="n">
        <f aca="false">(C38*(9/5))+32</f>
        <v>50</v>
      </c>
      <c r="B38" s="62"/>
      <c r="C38" s="62" t="n">
        <v>10</v>
      </c>
      <c r="D38" s="62"/>
    </row>
    <row r="39" customFormat="false" ht="14.25" hidden="false" customHeight="false" outlineLevel="0" collapsed="false">
      <c r="A39" s="62" t="n">
        <f aca="false">(C39*(9/5))+32</f>
        <v>51.8</v>
      </c>
      <c r="B39" s="62"/>
      <c r="C39" s="62" t="n">
        <v>11</v>
      </c>
      <c r="D39" s="62"/>
    </row>
    <row r="40" customFormat="false" ht="14.25" hidden="false" customHeight="false" outlineLevel="0" collapsed="false">
      <c r="A40" s="62" t="n">
        <f aca="false">(C40*(9/5))+32</f>
        <v>53.6</v>
      </c>
      <c r="B40" s="62"/>
      <c r="C40" s="62" t="n">
        <v>12</v>
      </c>
      <c r="D40" s="62"/>
    </row>
    <row r="41" customFormat="false" ht="14.25" hidden="false" customHeight="false" outlineLevel="0" collapsed="false">
      <c r="A41" s="62" t="n">
        <f aca="false">(C41*(9/5))+32</f>
        <v>55.4</v>
      </c>
      <c r="B41" s="62"/>
      <c r="C41" s="62" t="n">
        <v>13</v>
      </c>
      <c r="D41" s="62"/>
    </row>
    <row r="42" customFormat="false" ht="14.25" hidden="false" customHeight="false" outlineLevel="0" collapsed="false">
      <c r="A42" s="62" t="n">
        <f aca="false">(C42*(9/5))+32</f>
        <v>57.2</v>
      </c>
      <c r="B42" s="62"/>
      <c r="C42" s="62" t="n">
        <v>14</v>
      </c>
      <c r="D42" s="62"/>
    </row>
    <row r="43" customFormat="false" ht="14.25" hidden="false" customHeight="false" outlineLevel="0" collapsed="false">
      <c r="A43" s="62" t="n">
        <f aca="false">(C43*(9/5))+32</f>
        <v>59</v>
      </c>
      <c r="B43" s="62"/>
      <c r="C43" s="62" t="n">
        <v>15</v>
      </c>
      <c r="D43" s="62"/>
    </row>
    <row r="44" customFormat="false" ht="14.25" hidden="false" customHeight="false" outlineLevel="0" collapsed="false">
      <c r="A44" s="62" t="n">
        <f aca="false">(C44*(9/5))+32</f>
        <v>60.8</v>
      </c>
      <c r="B44" s="62"/>
      <c r="C44" s="62" t="n">
        <v>16</v>
      </c>
      <c r="D44" s="62"/>
    </row>
    <row r="45" customFormat="false" ht="14.25" hidden="false" customHeight="false" outlineLevel="0" collapsed="false">
      <c r="A45" s="62" t="n">
        <f aca="false">(C45*(9/5))+32</f>
        <v>62.6</v>
      </c>
      <c r="B45" s="62"/>
      <c r="C45" s="62" t="n">
        <v>17</v>
      </c>
      <c r="D45" s="62"/>
    </row>
    <row r="46" customFormat="false" ht="14.25" hidden="false" customHeight="false" outlineLevel="0" collapsed="false">
      <c r="A46" s="62" t="n">
        <f aca="false">(C46*(9/5))+32</f>
        <v>64.4</v>
      </c>
      <c r="B46" s="62"/>
      <c r="C46" s="62" t="n">
        <v>18</v>
      </c>
      <c r="D46" s="62"/>
    </row>
    <row r="47" customFormat="false" ht="14.25" hidden="false" customHeight="false" outlineLevel="0" collapsed="false">
      <c r="A47" s="62" t="n">
        <f aca="false">(C47*(9/5))+32</f>
        <v>66.2</v>
      </c>
      <c r="B47" s="62"/>
      <c r="C47" s="62" t="n">
        <v>19</v>
      </c>
      <c r="D47" s="62"/>
    </row>
    <row r="48" customFormat="false" ht="14.25" hidden="false" customHeight="false" outlineLevel="0" collapsed="false">
      <c r="A48" s="62" t="n">
        <f aca="false">(C48*(9/5))+32</f>
        <v>68</v>
      </c>
      <c r="B48" s="62"/>
      <c r="C48" s="62" t="n">
        <v>20</v>
      </c>
      <c r="D48" s="62"/>
    </row>
    <row r="49" customFormat="false" ht="14.25" hidden="false" customHeight="false" outlineLevel="0" collapsed="false">
      <c r="A49" s="62" t="n">
        <f aca="false">(C49*(9/5))+32</f>
        <v>69.8</v>
      </c>
      <c r="B49" s="62"/>
      <c r="C49" s="62" t="n">
        <v>21</v>
      </c>
      <c r="D49" s="62"/>
    </row>
    <row r="50" customFormat="false" ht="14.25" hidden="false" customHeight="false" outlineLevel="0" collapsed="false">
      <c r="A50" s="62" t="n">
        <f aca="false">(C50*(9/5))+32</f>
        <v>71.6</v>
      </c>
      <c r="B50" s="62"/>
      <c r="C50" s="62" t="n">
        <v>22</v>
      </c>
      <c r="D50" s="62"/>
    </row>
    <row r="51" customFormat="false" ht="14.25" hidden="false" customHeight="false" outlineLevel="0" collapsed="false">
      <c r="A51" s="62" t="n">
        <f aca="false">(C51*(9/5))+32</f>
        <v>73.4</v>
      </c>
      <c r="B51" s="62"/>
      <c r="C51" s="62" t="n">
        <v>23</v>
      </c>
      <c r="D51" s="62"/>
    </row>
    <row r="52" customFormat="false" ht="14.25" hidden="false" customHeight="false" outlineLevel="0" collapsed="false">
      <c r="A52" s="62" t="n">
        <f aca="false">(C52*(9/5))+32</f>
        <v>75.2</v>
      </c>
      <c r="B52" s="62"/>
      <c r="C52" s="62" t="n">
        <v>24</v>
      </c>
      <c r="D52" s="62"/>
    </row>
    <row r="53" customFormat="false" ht="14.25" hidden="false" customHeight="false" outlineLevel="0" collapsed="false">
      <c r="A53" s="62" t="n">
        <f aca="false">(C53*(9/5))+32</f>
        <v>77</v>
      </c>
      <c r="B53" s="62"/>
      <c r="C53" s="62" t="n">
        <v>25</v>
      </c>
      <c r="D53" s="62"/>
    </row>
    <row r="54" customFormat="false" ht="14.25" hidden="false" customHeight="false" outlineLevel="0" collapsed="false">
      <c r="A54" s="62" t="n">
        <f aca="false">(C54*(9/5))+32</f>
        <v>78.8</v>
      </c>
      <c r="B54" s="62"/>
      <c r="C54" s="62" t="n">
        <v>26</v>
      </c>
      <c r="D54" s="62"/>
    </row>
    <row r="55" customFormat="false" ht="14.25" hidden="false" customHeight="false" outlineLevel="0" collapsed="false">
      <c r="A55" s="62" t="n">
        <f aca="false">(C55*(9/5))+32</f>
        <v>80.6</v>
      </c>
      <c r="B55" s="62"/>
      <c r="C55" s="62" t="n">
        <v>27</v>
      </c>
      <c r="D55" s="62"/>
    </row>
    <row r="56" customFormat="false" ht="14.25" hidden="false" customHeight="false" outlineLevel="0" collapsed="false">
      <c r="A56" s="62" t="n">
        <f aca="false">(C56*(9/5))+32</f>
        <v>82.4</v>
      </c>
      <c r="B56" s="62"/>
      <c r="C56" s="62" t="n">
        <v>28</v>
      </c>
      <c r="D56" s="62"/>
    </row>
    <row r="57" customFormat="false" ht="14.25" hidden="false" customHeight="false" outlineLevel="0" collapsed="false">
      <c r="A57" s="62" t="n">
        <f aca="false">(C57*(9/5))+32</f>
        <v>84.2</v>
      </c>
      <c r="B57" s="62"/>
      <c r="C57" s="62" t="n">
        <v>29</v>
      </c>
      <c r="D57" s="62"/>
    </row>
    <row r="58" customFormat="false" ht="14.25" hidden="false" customHeight="false" outlineLevel="0" collapsed="false">
      <c r="A58" s="62" t="n">
        <f aca="false">(C58*(9/5))+32</f>
        <v>86</v>
      </c>
      <c r="B58" s="62"/>
      <c r="C58" s="62" t="n">
        <v>30</v>
      </c>
      <c r="D58" s="62"/>
    </row>
    <row r="59" customFormat="false" ht="14.25" hidden="false" customHeight="false" outlineLevel="0" collapsed="false">
      <c r="A59" s="62" t="n">
        <f aca="false">(C59*(9/5))+32</f>
        <v>87.8</v>
      </c>
      <c r="B59" s="62"/>
      <c r="C59" s="62" t="n">
        <v>31</v>
      </c>
      <c r="D59" s="62"/>
    </row>
    <row r="60" customFormat="false" ht="14.25" hidden="false" customHeight="false" outlineLevel="0" collapsed="false">
      <c r="A60" s="62" t="n">
        <f aca="false">(C60*(9/5))+32</f>
        <v>89.6</v>
      </c>
      <c r="B60" s="62"/>
      <c r="C60" s="62" t="n">
        <v>32</v>
      </c>
      <c r="D60" s="62"/>
    </row>
    <row r="61" customFormat="false" ht="14.25" hidden="false" customHeight="false" outlineLevel="0" collapsed="false">
      <c r="A61" s="62" t="n">
        <f aca="false">(C61*(9/5))+32</f>
        <v>91.4</v>
      </c>
      <c r="B61" s="62"/>
      <c r="C61" s="62" t="n">
        <v>33</v>
      </c>
      <c r="D61" s="62"/>
    </row>
    <row r="62" customFormat="false" ht="14.25" hidden="false" customHeight="false" outlineLevel="0" collapsed="false">
      <c r="A62" s="62" t="n">
        <f aca="false">(C62*(9/5))+32</f>
        <v>93.2</v>
      </c>
      <c r="B62" s="62"/>
      <c r="C62" s="62" t="n">
        <v>34</v>
      </c>
      <c r="D62" s="62"/>
    </row>
    <row r="63" customFormat="false" ht="14.25" hidden="false" customHeight="false" outlineLevel="0" collapsed="false">
      <c r="A63" s="62" t="n">
        <f aca="false">(C63*(9/5))+32</f>
        <v>95</v>
      </c>
      <c r="B63" s="62"/>
      <c r="C63" s="62" t="n">
        <v>35</v>
      </c>
      <c r="D63" s="62"/>
    </row>
    <row r="64" customFormat="false" ht="14.25" hidden="false" customHeight="false" outlineLevel="0" collapsed="false">
      <c r="A64" s="62" t="n">
        <f aca="false">(C64*(9/5))+32</f>
        <v>96.8</v>
      </c>
      <c r="B64" s="62"/>
      <c r="C64" s="62" t="n">
        <v>36</v>
      </c>
      <c r="D64" s="62"/>
    </row>
    <row r="65" customFormat="false" ht="14.25" hidden="false" customHeight="false" outlineLevel="0" collapsed="false">
      <c r="A65" s="62" t="n">
        <f aca="false">(C65*(9/5))+32</f>
        <v>98.6</v>
      </c>
      <c r="B65" s="62"/>
      <c r="C65" s="62" t="n">
        <v>37</v>
      </c>
      <c r="D65" s="62"/>
    </row>
    <row r="66" customFormat="false" ht="14.25" hidden="false" customHeight="false" outlineLevel="0" collapsed="false">
      <c r="A66" s="62" t="n">
        <f aca="false">(C66*(9/5))+32</f>
        <v>100.4</v>
      </c>
      <c r="B66" s="62"/>
      <c r="C66" s="62" t="n">
        <v>38</v>
      </c>
      <c r="D66" s="62"/>
    </row>
    <row r="67" customFormat="false" ht="14.25" hidden="false" customHeight="false" outlineLevel="0" collapsed="false">
      <c r="A67" s="62" t="n">
        <f aca="false">(C67*(9/5))+32</f>
        <v>102.2</v>
      </c>
      <c r="B67" s="62"/>
      <c r="C67" s="62" t="n">
        <v>39</v>
      </c>
      <c r="D67" s="62"/>
    </row>
    <row r="68" customFormat="false" ht="14.25" hidden="false" customHeight="false" outlineLevel="0" collapsed="false">
      <c r="A68" s="62" t="n">
        <f aca="false">(C68*(9/5))+32</f>
        <v>104</v>
      </c>
      <c r="B68" s="62"/>
      <c r="C68" s="62" t="n">
        <v>40</v>
      </c>
      <c r="D68" s="62"/>
    </row>
    <row r="69" customFormat="false" ht="14.25" hidden="false" customHeight="false" outlineLevel="0" collapsed="false">
      <c r="A69" s="62" t="n">
        <f aca="false">(C69*(9/5))+32</f>
        <v>105.8</v>
      </c>
      <c r="B69" s="62"/>
      <c r="C69" s="62" t="n">
        <v>41</v>
      </c>
      <c r="D69" s="62"/>
    </row>
    <row r="70" customFormat="false" ht="14.25" hidden="false" customHeight="false" outlineLevel="0" collapsed="false">
      <c r="A70" s="62" t="n">
        <f aca="false">(C70*(9/5))+32</f>
        <v>107.6</v>
      </c>
      <c r="B70" s="62"/>
      <c r="C70" s="62" t="n">
        <v>42</v>
      </c>
      <c r="D70" s="62"/>
    </row>
    <row r="71" customFormat="false" ht="14.25" hidden="false" customHeight="false" outlineLevel="0" collapsed="false">
      <c r="A71" s="62" t="n">
        <f aca="false">(C71*(9/5))+32</f>
        <v>109.4</v>
      </c>
      <c r="B71" s="62"/>
      <c r="C71" s="62" t="n">
        <v>43</v>
      </c>
      <c r="D71" s="62"/>
    </row>
    <row r="72" customFormat="false" ht="14.25" hidden="false" customHeight="false" outlineLevel="0" collapsed="false">
      <c r="A72" s="62" t="n">
        <f aca="false">(C72*(9/5))+32</f>
        <v>111.2</v>
      </c>
      <c r="B72" s="62"/>
      <c r="C72" s="62" t="n">
        <v>44</v>
      </c>
      <c r="D72" s="62"/>
    </row>
    <row r="73" customFormat="false" ht="14.25" hidden="false" customHeight="false" outlineLevel="0" collapsed="false">
      <c r="A73" s="62" t="n">
        <f aca="false">(C73*(9/5))+32</f>
        <v>113</v>
      </c>
      <c r="B73" s="62"/>
      <c r="C73" s="62" t="n">
        <v>45</v>
      </c>
      <c r="D73" s="62"/>
    </row>
    <row r="74" customFormat="false" ht="14.25" hidden="false" customHeight="false" outlineLevel="0" collapsed="false">
      <c r="A74" s="62" t="n">
        <f aca="false">(C74*(9/5))+32</f>
        <v>114.8</v>
      </c>
      <c r="B74" s="62"/>
      <c r="C74" s="62" t="n">
        <v>46</v>
      </c>
      <c r="D74" s="62"/>
    </row>
    <row r="75" customFormat="false" ht="14.25" hidden="false" customHeight="false" outlineLevel="0" collapsed="false">
      <c r="A75" s="62" t="n">
        <f aca="false">(C75*(9/5))+32</f>
        <v>116.6</v>
      </c>
      <c r="B75" s="62"/>
      <c r="C75" s="62" t="n">
        <v>47</v>
      </c>
      <c r="D75" s="62"/>
    </row>
    <row r="76" customFormat="false" ht="14.25" hidden="false" customHeight="false" outlineLevel="0" collapsed="false">
      <c r="A76" s="62" t="n">
        <f aca="false">(C76*(9/5))+32</f>
        <v>118.4</v>
      </c>
      <c r="B76" s="62"/>
      <c r="C76" s="62" t="n">
        <v>48</v>
      </c>
      <c r="D76" s="62"/>
    </row>
    <row r="77" customFormat="false" ht="14.25" hidden="false" customHeight="false" outlineLevel="0" collapsed="false">
      <c r="A77" s="62" t="n">
        <f aca="false">(C77*(9/5))+32</f>
        <v>120.2</v>
      </c>
      <c r="B77" s="62"/>
      <c r="C77" s="62" t="n">
        <v>49</v>
      </c>
      <c r="D77" s="62"/>
    </row>
    <row r="78" customFormat="false" ht="14.25" hidden="false" customHeight="false" outlineLevel="0" collapsed="false">
      <c r="A78" s="62" t="n">
        <f aca="false">(C78*(9/5))+32</f>
        <v>122</v>
      </c>
      <c r="B78" s="62"/>
      <c r="C78" s="62" t="n">
        <v>50</v>
      </c>
      <c r="D78" s="62"/>
    </row>
    <row r="79" customFormat="false" ht="14.25" hidden="false" customHeight="false" outlineLevel="0" collapsed="false">
      <c r="A79" s="62" t="n">
        <f aca="false">(C79*(9/5))+32</f>
        <v>123.8</v>
      </c>
      <c r="B79" s="62"/>
      <c r="C79" s="62" t="n">
        <v>51</v>
      </c>
      <c r="D79" s="62"/>
    </row>
    <row r="80" customFormat="false" ht="14.25" hidden="false" customHeight="false" outlineLevel="0" collapsed="false">
      <c r="A80" s="62" t="n">
        <f aca="false">(C80*(9/5))+32</f>
        <v>125.6</v>
      </c>
      <c r="B80" s="62"/>
      <c r="C80" s="62" t="n">
        <v>52</v>
      </c>
      <c r="D80" s="62"/>
    </row>
    <row r="81" customFormat="false" ht="14.25" hidden="false" customHeight="false" outlineLevel="0" collapsed="false">
      <c r="A81" s="62" t="n">
        <f aca="false">(C81*(9/5))+32</f>
        <v>127.4</v>
      </c>
      <c r="B81" s="62"/>
      <c r="C81" s="62" t="n">
        <v>53</v>
      </c>
      <c r="D81" s="62"/>
    </row>
    <row r="82" customFormat="false" ht="14.25" hidden="false" customHeight="false" outlineLevel="0" collapsed="false">
      <c r="A82" s="62" t="n">
        <f aca="false">(C82*(9/5))+32</f>
        <v>129.2</v>
      </c>
      <c r="B82" s="62"/>
      <c r="C82" s="62" t="n">
        <v>54</v>
      </c>
      <c r="D82" s="62"/>
    </row>
    <row r="83" customFormat="false" ht="14.25" hidden="false" customHeight="false" outlineLevel="0" collapsed="false">
      <c r="A83" s="62" t="n">
        <f aca="false">(C83*(9/5))+32</f>
        <v>131</v>
      </c>
      <c r="B83" s="62"/>
      <c r="C83" s="62" t="n">
        <v>55</v>
      </c>
      <c r="D83" s="62"/>
    </row>
    <row r="84" customFormat="false" ht="14.25" hidden="false" customHeight="false" outlineLevel="0" collapsed="false">
      <c r="A84" s="62" t="n">
        <f aca="false">(C84*(9/5))+32</f>
        <v>132.8</v>
      </c>
      <c r="B84" s="62"/>
      <c r="C84" s="62" t="n">
        <v>56</v>
      </c>
      <c r="D84" s="62"/>
    </row>
    <row r="85" customFormat="false" ht="14.25" hidden="false" customHeight="false" outlineLevel="0" collapsed="false">
      <c r="A85" s="62" t="n">
        <f aca="false">(C85*(9/5))+32</f>
        <v>134.6</v>
      </c>
      <c r="B85" s="62"/>
      <c r="C85" s="62" t="n">
        <v>57</v>
      </c>
      <c r="D85" s="62"/>
    </row>
    <row r="86" customFormat="false" ht="14.25" hidden="false" customHeight="false" outlineLevel="0" collapsed="false">
      <c r="A86" s="62" t="n">
        <f aca="false">(C86*(9/5))+32</f>
        <v>136.4</v>
      </c>
      <c r="B86" s="62"/>
      <c r="C86" s="62" t="n">
        <v>58</v>
      </c>
      <c r="D86" s="62"/>
    </row>
    <row r="87" customFormat="false" ht="14.25" hidden="false" customHeight="false" outlineLevel="0" collapsed="false">
      <c r="A87" s="62" t="n">
        <f aca="false">(C87*(9/5))+32</f>
        <v>138.2</v>
      </c>
      <c r="B87" s="62"/>
      <c r="C87" s="62" t="n">
        <v>59</v>
      </c>
      <c r="D87" s="62"/>
    </row>
    <row r="88" customFormat="false" ht="14.25" hidden="false" customHeight="false" outlineLevel="0" collapsed="false">
      <c r="A88" s="62" t="n">
        <f aca="false">(C88*(9/5))+32</f>
        <v>140</v>
      </c>
      <c r="B88" s="62"/>
      <c r="C88" s="62" t="n">
        <v>60</v>
      </c>
      <c r="D88" s="62"/>
    </row>
    <row r="89" customFormat="false" ht="14.25" hidden="false" customHeight="false" outlineLevel="0" collapsed="false">
      <c r="A89" s="62" t="n">
        <f aca="false">(C89*(9/5))+32</f>
        <v>141.8</v>
      </c>
      <c r="B89" s="62"/>
      <c r="C89" s="62" t="n">
        <v>61</v>
      </c>
      <c r="D89" s="62"/>
    </row>
    <row r="90" customFormat="false" ht="14.25" hidden="false" customHeight="false" outlineLevel="0" collapsed="false">
      <c r="A90" s="62" t="n">
        <f aca="false">(C90*(9/5))+32</f>
        <v>143.6</v>
      </c>
      <c r="B90" s="62"/>
      <c r="C90" s="62" t="n">
        <v>62</v>
      </c>
      <c r="D90" s="62"/>
    </row>
    <row r="91" customFormat="false" ht="14.25" hidden="false" customHeight="false" outlineLevel="0" collapsed="false">
      <c r="A91" s="62" t="n">
        <f aca="false">(C91*(9/5))+32</f>
        <v>145.4</v>
      </c>
      <c r="B91" s="62"/>
      <c r="C91" s="62" t="n">
        <v>63</v>
      </c>
      <c r="D91" s="62"/>
    </row>
    <row r="92" customFormat="false" ht="14.25" hidden="false" customHeight="false" outlineLevel="0" collapsed="false">
      <c r="A92" s="62" t="n">
        <f aca="false">(C92*(9/5))+32</f>
        <v>147.2</v>
      </c>
      <c r="B92" s="62"/>
      <c r="C92" s="62" t="n">
        <v>64</v>
      </c>
      <c r="D92" s="62"/>
    </row>
    <row r="93" customFormat="false" ht="14.25" hidden="false" customHeight="false" outlineLevel="0" collapsed="false">
      <c r="A93" s="62" t="n">
        <f aca="false">(C93*(9/5))+32</f>
        <v>149</v>
      </c>
      <c r="B93" s="62"/>
      <c r="C93" s="62" t="n">
        <v>65</v>
      </c>
      <c r="D93" s="62"/>
    </row>
    <row r="94" customFormat="false" ht="14.25" hidden="false" customHeight="false" outlineLevel="0" collapsed="false">
      <c r="A94" s="62" t="n">
        <f aca="false">(C94*(9/5))+32</f>
        <v>150.8</v>
      </c>
      <c r="B94" s="62"/>
      <c r="C94" s="62" t="n">
        <v>66</v>
      </c>
      <c r="D94" s="62"/>
    </row>
    <row r="95" customFormat="false" ht="14.25" hidden="false" customHeight="false" outlineLevel="0" collapsed="false">
      <c r="A95" s="62" t="n">
        <f aca="false">(C95*(9/5))+32</f>
        <v>152.6</v>
      </c>
      <c r="B95" s="62"/>
      <c r="C95" s="62" t="n">
        <v>67</v>
      </c>
      <c r="D95" s="62"/>
    </row>
    <row r="96" customFormat="false" ht="14.25" hidden="false" customHeight="false" outlineLevel="0" collapsed="false">
      <c r="A96" s="62" t="n">
        <f aca="false">(C96*(9/5))+32</f>
        <v>154.4</v>
      </c>
      <c r="B96" s="62"/>
      <c r="C96" s="62" t="n">
        <v>68</v>
      </c>
      <c r="D96" s="62"/>
    </row>
    <row r="97" customFormat="false" ht="14.25" hidden="false" customHeight="false" outlineLevel="0" collapsed="false">
      <c r="A97" s="62" t="n">
        <f aca="false">(C97*(9/5))+32</f>
        <v>156.2</v>
      </c>
      <c r="B97" s="62"/>
      <c r="C97" s="62" t="n">
        <v>69</v>
      </c>
      <c r="D97" s="62"/>
    </row>
    <row r="98" customFormat="false" ht="14.25" hidden="false" customHeight="false" outlineLevel="0" collapsed="false">
      <c r="A98" s="62" t="n">
        <f aca="false">(C98*(9/5))+32</f>
        <v>158</v>
      </c>
      <c r="B98" s="62"/>
      <c r="C98" s="62" t="n">
        <v>70</v>
      </c>
      <c r="D98" s="62"/>
    </row>
    <row r="99" customFormat="false" ht="14.25" hidden="false" customHeight="false" outlineLevel="0" collapsed="false">
      <c r="A99" s="62" t="n">
        <f aca="false">(C99*(9/5))+32</f>
        <v>159.8</v>
      </c>
      <c r="B99" s="62"/>
      <c r="C99" s="62" t="n">
        <v>71</v>
      </c>
      <c r="D99" s="62"/>
    </row>
    <row r="100" customFormat="false" ht="14.25" hidden="false" customHeight="false" outlineLevel="0" collapsed="false">
      <c r="A100" s="62" t="n">
        <f aca="false">(C100*(9/5))+32</f>
        <v>161.6</v>
      </c>
      <c r="B100" s="62"/>
      <c r="C100" s="62" t="n">
        <v>72</v>
      </c>
      <c r="D100" s="62"/>
    </row>
    <row r="101" customFormat="false" ht="14.25" hidden="false" customHeight="false" outlineLevel="0" collapsed="false">
      <c r="A101" s="62" t="n">
        <f aca="false">(C101*(9/5))+32</f>
        <v>163.4</v>
      </c>
      <c r="B101" s="62"/>
      <c r="C101" s="62" t="n">
        <v>73</v>
      </c>
      <c r="D101" s="62"/>
    </row>
    <row r="102" customFormat="false" ht="14.25" hidden="false" customHeight="false" outlineLevel="0" collapsed="false">
      <c r="A102" s="62" t="n">
        <f aca="false">(C102*(9/5))+32</f>
        <v>165.2</v>
      </c>
      <c r="B102" s="62"/>
      <c r="C102" s="62" t="n">
        <v>74</v>
      </c>
      <c r="D102" s="62"/>
    </row>
    <row r="103" customFormat="false" ht="14.25" hidden="false" customHeight="false" outlineLevel="0" collapsed="false">
      <c r="A103" s="62" t="n">
        <f aca="false">(C103*(9/5))+32</f>
        <v>167</v>
      </c>
      <c r="B103" s="62"/>
      <c r="C103" s="62" t="n">
        <v>75</v>
      </c>
      <c r="D103" s="62"/>
    </row>
    <row r="104" customFormat="false" ht="14.25" hidden="false" customHeight="false" outlineLevel="0" collapsed="false">
      <c r="A104" s="62" t="n">
        <f aca="false">(C104*(9/5))+32</f>
        <v>168.8</v>
      </c>
      <c r="B104" s="62"/>
      <c r="C104" s="62" t="n">
        <v>76</v>
      </c>
      <c r="D104" s="62"/>
    </row>
    <row r="105" customFormat="false" ht="14.25" hidden="false" customHeight="false" outlineLevel="0" collapsed="false">
      <c r="A105" s="62" t="n">
        <f aca="false">(C105*(9/5))+32</f>
        <v>170.6</v>
      </c>
      <c r="B105" s="62"/>
      <c r="C105" s="62" t="n">
        <v>77</v>
      </c>
      <c r="D105" s="62"/>
    </row>
    <row r="106" customFormat="false" ht="14.25" hidden="false" customHeight="false" outlineLevel="0" collapsed="false">
      <c r="A106" s="62" t="n">
        <f aca="false">(C106*(9/5))+32</f>
        <v>172.4</v>
      </c>
      <c r="B106" s="62"/>
      <c r="C106" s="62" t="n">
        <v>78</v>
      </c>
      <c r="D106" s="62"/>
    </row>
    <row r="107" customFormat="false" ht="14.25" hidden="false" customHeight="false" outlineLevel="0" collapsed="false">
      <c r="A107" s="62" t="n">
        <f aca="false">(C107*(9/5))+32</f>
        <v>174.2</v>
      </c>
      <c r="B107" s="62"/>
      <c r="C107" s="62" t="n">
        <v>79</v>
      </c>
      <c r="D107" s="62"/>
    </row>
    <row r="108" customFormat="false" ht="14.25" hidden="false" customHeight="false" outlineLevel="0" collapsed="false">
      <c r="A108" s="62" t="n">
        <f aca="false">(C108*(9/5))+32</f>
        <v>176</v>
      </c>
      <c r="B108" s="62"/>
      <c r="C108" s="62" t="n">
        <v>80</v>
      </c>
      <c r="D108" s="62"/>
    </row>
    <row r="109" customFormat="false" ht="14.25" hidden="false" customHeight="false" outlineLevel="0" collapsed="false">
      <c r="A109" s="62" t="n">
        <f aca="false">(C109*(9/5))+32</f>
        <v>177.8</v>
      </c>
      <c r="B109" s="62"/>
      <c r="C109" s="62" t="n">
        <v>81</v>
      </c>
      <c r="D109" s="62"/>
    </row>
    <row r="110" customFormat="false" ht="14.25" hidden="false" customHeight="false" outlineLevel="0" collapsed="false">
      <c r="A110" s="62" t="n">
        <f aca="false">(C110*(9/5))+32</f>
        <v>179.6</v>
      </c>
      <c r="B110" s="62"/>
      <c r="C110" s="62" t="n">
        <v>82</v>
      </c>
      <c r="D110" s="62"/>
    </row>
    <row r="111" customFormat="false" ht="14.25" hidden="false" customHeight="false" outlineLevel="0" collapsed="false">
      <c r="A111" s="62" t="n">
        <f aca="false">(C111*(9/5))+32</f>
        <v>181.4</v>
      </c>
      <c r="B111" s="62"/>
      <c r="C111" s="62" t="n">
        <v>83</v>
      </c>
      <c r="D111" s="62"/>
    </row>
    <row r="112" customFormat="false" ht="14.25" hidden="false" customHeight="false" outlineLevel="0" collapsed="false">
      <c r="A112" s="62" t="n">
        <f aca="false">(C112*(9/5))+32</f>
        <v>183.2</v>
      </c>
      <c r="B112" s="62"/>
      <c r="C112" s="62" t="n">
        <v>84</v>
      </c>
      <c r="D112" s="62"/>
    </row>
    <row r="113" customFormat="false" ht="14.25" hidden="false" customHeight="false" outlineLevel="0" collapsed="false">
      <c r="A113" s="62" t="n">
        <f aca="false">(C113*(9/5))+32</f>
        <v>185</v>
      </c>
      <c r="B113" s="62"/>
      <c r="C113" s="62" t="n">
        <v>85</v>
      </c>
      <c r="D113" s="62"/>
    </row>
    <row r="114" customFormat="false" ht="14.25" hidden="false" customHeight="false" outlineLevel="0" collapsed="false">
      <c r="A114" s="62" t="n">
        <f aca="false">(C114*(9/5))+32</f>
        <v>186.8</v>
      </c>
      <c r="B114" s="62"/>
      <c r="C114" s="62" t="n">
        <v>86</v>
      </c>
      <c r="D114" s="62"/>
    </row>
    <row r="115" customFormat="false" ht="14.25" hidden="false" customHeight="false" outlineLevel="0" collapsed="false">
      <c r="A115" s="62" t="n">
        <f aca="false">(C115*(9/5))+32</f>
        <v>188.6</v>
      </c>
      <c r="B115" s="62"/>
      <c r="C115" s="62" t="n">
        <v>87</v>
      </c>
      <c r="D115" s="62"/>
    </row>
    <row r="116" customFormat="false" ht="14.25" hidden="false" customHeight="false" outlineLevel="0" collapsed="false">
      <c r="A116" s="62" t="n">
        <f aca="false">(C116*(9/5))+32</f>
        <v>190.4</v>
      </c>
      <c r="B116" s="62"/>
      <c r="C116" s="62" t="n">
        <v>88</v>
      </c>
      <c r="D116" s="62"/>
    </row>
    <row r="117" customFormat="false" ht="14.25" hidden="false" customHeight="false" outlineLevel="0" collapsed="false">
      <c r="A117" s="62" t="n">
        <f aca="false">(C117*(9/5))+32</f>
        <v>192.2</v>
      </c>
      <c r="B117" s="62"/>
      <c r="C117" s="62" t="n">
        <v>89</v>
      </c>
      <c r="D117" s="62"/>
    </row>
    <row r="118" customFormat="false" ht="14.25" hidden="false" customHeight="false" outlineLevel="0" collapsed="false">
      <c r="A118" s="62" t="n">
        <f aca="false">(C118*(9/5))+32</f>
        <v>194</v>
      </c>
      <c r="B118" s="62"/>
      <c r="C118" s="62" t="n">
        <v>90</v>
      </c>
      <c r="D118" s="62"/>
    </row>
    <row r="119" customFormat="false" ht="14.25" hidden="false" customHeight="false" outlineLevel="0" collapsed="false">
      <c r="A119" s="62" t="n">
        <f aca="false">(C119*(9/5))+32</f>
        <v>195.8</v>
      </c>
      <c r="B119" s="62"/>
      <c r="C119" s="62" t="n">
        <v>91</v>
      </c>
      <c r="D119" s="62"/>
    </row>
    <row r="120" customFormat="false" ht="14.25" hidden="false" customHeight="false" outlineLevel="0" collapsed="false">
      <c r="A120" s="62" t="n">
        <f aca="false">(C120*(9/5))+32</f>
        <v>197.6</v>
      </c>
      <c r="B120" s="62"/>
      <c r="C120" s="62" t="n">
        <v>92</v>
      </c>
      <c r="D120" s="62"/>
    </row>
    <row r="121" customFormat="false" ht="14.25" hidden="false" customHeight="false" outlineLevel="0" collapsed="false">
      <c r="A121" s="62" t="n">
        <f aca="false">(C121*(9/5))+32</f>
        <v>199.4</v>
      </c>
      <c r="B121" s="62"/>
      <c r="C121" s="62" t="n">
        <v>93</v>
      </c>
      <c r="D121" s="62"/>
    </row>
    <row r="122" customFormat="false" ht="14.25" hidden="false" customHeight="false" outlineLevel="0" collapsed="false">
      <c r="A122" s="62" t="n">
        <f aca="false">(C122*(9/5))+32</f>
        <v>201.2</v>
      </c>
      <c r="B122" s="62"/>
      <c r="C122" s="62" t="n">
        <v>94</v>
      </c>
      <c r="D122" s="62"/>
    </row>
    <row r="123" customFormat="false" ht="14.25" hidden="false" customHeight="false" outlineLevel="0" collapsed="false">
      <c r="A123" s="62" t="n">
        <f aca="false">(C123*(9/5))+32</f>
        <v>203</v>
      </c>
      <c r="B123" s="62"/>
      <c r="C123" s="62" t="n">
        <v>95</v>
      </c>
      <c r="D123" s="62"/>
    </row>
    <row r="124" customFormat="false" ht="14.25" hidden="false" customHeight="false" outlineLevel="0" collapsed="false">
      <c r="A124" s="62" t="n">
        <f aca="false">(C124*(9/5))+32</f>
        <v>204.8</v>
      </c>
      <c r="B124" s="62"/>
      <c r="C124" s="62" t="n">
        <v>96</v>
      </c>
      <c r="D124" s="62"/>
    </row>
    <row r="125" customFormat="false" ht="14.25" hidden="false" customHeight="false" outlineLevel="0" collapsed="false">
      <c r="A125" s="62" t="n">
        <f aca="false">(C125*(9/5))+32</f>
        <v>206.6</v>
      </c>
      <c r="B125" s="62"/>
      <c r="C125" s="62" t="n">
        <v>97</v>
      </c>
      <c r="D125" s="62"/>
    </row>
    <row r="126" customFormat="false" ht="14.25" hidden="false" customHeight="false" outlineLevel="0" collapsed="false">
      <c r="A126" s="62" t="n">
        <f aca="false">(C126*(9/5))+32</f>
        <v>208.4</v>
      </c>
      <c r="B126" s="62"/>
      <c r="C126" s="62" t="n">
        <v>98</v>
      </c>
      <c r="D126" s="62"/>
    </row>
    <row r="127" customFormat="false" ht="14.25" hidden="false" customHeight="false" outlineLevel="0" collapsed="false">
      <c r="A127" s="62" t="n">
        <f aca="false">(C127*(9/5))+32</f>
        <v>210.2</v>
      </c>
      <c r="B127" s="62"/>
      <c r="C127" s="62" t="n">
        <v>99</v>
      </c>
      <c r="D127" s="62"/>
    </row>
    <row r="128" customFormat="false" ht="14.25" hidden="false" customHeight="false" outlineLevel="0" collapsed="false">
      <c r="A128" s="62" t="n">
        <f aca="false">(C128*(9/5))+32</f>
        <v>212</v>
      </c>
      <c r="B128" s="62"/>
      <c r="C128" s="62" t="n">
        <v>100</v>
      </c>
      <c r="D128" s="62"/>
    </row>
    <row r="129" customFormat="false" ht="14.25" hidden="false" customHeight="false" outlineLevel="0" collapsed="false">
      <c r="A129" s="62" t="n">
        <f aca="false">(C129*(9/5))+32</f>
        <v>213.8</v>
      </c>
      <c r="B129" s="62"/>
      <c r="C129" s="62" t="n">
        <v>101</v>
      </c>
      <c r="D129" s="62"/>
    </row>
    <row r="130" customFormat="false" ht="14.25" hidden="false" customHeight="false" outlineLevel="0" collapsed="false">
      <c r="A130" s="62" t="n">
        <f aca="false">(C130*(9/5))+32</f>
        <v>215.6</v>
      </c>
      <c r="B130" s="62"/>
      <c r="C130" s="62" t="n">
        <v>102</v>
      </c>
      <c r="D130" s="62"/>
    </row>
    <row r="131" customFormat="false" ht="14.25" hidden="false" customHeight="false" outlineLevel="0" collapsed="false">
      <c r="A131" s="62" t="n">
        <f aca="false">(C131*(9/5))+32</f>
        <v>217.4</v>
      </c>
      <c r="B131" s="62"/>
      <c r="C131" s="62" t="n">
        <v>103</v>
      </c>
      <c r="D131" s="62"/>
    </row>
    <row r="132" customFormat="false" ht="14.25" hidden="false" customHeight="false" outlineLevel="0" collapsed="false">
      <c r="A132" s="62" t="n">
        <f aca="false">(C132*(9/5))+32</f>
        <v>219.2</v>
      </c>
      <c r="B132" s="62"/>
      <c r="C132" s="62" t="n">
        <v>104</v>
      </c>
      <c r="D132" s="62"/>
    </row>
    <row r="133" customFormat="false" ht="14.25" hidden="false" customHeight="false" outlineLevel="0" collapsed="false">
      <c r="A133" s="62" t="n">
        <f aca="false">(C133*(9/5))+32</f>
        <v>221</v>
      </c>
      <c r="B133" s="62"/>
      <c r="C133" s="62" t="n">
        <v>105</v>
      </c>
      <c r="D133" s="62"/>
    </row>
    <row r="134" customFormat="false" ht="14.25" hidden="false" customHeight="false" outlineLevel="0" collapsed="false">
      <c r="A134" s="62" t="n">
        <f aca="false">(C134*(9/5))+32</f>
        <v>222.8</v>
      </c>
      <c r="B134" s="62"/>
      <c r="C134" s="62" t="n">
        <v>106</v>
      </c>
      <c r="D134" s="62"/>
    </row>
    <row r="135" customFormat="false" ht="14.25" hidden="false" customHeight="false" outlineLevel="0" collapsed="false">
      <c r="A135" s="62" t="n">
        <f aca="false">(C135*(9/5))+32</f>
        <v>224.6</v>
      </c>
      <c r="B135" s="62"/>
      <c r="C135" s="62" t="n">
        <v>107</v>
      </c>
      <c r="D135" s="62"/>
    </row>
    <row r="136" customFormat="false" ht="14.25" hidden="false" customHeight="false" outlineLevel="0" collapsed="false">
      <c r="A136" s="62" t="n">
        <f aca="false">(C136*(9/5))+32</f>
        <v>226.4</v>
      </c>
      <c r="B136" s="62"/>
      <c r="C136" s="62" t="n">
        <v>108</v>
      </c>
      <c r="D136" s="62"/>
    </row>
    <row r="137" customFormat="false" ht="14.25" hidden="false" customHeight="false" outlineLevel="0" collapsed="false">
      <c r="A137" s="62" t="n">
        <f aca="false">(C137*(9/5))+32</f>
        <v>228.2</v>
      </c>
      <c r="B137" s="62"/>
      <c r="C137" s="62" t="n">
        <v>109</v>
      </c>
      <c r="D137" s="62"/>
    </row>
    <row r="138" customFormat="false" ht="14.25" hidden="false" customHeight="false" outlineLevel="0" collapsed="false">
      <c r="A138" s="62" t="n">
        <f aca="false">(C138*(9/5))+32</f>
        <v>230</v>
      </c>
      <c r="B138" s="62"/>
      <c r="C138" s="62" t="n">
        <v>110</v>
      </c>
      <c r="D138" s="62"/>
    </row>
  </sheetData>
  <mergeCells count="273">
    <mergeCell ref="A1:D1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1"/>
    <mergeCell ref="A32:B32"/>
    <mergeCell ref="C32:D32"/>
    <mergeCell ref="A33:B33"/>
    <mergeCell ref="C33:D33"/>
    <mergeCell ref="A34:B34"/>
    <mergeCell ref="C34:D34"/>
    <mergeCell ref="A35:B35"/>
    <mergeCell ref="C35:D35"/>
    <mergeCell ref="A36:B36"/>
    <mergeCell ref="C36:D36"/>
    <mergeCell ref="A37:B37"/>
    <mergeCell ref="C37:D37"/>
    <mergeCell ref="A38:B38"/>
    <mergeCell ref="C38:D38"/>
    <mergeCell ref="A39:B39"/>
    <mergeCell ref="C39:D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D47"/>
    <mergeCell ref="A48:B48"/>
    <mergeCell ref="C48:D48"/>
    <mergeCell ref="A49:B49"/>
    <mergeCell ref="C49:D49"/>
    <mergeCell ref="A50:B50"/>
    <mergeCell ref="C50:D50"/>
    <mergeCell ref="A51:B51"/>
    <mergeCell ref="C51:D51"/>
    <mergeCell ref="A52:B52"/>
    <mergeCell ref="C52:D52"/>
    <mergeCell ref="A53:B53"/>
    <mergeCell ref="C53:D53"/>
    <mergeCell ref="A54:B54"/>
    <mergeCell ref="C54:D54"/>
    <mergeCell ref="A55:B55"/>
    <mergeCell ref="C55:D55"/>
    <mergeCell ref="A56:B56"/>
    <mergeCell ref="C56:D56"/>
    <mergeCell ref="A57:B57"/>
    <mergeCell ref="C57:D57"/>
    <mergeCell ref="A58:B58"/>
    <mergeCell ref="C58:D58"/>
    <mergeCell ref="A59:B59"/>
    <mergeCell ref="C59:D59"/>
    <mergeCell ref="A60:B60"/>
    <mergeCell ref="C60:D60"/>
    <mergeCell ref="A61:B61"/>
    <mergeCell ref="C61:D61"/>
    <mergeCell ref="A62:B62"/>
    <mergeCell ref="C62:D62"/>
    <mergeCell ref="A63:B63"/>
    <mergeCell ref="C63:D63"/>
    <mergeCell ref="A64:B64"/>
    <mergeCell ref="C64:D64"/>
    <mergeCell ref="A65:B65"/>
    <mergeCell ref="C65:D65"/>
    <mergeCell ref="A66:B66"/>
    <mergeCell ref="C66:D66"/>
    <mergeCell ref="A67:B67"/>
    <mergeCell ref="C67:D67"/>
    <mergeCell ref="A68:B68"/>
    <mergeCell ref="C68:D68"/>
    <mergeCell ref="A69:B69"/>
    <mergeCell ref="C69:D69"/>
    <mergeCell ref="A70:B70"/>
    <mergeCell ref="C70:D70"/>
    <mergeCell ref="A71:B71"/>
    <mergeCell ref="C71:D71"/>
    <mergeCell ref="A72:B72"/>
    <mergeCell ref="C72:D72"/>
    <mergeCell ref="A73:B73"/>
    <mergeCell ref="C73:D73"/>
    <mergeCell ref="A74:B74"/>
    <mergeCell ref="C74:D74"/>
    <mergeCell ref="A75:B75"/>
    <mergeCell ref="C75:D75"/>
    <mergeCell ref="A76:B76"/>
    <mergeCell ref="C76:D76"/>
    <mergeCell ref="A77:B77"/>
    <mergeCell ref="C77:D77"/>
    <mergeCell ref="A78:B78"/>
    <mergeCell ref="C78:D78"/>
    <mergeCell ref="A79:B79"/>
    <mergeCell ref="C79:D79"/>
    <mergeCell ref="A80:B80"/>
    <mergeCell ref="C80:D80"/>
    <mergeCell ref="A81:B81"/>
    <mergeCell ref="C81:D81"/>
    <mergeCell ref="A82:B82"/>
    <mergeCell ref="C82:D82"/>
    <mergeCell ref="A83:B83"/>
    <mergeCell ref="C83:D83"/>
    <mergeCell ref="A84:B84"/>
    <mergeCell ref="C84:D84"/>
    <mergeCell ref="A85:B85"/>
    <mergeCell ref="C85:D85"/>
    <mergeCell ref="A86:B86"/>
    <mergeCell ref="C86:D86"/>
    <mergeCell ref="A87:B87"/>
    <mergeCell ref="C87:D87"/>
    <mergeCell ref="A88:B88"/>
    <mergeCell ref="C88:D88"/>
    <mergeCell ref="A89:B89"/>
    <mergeCell ref="C89:D89"/>
    <mergeCell ref="A90:B90"/>
    <mergeCell ref="C90:D90"/>
    <mergeCell ref="A91:B91"/>
    <mergeCell ref="C91:D91"/>
    <mergeCell ref="A92:B92"/>
    <mergeCell ref="C92:D92"/>
    <mergeCell ref="A93:B93"/>
    <mergeCell ref="C93:D93"/>
    <mergeCell ref="A94:B94"/>
    <mergeCell ref="C94:D94"/>
    <mergeCell ref="A95:B95"/>
    <mergeCell ref="C95:D95"/>
    <mergeCell ref="A96:B96"/>
    <mergeCell ref="C96:D96"/>
    <mergeCell ref="A97:B97"/>
    <mergeCell ref="C97:D97"/>
    <mergeCell ref="A98:B98"/>
    <mergeCell ref="C98:D98"/>
    <mergeCell ref="A99:B99"/>
    <mergeCell ref="C99:D99"/>
    <mergeCell ref="A100:B100"/>
    <mergeCell ref="C100:D100"/>
    <mergeCell ref="A101:B101"/>
    <mergeCell ref="C101:D101"/>
    <mergeCell ref="A102:B102"/>
    <mergeCell ref="C102:D102"/>
    <mergeCell ref="A103:B103"/>
    <mergeCell ref="C103:D103"/>
    <mergeCell ref="A104:B104"/>
    <mergeCell ref="C104:D104"/>
    <mergeCell ref="A105:B105"/>
    <mergeCell ref="C105:D105"/>
    <mergeCell ref="A106:B106"/>
    <mergeCell ref="C106:D106"/>
    <mergeCell ref="A107:B107"/>
    <mergeCell ref="C107:D107"/>
    <mergeCell ref="A108:B108"/>
    <mergeCell ref="C108:D108"/>
    <mergeCell ref="A109:B109"/>
    <mergeCell ref="C109:D109"/>
    <mergeCell ref="A110:B110"/>
    <mergeCell ref="C110:D110"/>
    <mergeCell ref="A111:B111"/>
    <mergeCell ref="C111:D111"/>
    <mergeCell ref="A112:B112"/>
    <mergeCell ref="C112:D112"/>
    <mergeCell ref="A113:B113"/>
    <mergeCell ref="C113:D113"/>
    <mergeCell ref="A114:B114"/>
    <mergeCell ref="C114:D114"/>
    <mergeCell ref="A115:B115"/>
    <mergeCell ref="C115:D115"/>
    <mergeCell ref="A116:B116"/>
    <mergeCell ref="C116:D116"/>
    <mergeCell ref="A117:B117"/>
    <mergeCell ref="C117:D117"/>
    <mergeCell ref="A118:B118"/>
    <mergeCell ref="C118:D118"/>
    <mergeCell ref="A119:B119"/>
    <mergeCell ref="C119:D119"/>
    <mergeCell ref="A120:B120"/>
    <mergeCell ref="C120:D120"/>
    <mergeCell ref="A121:B121"/>
    <mergeCell ref="C121:D121"/>
    <mergeCell ref="A122:B122"/>
    <mergeCell ref="C122:D122"/>
    <mergeCell ref="A123:B123"/>
    <mergeCell ref="C123:D123"/>
    <mergeCell ref="A124:B124"/>
    <mergeCell ref="C124:D124"/>
    <mergeCell ref="A125:B125"/>
    <mergeCell ref="C125:D125"/>
    <mergeCell ref="A126:B126"/>
    <mergeCell ref="C126:D126"/>
    <mergeCell ref="A127:B127"/>
    <mergeCell ref="C127:D127"/>
    <mergeCell ref="A128:B128"/>
    <mergeCell ref="C128:D128"/>
    <mergeCell ref="A129:B129"/>
    <mergeCell ref="C129:D129"/>
    <mergeCell ref="A130:B130"/>
    <mergeCell ref="C130:D130"/>
    <mergeCell ref="A131:B131"/>
    <mergeCell ref="C131:D131"/>
    <mergeCell ref="A132:B132"/>
    <mergeCell ref="C132:D132"/>
    <mergeCell ref="A133:B133"/>
    <mergeCell ref="C133:D133"/>
    <mergeCell ref="A134:B134"/>
    <mergeCell ref="C134:D134"/>
    <mergeCell ref="A135:B135"/>
    <mergeCell ref="C135:D135"/>
    <mergeCell ref="A136:B136"/>
    <mergeCell ref="C136:D136"/>
    <mergeCell ref="A137:B137"/>
    <mergeCell ref="C137:D137"/>
    <mergeCell ref="A138:B138"/>
    <mergeCell ref="C138:D13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2009-06-02T15:38:13Z</dcterms:created>
  <dc:creator>Brian Rodgers</dc:creator>
  <dc:description/>
  <dc:language>en-US</dc:language>
  <cp:lastModifiedBy/>
  <cp:lastPrinted>2024-02-07T20:35:28Z</cp:lastPrinted>
  <dcterms:modified xsi:type="dcterms:W3CDTF">2026-08-28T11:24:47Z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
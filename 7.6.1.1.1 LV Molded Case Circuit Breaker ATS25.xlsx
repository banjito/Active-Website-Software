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 sheetId="1" r:id="rId5"/>
  </sheets>
  <definedNames/>
  <calcPr/>
</workbook>
</file>

<file path=xl/sharedStrings.xml><?xml version="1.0" encoding="utf-8"?>
<sst xmlns="http://schemas.openxmlformats.org/spreadsheetml/2006/main" count="228" uniqueCount="172">
  <si>
    <t>Customer</t>
  </si>
  <si>
    <t>Job #</t>
  </si>
  <si>
    <t>PASS</t>
  </si>
  <si>
    <t>Address</t>
  </si>
  <si>
    <t>Technicians</t>
  </si>
  <si>
    <t>User</t>
  </si>
  <si>
    <t>Substation</t>
  </si>
  <si>
    <t>Date</t>
  </si>
  <si>
    <t>Temp.</t>
  </si>
  <si>
    <t>°F</t>
  </si>
  <si>
    <t>°C</t>
  </si>
  <si>
    <t>Humidity</t>
  </si>
  <si>
    <t>%</t>
  </si>
  <si>
    <t>Eqpt. Identifer</t>
  </si>
  <si>
    <t>Breaker Identifier</t>
  </si>
  <si>
    <t>Circuit / Cell No.</t>
  </si>
  <si>
    <t>Nameplate Data</t>
  </si>
  <si>
    <t>Manufacturer</t>
  </si>
  <si>
    <t>Frame Size (A)</t>
  </si>
  <si>
    <t>Curve No.</t>
  </si>
  <si>
    <t>Catalog Number</t>
  </si>
  <si>
    <t>Rating Plug (A)</t>
  </si>
  <si>
    <t>Operation</t>
  </si>
  <si>
    <t>Serial Number</t>
  </si>
  <si>
    <t>Rated Voltage (V)</t>
  </si>
  <si>
    <t>Mounting</t>
  </si>
  <si>
    <t>Breaker Type</t>
  </si>
  <si>
    <t>Operating Voltage (V)</t>
  </si>
  <si>
    <t>Zone Interlock</t>
  </si>
  <si>
    <t>Trip Unit Type</t>
  </si>
  <si>
    <t>I.C. Rating (kA)</t>
  </si>
  <si>
    <t>Thermal Memory</t>
  </si>
  <si>
    <t>Visual and Mechanical Inspection</t>
  </si>
  <si>
    <t>NETA Section</t>
  </si>
  <si>
    <t>Results</t>
  </si>
  <si>
    <t>7.6.1.1.1.A.1</t>
  </si>
  <si>
    <t>Compare equipment nameplate data with drawings.</t>
  </si>
  <si>
    <t>7.6.1.1.1.A.2</t>
  </si>
  <si>
    <t>Inspect physical and mechanical condition.</t>
  </si>
  <si>
    <t>7.6.1.1.1.A.3</t>
  </si>
  <si>
    <t>Verify the unit is clean.</t>
  </si>
  <si>
    <t>7.6.1.1.1.A.4</t>
  </si>
  <si>
    <t>Operate the circuit breaker to ensure smooth operation.</t>
  </si>
  <si>
    <t>7.6.1.1.1.A.5</t>
  </si>
  <si>
    <t>Verify tightness of accessible bolted electrical connections by calibrated torque-wrench method. Torque values shall be in accordance with manufacturer’s published data. In the absence of manufacturer’s data, use Table 100.12.</t>
  </si>
  <si>
    <t>7.6.1.1.1.A.6</t>
  </si>
  <si>
    <t>Perform adjustments for final protective device settings in accordance with the coordination study.</t>
  </si>
  <si>
    <t>7.6.1.1.1.A.7</t>
  </si>
  <si>
    <t>*Perform thermographic survey in accordance with Section 9.</t>
  </si>
  <si>
    <t>Device Settings</t>
  </si>
  <si>
    <t>Trip Type:</t>
  </si>
  <si>
    <t>LSIG</t>
  </si>
  <si>
    <t>Settings As Found</t>
  </si>
  <si>
    <t>Settings As Left</t>
  </si>
  <si>
    <t>Function</t>
  </si>
  <si>
    <t>Setting</t>
  </si>
  <si>
    <t>Delay</t>
  </si>
  <si>
    <r>
      <rPr>
        <rFont val="Calibri"/>
        <color theme="1"/>
        <sz val="10.0"/>
      </rPr>
      <t>I</t>
    </r>
    <r>
      <rPr>
        <rFont val="Calibri"/>
        <color theme="1"/>
        <sz val="10.0"/>
        <vertAlign val="superscript"/>
      </rPr>
      <t>2</t>
    </r>
    <r>
      <rPr>
        <rFont val="Calibri"/>
        <color theme="1"/>
        <sz val="10.0"/>
      </rPr>
      <t>t</t>
    </r>
  </si>
  <si>
    <r>
      <rPr>
        <rFont val="Calibri"/>
        <color theme="1"/>
        <sz val="10.0"/>
      </rPr>
      <t>I</t>
    </r>
    <r>
      <rPr>
        <rFont val="Calibri"/>
        <color theme="1"/>
        <sz val="10.0"/>
        <vertAlign val="superscript"/>
      </rPr>
      <t>2</t>
    </r>
    <r>
      <rPr>
        <rFont val="Calibri"/>
        <color theme="1"/>
        <sz val="10.0"/>
      </rPr>
      <t>t</t>
    </r>
  </si>
  <si>
    <t>Coordination Study</t>
  </si>
  <si>
    <t>No./ID.</t>
  </si>
  <si>
    <t>Rev.</t>
  </si>
  <si>
    <t>Instantaneous</t>
  </si>
  <si>
    <t>Ground Fault</t>
  </si>
  <si>
    <t>Electrical Tests - Contact/Pole Resistance</t>
  </si>
  <si>
    <t>Resistance Measurements</t>
  </si>
  <si>
    <t>Value Deviation</t>
  </si>
  <si>
    <t>Result</t>
  </si>
  <si>
    <t>Pole 1</t>
  </si>
  <si>
    <t>Pole 2</t>
  </si>
  <si>
    <t>Pole 3</t>
  </si>
  <si>
    <t>Units</t>
  </si>
  <si>
    <t>Measured</t>
  </si>
  <si>
    <t>Criteria</t>
  </si>
  <si>
    <t>µΩ</t>
  </si>
  <si>
    <t>&lt;50%</t>
  </si>
  <si>
    <t>Electrical Tests - Insulation Resistance</t>
  </si>
  <si>
    <t>Insulation Temperature (°F):</t>
  </si>
  <si>
    <t>Test Voltage (V):</t>
  </si>
  <si>
    <t>Temperature Correction Factor:</t>
  </si>
  <si>
    <t>Test Duration:</t>
  </si>
  <si>
    <t>1 min</t>
  </si>
  <si>
    <t>Test Points</t>
  </si>
  <si>
    <t>Breaker Position</t>
  </si>
  <si>
    <t>Measured Values</t>
  </si>
  <si>
    <t>Temperature Corrected</t>
  </si>
  <si>
    <t>Table 100.1 Criteria</t>
  </si>
  <si>
    <t>P1 (P1-P2)</t>
  </si>
  <si>
    <t>P2 (P2-P3)</t>
  </si>
  <si>
    <t>P3 (P3-P1)</t>
  </si>
  <si>
    <t>Value</t>
  </si>
  <si>
    <t>Pole to Pole</t>
  </si>
  <si>
    <t>Closed</t>
  </si>
  <si>
    <t>MΩ</t>
  </si>
  <si>
    <t>≥</t>
  </si>
  <si>
    <t>Pole to Frame</t>
  </si>
  <si>
    <t>Line to Load</t>
  </si>
  <si>
    <t>Open</t>
  </si>
  <si>
    <t>&gt;</t>
  </si>
  <si>
    <t>Electrical Tests - Current Sensing</t>
  </si>
  <si>
    <t>Tested Settings</t>
  </si>
  <si>
    <t>Test Type</t>
  </si>
  <si>
    <r>
      <rPr>
        <rFont val="Calibri"/>
        <color theme="1"/>
        <sz val="10.0"/>
      </rPr>
      <t>I</t>
    </r>
    <r>
      <rPr>
        <rFont val="Calibri"/>
        <color theme="1"/>
        <sz val="10.0"/>
        <vertAlign val="superscript"/>
      </rPr>
      <t>2</t>
    </r>
    <r>
      <rPr>
        <rFont val="Calibri"/>
        <color theme="1"/>
        <sz val="10.0"/>
      </rPr>
      <t>t</t>
    </r>
  </si>
  <si>
    <t>LTPU Indicator?</t>
  </si>
  <si>
    <t>Primary Injection</t>
  </si>
  <si>
    <t>Fixed</t>
  </si>
  <si>
    <t>Yes</t>
  </si>
  <si>
    <t>21</t>
  </si>
  <si>
    <t>N/a</t>
  </si>
  <si>
    <t>Setting Amperes</t>
  </si>
  <si>
    <t>Multiplier %</t>
  </si>
  <si>
    <t>Test Amperes</t>
  </si>
  <si>
    <t>Tolerance</t>
  </si>
  <si>
    <t>Min</t>
  </si>
  <si>
    <t>Max</t>
  </si>
  <si>
    <t>sec.</t>
  </si>
  <si>
    <t>A</t>
  </si>
  <si>
    <t>STD</t>
  </si>
  <si>
    <t>STPU</t>
  </si>
  <si>
    <t>INST-D</t>
  </si>
  <si>
    <t>INST-PU</t>
  </si>
  <si>
    <t>GFD</t>
  </si>
  <si>
    <t>GFPU</t>
  </si>
  <si>
    <t>Test Equipment Used</t>
  </si>
  <si>
    <t>Digital Low-Resistance Ohmmeter:</t>
  </si>
  <si>
    <t>Serial Number:</t>
  </si>
  <si>
    <t>AMP ID:</t>
  </si>
  <si>
    <t>Megohmmeter:</t>
  </si>
  <si>
    <t>Primary Injection Test Set:</t>
  </si>
  <si>
    <t>Comments:</t>
  </si>
  <si>
    <t>Function Legend:</t>
  </si>
  <si>
    <t>LTD</t>
  </si>
  <si>
    <t>Long Time Delay</t>
  </si>
  <si>
    <t>Instantaneous Delay</t>
  </si>
  <si>
    <t>Thermal</t>
  </si>
  <si>
    <t xml:space="preserve">Overload protection element </t>
  </si>
  <si>
    <t>LTPU</t>
  </si>
  <si>
    <t>Long Time Pick-up</t>
  </si>
  <si>
    <t>Instantaneous Pick-up</t>
  </si>
  <si>
    <t>Magnetic</t>
  </si>
  <si>
    <t>Short circuit protection element</t>
  </si>
  <si>
    <t>Short Time Delay</t>
  </si>
  <si>
    <t>Ground Fault Delay</t>
  </si>
  <si>
    <t>Short Time Pick-up</t>
  </si>
  <si>
    <t>Ground Fault Pick-up</t>
  </si>
  <si>
    <t>Trip Type Legend:</t>
  </si>
  <si>
    <t>LI</t>
  </si>
  <si>
    <t>Long-Time, Instantaneous</t>
  </si>
  <si>
    <t>TMF</t>
  </si>
  <si>
    <t>Fixed Thermal, Fixed Magnetic</t>
  </si>
  <si>
    <t>LS</t>
  </si>
  <si>
    <t>Long Time, Short Time</t>
  </si>
  <si>
    <t>TMD</t>
  </si>
  <si>
    <t>AdjustableThermal, Fixed Magnetic</t>
  </si>
  <si>
    <t>LSI</t>
  </si>
  <si>
    <t xml:space="preserve">Long Time, Short Time, </t>
  </si>
  <si>
    <t>TMA</t>
  </si>
  <si>
    <t>Fixed Thermal, Adjustable Magnetic</t>
  </si>
  <si>
    <t>LIG</t>
  </si>
  <si>
    <t>Long Time, Instantaneous, Ground Fault</t>
  </si>
  <si>
    <t>TF</t>
  </si>
  <si>
    <t>Fixed Thermal</t>
  </si>
  <si>
    <t>LSG</t>
  </si>
  <si>
    <t>Long Time, Short Time, Ground Fault</t>
  </si>
  <si>
    <t>TA</t>
  </si>
  <si>
    <t>Adjustable Thermal</t>
  </si>
  <si>
    <t>Long Time, Short Time, Instantaneous, Ground Fault</t>
  </si>
  <si>
    <t>MF</t>
  </si>
  <si>
    <t>Fixed Magnetic</t>
  </si>
  <si>
    <t>G</t>
  </si>
  <si>
    <t>MA</t>
  </si>
  <si>
    <t>Adjustable Magnetic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</si>
</sst>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1.0"/>
      <color theme="1"/>
      <name val="Calibri"/>
      <scheme val="minor"/>
    </font>
    <font>
      <sz val="10.0"/>
      <color theme="1"/>
      <name val="Calibri"/>
    </font>
    <font/>
    <font>
      <sz val="9.0"/>
      <color theme="1"/>
      <name val="Calibri"/>
    </font>
    <font>
      <b/>
      <sz val="9.0"/>
      <color theme="1"/>
      <name val="Calibri"/>
    </font>
    <font>
      <b/>
      <sz val="11.0"/>
      <color theme="1"/>
      <name val="Calibri"/>
    </font>
    <font>
      <b/>
      <u/>
      <sz val="10.0"/>
      <color rgb="FF351D13"/>
      <name val="Calibri"/>
    </font>
    <font>
      <b/>
      <sz val="10.0"/>
      <color rgb="FF663300"/>
      <name val="Calibri"/>
    </font>
    <font>
      <b/>
      <sz val="10.0"/>
      <color theme="1"/>
      <name val="Calibri"/>
    </font>
    <font>
      <b/>
      <u/>
      <sz val="10.0"/>
      <color theme="1"/>
      <name val="Calibri"/>
    </font>
    <font>
      <sz val="11.0"/>
      <color theme="1"/>
      <name val="Calibri"/>
    </font>
    <font>
      <sz val="8.0"/>
      <color theme="1"/>
      <name val="Calibri"/>
    </font>
    <font>
      <b/>
      <u/>
      <sz val="10.0"/>
      <color rgb="FF351D13"/>
      <name val="Calibri"/>
    </font>
    <font>
      <b/>
      <u/>
      <sz val="9.0"/>
      <color rgb="FF351D13"/>
      <name val="Calibri"/>
    </font>
  </fonts>
  <fills count="4">
    <fill>
      <patternFill patternType="none"/>
    </fill>
    <fill>
      <patternFill patternType="lightGray"/>
    </fill>
    <fill>
      <patternFill patternType="solid">
        <fgColor theme="0"/>
        <bgColor theme="0"/>
      </patternFill>
    </fill>
    <fill>
      <patternFill patternType="solid">
        <fgColor rgb="FFD8D8D8"/>
        <bgColor rgb="FFD8D8D8"/>
      </patternFill>
    </fill>
  </fills>
  <borders count="46">
    <border/>
    <border>
      <left/>
      <top style="medium">
        <color rgb="FFDAB56C"/>
      </top>
      <bottom/>
    </border>
    <border>
      <top style="medium">
        <color rgb="FFDAB56C"/>
      </top>
      <bottom/>
    </border>
    <border>
      <right/>
      <top style="medium">
        <color rgb="FFDAB56C"/>
      </top>
      <bottom/>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right/>
      <top/>
      <bottom/>
    </border>
    <border>
      <left/>
      <top/>
    </border>
    <border>
      <top/>
    </border>
    <border>
      <right/>
      <top/>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border>
    <border>
      <right/>
    </border>
    <border>
      <left/>
      <bottom/>
    </border>
    <border>
      <bottom/>
    </border>
    <border>
      <right/>
      <bottom/>
    </border>
    <border>
      <left/>
      <top/>
      <bottom style="thin">
        <color theme="1"/>
      </bottom>
    </border>
    <border>
      <right/>
      <top/>
      <bottom style="thin">
        <color theme="1"/>
      </bottom>
    </border>
    <border>
      <left/>
      <right/>
      <top style="thin">
        <color rgb="FF000000"/>
      </top>
      <bottom style="thin">
        <color theme="1"/>
      </bottom>
    </border>
    <border>
      <top/>
      <bottom style="thin">
        <color theme="1"/>
      </bottom>
    </border>
    <border>
      <left/>
      <top style="thin">
        <color theme="1"/>
      </top>
      <bottom style="thin">
        <color theme="1"/>
      </bottom>
    </border>
    <border>
      <top style="thin">
        <color theme="1"/>
      </top>
      <bottom style="thin">
        <color theme="1"/>
      </bottom>
    </border>
    <border>
      <right/>
      <top style="thin">
        <color theme="1"/>
      </top>
      <bottom style="thin">
        <color theme="1"/>
      </bottom>
    </border>
    <border>
      <left/>
      <right/>
      <top/>
      <bottom style="medium">
        <color rgb="FFDAB56C"/>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medium">
        <color rgb="FFDAB56C"/>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top style="medium">
        <color rgb="FFDAB56C"/>
      </top>
      <bottom/>
    </border>
    <border>
      <left/>
      <right/>
      <top/>
      <bottom style="thin">
        <color rgb="FF000000"/>
      </bottom>
    </border>
    <border>
      <right/>
      <top style="thin">
        <color rgb="FF000000"/>
      </top>
    </border>
    <border>
      <left style="thin">
        <color rgb="FF000000"/>
      </left>
      <right/>
      <top style="thin">
        <color rgb="FF000000"/>
      </top>
      <bottom style="thin">
        <color rgb="FF000000"/>
      </bottom>
    </border>
    <border>
      <right/>
      <bottom style="thin">
        <color rgb="FF000000"/>
      </bottom>
    </border>
    <border>
      <left style="thin">
        <color rgb="FF000000"/>
      </left>
      <right/>
      <top/>
      <bottom style="thin">
        <color rgb="FF000000"/>
      </bottom>
    </border>
    <border>
      <left style="thin">
        <color rgb="FF000000"/>
      </left>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1" numFmtId="0" xfId="0" applyAlignment="1" applyFont="1">
      <alignment vertical="center"/>
    </xf>
    <xf borderId="4" fillId="2" fontId="3" numFmtId="0" xfId="0" applyAlignment="1" applyBorder="1" applyFill="1" applyFont="1">
      <alignment vertical="center"/>
    </xf>
    <xf borderId="5" fillId="0" fontId="2" numFmtId="0" xfId="0" applyBorder="1" applyFont="1"/>
    <xf borderId="6" fillId="0" fontId="2" numFmtId="0" xfId="0" applyBorder="1" applyFont="1"/>
    <xf borderId="7" fillId="2" fontId="3" numFmtId="49" xfId="0" applyAlignment="1" applyBorder="1" applyFill="1" applyFont="1" applyNumberFormat="1">
      <alignment horizontal="center" vertical="center"/>
    </xf>
    <xf borderId="8" fillId="0" fontId="2" numFmtId="0" xfId="0" applyBorder="1" applyFont="1"/>
    <xf borderId="9" fillId="0" fontId="2" numFmtId="0" xfId="0" applyBorder="1" applyFont="1"/>
    <xf borderId="10" fillId="2" fontId="4" numFmtId="0" xfId="0" applyAlignment="1" applyBorder="1" applyFill="1" applyFont="1">
      <alignment vertical="center"/>
    </xf>
    <xf borderId="4" fillId="2" fontId="3" numFmtId="0" xfId="0" applyAlignment="1" applyBorder="1" applyFill="1" applyFont="1">
      <alignment horizontal="left" vertical="center"/>
    </xf>
    <xf borderId="10" fillId="2" fontId="3" numFmtId="0" xfId="0" applyAlignment="1" applyBorder="1" applyFill="1" applyFont="1">
      <alignment vertical="center"/>
    </xf>
    <xf borderId="11" fillId="2" fontId="5"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14" fillId="2" fontId="3" numFmtId="49" xfId="0" applyAlignment="1" applyBorder="1" applyFill="1" applyFont="1" applyNumberFormat="1">
      <alignment vertical="center"/>
    </xf>
    <xf borderId="15" fillId="0" fontId="2" numFmtId="0" xfId="0" applyBorder="1" applyFont="1"/>
    <xf borderId="16" fillId="0" fontId="2" numFmtId="0" xfId="0" applyBorder="1" applyFont="1"/>
    <xf borderId="14" fillId="2" fontId="3" numFmtId="49" xfId="0" applyAlignment="1" applyBorder="1" applyFill="1" applyFont="1" applyNumberFormat="1">
      <alignment horizontal="center"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7" fillId="2" fontId="3" numFmtId="14" xfId="0" applyAlignment="1" applyBorder="1" applyFill="1" applyFont="1" applyNumberFormat="1">
      <alignment horizontal="center" vertical="center"/>
    </xf>
    <xf borderId="4" fillId="2" fontId="3" numFmtId="0" xfId="0" applyAlignment="1" applyBorder="1" applyFill="1" applyFont="1">
      <alignment horizontal="center" vertical="center"/>
    </xf>
    <xf borderId="7" fillId="2" fontId="3" numFmtId="0" xfId="0" applyAlignment="1" applyBorder="1" applyFill="1" applyFont="1">
      <alignment horizontal="center" vertical="center"/>
    </xf>
    <xf borderId="22" fillId="2" fontId="3" numFmtId="0" xfId="0" applyAlignment="1" applyBorder="1" applyFill="1" applyFont="1">
      <alignment horizontal="center" vertical="center"/>
    </xf>
    <xf borderId="23" fillId="0" fontId="2" numFmtId="0" xfId="0" applyBorder="1" applyFont="1"/>
    <xf borderId="4" fillId="2" fontId="3" numFmtId="0" xfId="0" applyAlignment="1" applyBorder="1" applyFill="1" applyFont="1">
      <alignment horizontal="right" vertical="center"/>
    </xf>
    <xf borderId="24" fillId="2" fontId="3" numFmtId="49" xfId="0" applyAlignment="1" applyBorder="1" applyFill="1" applyFont="1" applyNumberFormat="1">
      <alignment horizontal="center" vertical="center"/>
    </xf>
    <xf borderId="24" fillId="2" fontId="3" numFmtId="0" xfId="0" applyAlignment="1" applyBorder="1" applyFill="1" applyFont="1">
      <alignment horizontal="center" vertical="center"/>
    </xf>
    <xf borderId="22" fillId="2" fontId="3" numFmtId="49" xfId="0" applyAlignment="1" applyBorder="1" applyFill="1" applyFont="1" applyNumberFormat="1">
      <alignment horizontal="center" vertical="center"/>
    </xf>
    <xf borderId="25" fillId="0" fontId="2" numFmtId="0" xfId="0" applyBorder="1" applyFont="1"/>
    <xf borderId="26" fillId="2" fontId="3" numFmtId="49" xfId="0" applyAlignment="1" applyBorder="1" applyFill="1" applyFont="1" applyNumberFormat="1">
      <alignment horizontal="center" vertical="center"/>
    </xf>
    <xf borderId="27" fillId="0" fontId="2" numFmtId="0" xfId="0" applyBorder="1" applyFont="1"/>
    <xf borderId="28" fillId="0" fontId="2" numFmtId="0" xfId="0" applyBorder="1" applyFont="1"/>
    <xf borderId="29" fillId="2" fontId="1" numFmtId="0" xfId="0" applyAlignment="1" applyBorder="1" applyFill="1" applyFont="1">
      <alignment vertical="center"/>
    </xf>
    <xf borderId="10" fillId="2" fontId="6" numFmtId="0" xfId="0" applyAlignment="1" applyBorder="1" applyFill="1" applyFont="1">
      <alignment vertical="center"/>
    </xf>
    <xf borderId="10" fillId="2" fontId="7" numFmtId="0" xfId="0" applyAlignment="1" applyBorder="1" applyFill="1" applyFont="1">
      <alignment vertical="center"/>
    </xf>
    <xf borderId="10" fillId="2" fontId="8" numFmtId="0" xfId="0" applyAlignment="1" applyBorder="1" applyFill="1" applyFont="1">
      <alignment vertical="center"/>
    </xf>
    <xf borderId="10" fillId="2" fontId="1" numFmtId="0" xfId="0" applyAlignment="1" applyBorder="1" applyFill="1" applyFont="1">
      <alignment horizontal="center" vertical="center"/>
    </xf>
    <xf borderId="10" fillId="2" fontId="1" numFmtId="0" xfId="0" applyAlignment="1" applyBorder="1" applyFill="1" applyFont="1">
      <alignment vertical="center"/>
    </xf>
    <xf borderId="10" fillId="2" fontId="1" numFmtId="49" xfId="0" applyAlignment="1" applyBorder="1" applyFill="1" applyFont="1" applyNumberFormat="1">
      <alignment horizontal="center" vertical="center"/>
    </xf>
    <xf borderId="10" fillId="2" fontId="8" numFmtId="0" xfId="0" applyAlignment="1" applyBorder="1" applyFill="1" applyFont="1">
      <alignment horizontal="left" vertical="center"/>
    </xf>
    <xf borderId="7" fillId="2" fontId="3" numFmtId="49" xfId="0" applyAlignment="1" applyBorder="1" applyFill="1" applyFont="1" applyNumberFormat="1">
      <alignment vertical="center"/>
    </xf>
    <xf borderId="0" fillId="0" fontId="3" numFmtId="0" xfId="0" applyAlignment="1" applyFont="1">
      <alignment vertical="center"/>
    </xf>
    <xf borderId="30" fillId="0" fontId="3" numFmtId="49" xfId="0" applyAlignment="1" applyBorder="1" applyFont="1" applyNumberFormat="1">
      <alignment horizontal="center" vertical="center"/>
    </xf>
    <xf borderId="30" fillId="0" fontId="2" numFmtId="0" xfId="0" applyBorder="1" applyFont="1"/>
    <xf borderId="15" fillId="0" fontId="3" numFmtId="0" xfId="0" applyAlignment="1" applyBorder="1" applyFont="1">
      <alignment horizontal="center" vertical="center"/>
    </xf>
    <xf borderId="15" fillId="0" fontId="3" numFmtId="0" xfId="0" applyAlignment="1" applyBorder="1" applyFont="1">
      <alignment vertical="center"/>
    </xf>
    <xf borderId="15" fillId="0" fontId="1" numFmtId="0" xfId="0" applyAlignment="1" applyBorder="1" applyFont="1">
      <alignment horizontal="center"/>
    </xf>
    <xf borderId="10" fillId="2" fontId="3" numFmtId="49" xfId="0" applyAlignment="1" applyBorder="1" applyFill="1" applyFont="1" applyNumberFormat="1">
      <alignment vertical="center"/>
    </xf>
    <xf borderId="10" fillId="2" fontId="3" numFmtId="0" xfId="0" applyAlignment="1" applyBorder="1" applyFill="1" applyFont="1">
      <alignment horizontal="left" vertical="center"/>
    </xf>
    <xf borderId="0" fillId="0" fontId="1" numFmtId="0" xfId="0" applyAlignment="1" applyFont="1">
      <alignment horizontal="center"/>
    </xf>
    <xf borderId="10" fillId="2" fontId="9" numFmtId="0" xfId="0" applyAlignment="1" applyBorder="1" applyFill="1" applyFont="1">
      <alignment vertical="center"/>
    </xf>
    <xf borderId="10" fillId="2" fontId="1" numFmtId="0" xfId="0" applyAlignment="1" applyBorder="1" applyFill="1" applyFont="1">
      <alignment horizontal="left" vertical="center"/>
    </xf>
    <xf borderId="10" fillId="2" fontId="1" numFmtId="0" xfId="0" applyAlignment="1" applyBorder="1" applyFill="1" applyFont="1">
      <alignment horizontal="right" vertical="center"/>
    </xf>
    <xf borderId="31" fillId="2" fontId="3" numFmtId="0" xfId="0" applyAlignment="1" applyBorder="1" applyFill="1" applyFont="1">
      <alignment vertical="center"/>
    </xf>
    <xf borderId="32" fillId="0" fontId="2" numFmtId="0" xfId="0" applyBorder="1" applyFont="1"/>
    <xf borderId="31" fillId="2" fontId="3" numFmtId="0" xfId="0" applyAlignment="1" applyBorder="1" applyFill="1" applyFont="1">
      <alignment horizontal="center" vertical="center"/>
    </xf>
    <xf borderId="31" fillId="2" fontId="3" numFmtId="0" xfId="0" applyAlignment="1" applyBorder="1" applyFill="1" applyFont="1">
      <alignment shrinkToFit="0" vertical="center" wrapText="1"/>
    </xf>
    <xf borderId="10" fillId="2" fontId="3" numFmtId="0" xfId="0" applyAlignment="1" applyBorder="1" applyFill="1" applyFont="1">
      <alignment shrinkToFit="0" vertical="center" wrapText="1"/>
    </xf>
    <xf borderId="10" fillId="2" fontId="3" numFmtId="0" xfId="0" applyAlignment="1" applyBorder="1" applyFill="1" applyFont="1">
      <alignment horizontal="center" vertical="center"/>
    </xf>
    <xf borderId="0" fillId="0" fontId="10" numFmtId="0" xfId="0" applyAlignment="1" applyFont="1">
      <alignment horizontal="center" vertical="center"/>
    </xf>
    <xf borderId="33" fillId="0" fontId="1" numFmtId="0" xfId="0" applyAlignment="1" applyBorder="1" applyFont="1">
      <alignment vertical="center"/>
    </xf>
    <xf borderId="29" fillId="2" fontId="1" numFmtId="0" xfId="0" applyAlignment="1" applyBorder="1" applyFill="1" applyFont="1">
      <alignment horizontal="left" vertical="center"/>
    </xf>
    <xf borderId="29" fillId="2" fontId="3" numFmtId="0" xfId="0" applyAlignment="1" applyBorder="1" applyFill="1" applyFont="1">
      <alignment horizontal="left" shrinkToFit="0" vertical="center" wrapText="1"/>
    </xf>
    <xf borderId="29" fillId="2" fontId="3" numFmtId="0" xfId="0" applyAlignment="1" applyBorder="1" applyFill="1" applyFont="1">
      <alignment vertical="center"/>
    </xf>
    <xf borderId="31" fillId="0" fontId="1" numFmtId="0" xfId="0" applyAlignment="1" applyBorder="1" applyFont="1">
      <alignment horizontal="center" vertical="center"/>
    </xf>
    <xf borderId="31" fillId="0" fontId="1" numFmtId="0" xfId="0" applyAlignment="1" applyBorder="1" applyFont="1">
      <alignment horizontal="center"/>
    </xf>
    <xf borderId="31" fillId="0" fontId="1" numFmtId="49" xfId="0" applyAlignment="1" applyBorder="1" applyFont="1" applyNumberFormat="1">
      <alignment horizontal="center" vertical="center"/>
    </xf>
    <xf borderId="31" fillId="3" fontId="1" numFmtId="49" xfId="0" applyAlignment="1" applyBorder="1" applyFill="1" applyFont="1" applyNumberFormat="1">
      <alignment horizontal="center" vertical="center"/>
    </xf>
    <xf borderId="34" fillId="0" fontId="1" numFmtId="0" xfId="0" applyAlignment="1" applyBorder="1" applyFont="1">
      <alignment horizontal="center" vertical="center"/>
    </xf>
    <xf borderId="35" fillId="0" fontId="2" numFmtId="0" xfId="0" applyBorder="1" applyFont="1"/>
    <xf borderId="10" fillId="2" fontId="1" numFmtId="0" xfId="0" applyAlignment="1" applyBorder="1" applyFill="1" applyFont="1">
      <alignment shrinkToFit="0" vertical="center" wrapText="1"/>
    </xf>
    <xf borderId="31" fillId="2" fontId="1" numFmtId="0" xfId="0" applyAlignment="1" applyBorder="1" applyFill="1" applyFont="1">
      <alignment horizontal="center" vertical="center"/>
    </xf>
    <xf borderId="29" fillId="2" fontId="1" numFmtId="0" xfId="0" applyAlignment="1" applyBorder="1" applyFill="1" applyFont="1">
      <alignment horizontal="center" vertical="center"/>
    </xf>
    <xf borderId="31" fillId="0" fontId="1" numFmtId="0" xfId="0" applyAlignment="1" applyBorder="1" applyFont="1">
      <alignment horizontal="center" shrinkToFit="0" vertical="center" wrapText="1"/>
    </xf>
    <xf borderId="0" fillId="0" fontId="1" numFmtId="0" xfId="0" applyAlignment="1" applyFont="1">
      <alignment horizontal="center" vertical="center"/>
    </xf>
    <xf borderId="36" fillId="2" fontId="1" numFmtId="0" xfId="0" applyAlignment="1" applyBorder="1" applyFill="1" applyFont="1">
      <alignment horizontal="center" shrinkToFit="0" vertical="center" wrapText="1"/>
    </xf>
    <xf borderId="37" fillId="0" fontId="2" numFmtId="0" xfId="0" applyBorder="1" applyFont="1"/>
    <xf borderId="38" fillId="0" fontId="2" numFmtId="0" xfId="0" applyBorder="1" applyFont="1"/>
    <xf borderId="31" fillId="2" fontId="1" numFmtId="10" xfId="0" applyAlignment="1" applyBorder="1" applyFill="1" applyFont="1" applyNumberFormat="1">
      <alignment horizontal="center" vertical="center"/>
    </xf>
    <xf borderId="34" fillId="0" fontId="2" numFmtId="0" xfId="0" applyBorder="1" applyFont="1"/>
    <xf borderId="10" fillId="2" fontId="1" numFmtId="10" xfId="0" applyAlignment="1" applyBorder="1" applyFill="1" applyFont="1" applyNumberFormat="1">
      <alignment horizontal="center" vertical="center"/>
    </xf>
    <xf borderId="10" fillId="2" fontId="1" numFmtId="0" xfId="0" applyAlignment="1" applyBorder="1" applyFill="1" applyFont="1">
      <alignment horizontal="center" shrinkToFit="0" vertical="center" wrapText="1"/>
    </xf>
    <xf borderId="39" fillId="2" fontId="1" numFmtId="0" xfId="0" applyAlignment="1" applyBorder="1" applyFill="1" applyFont="1">
      <alignment vertical="center"/>
    </xf>
    <xf borderId="31" fillId="0" fontId="3" numFmtId="0" xfId="0" applyAlignment="1" applyBorder="1" applyFont="1">
      <alignment horizontal="right" vertical="center"/>
    </xf>
    <xf borderId="31" fillId="0" fontId="3" numFmtId="0" xfId="0" applyAlignment="1" applyBorder="1" applyFont="1">
      <alignment horizontal="center" vertical="center"/>
    </xf>
    <xf borderId="31" fillId="2" fontId="3" numFmtId="0" xfId="0" applyAlignment="1" applyBorder="1" applyFill="1" applyFont="1">
      <alignment horizontal="right" vertical="center"/>
    </xf>
    <xf borderId="36" fillId="0" fontId="3" numFmtId="0" xfId="0" applyAlignment="1" applyBorder="1" applyFont="1">
      <alignment horizontal="center" vertical="center"/>
    </xf>
    <xf borderId="36" fillId="0" fontId="3" numFmtId="0" xfId="0" applyAlignment="1" applyBorder="1" applyFont="1">
      <alignment horizontal="center" shrinkToFit="0" vertical="center" wrapText="1"/>
    </xf>
    <xf borderId="40" fillId="2" fontId="3" numFmtId="0" xfId="0" applyAlignment="1" applyBorder="1" applyFill="1" applyFont="1">
      <alignment vertical="center"/>
    </xf>
    <xf borderId="31" fillId="0" fontId="11" numFmtId="0" xfId="0" applyAlignment="1" applyBorder="1" applyFont="1">
      <alignment horizontal="center" vertical="center"/>
    </xf>
    <xf borderId="36" fillId="0" fontId="3" numFmtId="49" xfId="0" applyAlignment="1" applyBorder="1" applyFont="1" applyNumberFormat="1">
      <alignment horizontal="center" vertical="center"/>
    </xf>
    <xf borderId="34" fillId="0" fontId="3" numFmtId="0" xfId="0" applyAlignment="1" applyBorder="1" applyFont="1">
      <alignment horizontal="center" vertical="center"/>
    </xf>
    <xf borderId="36" fillId="2" fontId="3" numFmtId="0" xfId="0" applyAlignment="1" applyBorder="1" applyFill="1" applyFont="1">
      <alignment horizontal="center" vertical="center"/>
    </xf>
    <xf borderId="41" fillId="0" fontId="2" numFmtId="0" xfId="0" applyBorder="1" applyFont="1"/>
    <xf borderId="42" fillId="2" fontId="3" numFmtId="49" xfId="0" applyAlignment="1" applyBorder="1" applyFill="1" applyFont="1" applyNumberFormat="1">
      <alignment horizontal="right" vertical="center"/>
    </xf>
    <xf borderId="14" fillId="2" fontId="3" numFmtId="0" xfId="0" applyAlignment="1" applyBorder="1" applyFill="1" applyFont="1">
      <alignment horizontal="left" vertical="center"/>
    </xf>
    <xf borderId="42" fillId="2" fontId="3" numFmtId="164" xfId="0" applyAlignment="1" applyBorder="1" applyFill="1" applyFont="1" applyNumberFormat="1">
      <alignment horizontal="right" vertical="center"/>
    </xf>
    <xf borderId="14" fillId="2" fontId="3" numFmtId="1" xfId="0" applyAlignment="1" applyBorder="1" applyFill="1" applyFont="1" applyNumberFormat="1">
      <alignment horizontal="left" vertical="center"/>
    </xf>
    <xf borderId="14" fillId="2" fontId="3" numFmtId="0" xfId="0" applyAlignment="1" applyBorder="1" applyFill="1" applyFont="1">
      <alignment horizontal="center" vertical="center"/>
    </xf>
    <xf borderId="15" fillId="0" fontId="3" numFmtId="0" xfId="0" applyAlignment="1" applyBorder="1" applyFont="1">
      <alignment horizontal="left" vertical="center"/>
    </xf>
    <xf borderId="31" fillId="2" fontId="3" numFmtId="0" xfId="0" applyAlignment="1" applyBorder="1" applyFill="1" applyFont="1">
      <alignment horizontal="center" shrinkToFit="0" vertical="center" wrapText="1"/>
    </xf>
    <xf borderId="43" fillId="0" fontId="2" numFmtId="0" xfId="0" applyBorder="1" applyFont="1"/>
    <xf borderId="44" fillId="2" fontId="3" numFmtId="164" xfId="0" applyAlignment="1" applyBorder="1" applyFill="1" applyFont="1" applyNumberFormat="1">
      <alignment horizontal="right" vertical="center"/>
    </xf>
    <xf borderId="39" fillId="2" fontId="12" numFmtId="0" xfId="0" applyAlignment="1" applyBorder="1" applyFill="1" applyFont="1">
      <alignment vertical="center"/>
    </xf>
    <xf borderId="39" fillId="2" fontId="8" numFmtId="0" xfId="0" applyAlignment="1" applyBorder="1" applyFill="1" applyFont="1">
      <alignment vertical="center"/>
    </xf>
    <xf borderId="4" fillId="2" fontId="1" numFmtId="0" xfId="0" applyAlignment="1" applyBorder="1" applyFill="1" applyFont="1">
      <alignment horizontal="center" vertical="center"/>
    </xf>
    <xf borderId="36" fillId="0" fontId="1" numFmtId="0" xfId="0" applyAlignment="1" applyBorder="1" applyFont="1">
      <alignment horizontal="center" vertical="center"/>
    </xf>
    <xf borderId="36" fillId="0" fontId="1" numFmtId="0" xfId="0" applyAlignment="1" applyBorder="1" applyFont="1">
      <alignment horizontal="center" shrinkToFit="0" vertical="center" wrapText="1"/>
    </xf>
    <xf borderId="31" fillId="0" fontId="1" numFmtId="9" xfId="0" applyAlignment="1" applyBorder="1" applyFont="1" applyNumberFormat="1">
      <alignment horizontal="center"/>
    </xf>
    <xf borderId="31" fillId="2" fontId="1" numFmtId="0" xfId="0" applyAlignment="1" applyBorder="1" applyFill="1" applyFont="1">
      <alignment horizontal="center" shrinkToFit="0" vertical="center" wrapText="1"/>
    </xf>
    <xf borderId="45" fillId="0" fontId="1" numFmtId="0" xfId="0" applyAlignment="1" applyBorder="1" applyFont="1">
      <alignment vertical="center"/>
    </xf>
    <xf borderId="31" fillId="2" fontId="1" numFmtId="0" xfId="0" applyAlignment="1" applyBorder="1" applyFill="1" applyFont="1">
      <alignment horizontal="center"/>
    </xf>
    <xf borderId="31" fillId="2" fontId="1" numFmtId="9" xfId="0" applyAlignment="1" applyBorder="1" applyFill="1" applyFont="1" applyNumberFormat="1">
      <alignment horizontal="center"/>
    </xf>
    <xf borderId="4" fillId="2" fontId="1" numFmtId="0" xfId="0" applyAlignment="1" applyBorder="1" applyFill="1" applyFont="1">
      <alignment horizontal="right" vertical="center"/>
    </xf>
    <xf borderId="7" fillId="2" fontId="1" numFmtId="49" xfId="0" applyAlignment="1" applyBorder="1" applyFill="1" applyFont="1" applyNumberFormat="1">
      <alignment horizontal="center" vertical="center"/>
    </xf>
    <xf borderId="0" fillId="0" fontId="1" numFmtId="49" xfId="0" applyAlignment="1" applyFont="1" applyNumberFormat="1">
      <alignment vertical="center"/>
    </xf>
    <xf borderId="7" fillId="2" fontId="1" numFmtId="49" xfId="0" applyAlignment="1" applyBorder="1" applyFill="1" applyFont="1" applyNumberFormat="1">
      <alignment horizontal="center"/>
    </xf>
    <xf borderId="10" fillId="2" fontId="1" numFmtId="0" xfId="0" applyAlignment="1" applyBorder="1" applyFill="1" applyFont="1">
      <alignment horizontal="right" shrinkToFit="0" vertical="center" wrapText="1"/>
    </xf>
    <xf borderId="10" fillId="2" fontId="1" numFmtId="49" xfId="0" applyAlignment="1" applyBorder="1" applyFill="1" applyFont="1" applyNumberFormat="1">
      <alignment horizontal="center"/>
    </xf>
    <xf borderId="0" fillId="0" fontId="1" numFmtId="0" xfId="0" applyAlignment="1" applyFont="1">
      <alignment horizontal="left" vertical="top"/>
    </xf>
    <xf borderId="10" fillId="2" fontId="13" numFmtId="0" xfId="0" applyAlignment="1" applyBorder="1" applyFill="1" applyFont="1">
      <alignment vertical="center"/>
    </xf>
    <xf borderId="31" fillId="0" fontId="3" numFmtId="0" xfId="0" applyAlignment="1" applyBorder="1" applyFont="1">
      <alignment horizontal="center" shrinkToFit="0" vertical="center" wrapText="1"/>
    </xf>
    <xf borderId="31" fillId="0" fontId="3" numFmtId="0" xfId="0" applyAlignment="1" applyBorder="1" applyFont="1">
      <alignment vertical="center"/>
    </xf>
    <xf borderId="31" fillId="0" fontId="3" numFmtId="49" xfId="0" applyAlignment="1" applyBorder="1" applyFont="1" applyNumberFormat="1">
      <alignment shrinkToFit="0" vertical="center" wrapText="1"/>
    </xf>
    <xf borderId="0" fillId="0" fontId="3" numFmtId="49" xfId="0" applyAlignment="1" applyFont="1" applyNumberFormat="1">
      <alignment horizontal="left" shrinkToFit="0" vertical="center" wrapText="1"/>
    </xf>
    <xf borderId="0" fillId="0" fontId="1" numFmtId="49" xfId="0" applyAlignment="1" applyFont="1" applyNumberFormat="1">
      <alignment horizontal="left" shrinkToFit="0" vertical="top" wrapText="1"/>
    </xf>
    <xf borderId="31" fillId="0" fontId="3" numFmtId="49" xfId="0" applyAlignment="1" applyBorder="1" applyFont="1" applyNumberFormat="1">
      <alignment horizontal="center" shrinkToFit="0" vertical="top" wrapText="1"/>
    </xf>
    <xf borderId="31" fillId="0" fontId="3" numFmtId="49" xfId="0" applyAlignment="1" applyBorder="1" applyFont="1" applyNumberFormat="1">
      <alignment shrinkToFit="0" vertical="top" wrapText="1"/>
    </xf>
  </cellXfs>
  <cellStyles count="1">
    <cellStyle xfId="0" name="Normal" builtinId="0"/>
  </cellStyles>
  <dxfs count="15">
    <dxf>
      <font/>
      <fill>
        <patternFill patternType="none"/>
      </fill>
      <border>
        <bottom style="thin">
          <color rgb="FF000000"/>
        </bottom>
      </border>
    </dxf>
    <dxf>
      <font/>
      <fill>
        <patternFill patternType="none"/>
      </fill>
      <border>
        <top style="thin">
          <color rgb="FF000000"/>
        </top>
      </border>
    </dxf>
    <dxf>
      <font/>
      <numFmt numFmtId="0" formatCode=";;;"/>
      <fill>
        <patternFill patternType="solid">
          <fgColor theme="0"/>
          <bgColor theme="0"/>
        </patternFill>
      </fill>
      <border/>
    </dxf>
    <dxf>
      <font/>
      <fill>
        <patternFill patternType="none"/>
      </fill>
      <border>
        <left style="thin">
          <color rgb="FF000000"/>
        </left>
      </border>
    </dxf>
    <dxf>
      <font/>
      <fill>
        <patternFill patternType="none"/>
      </fill>
      <border>
        <top style="thin">
          <color rgb="FF000000"/>
        </top>
        <bottom style="thin">
          <color rgb="FF000000"/>
        </bottom>
      </border>
    </dxf>
    <dxf>
      <font/>
      <numFmt numFmtId="0" formatCode=";;;"/>
      <fill>
        <patternFill patternType="solid">
          <fgColor rgb="FFD8D8D8"/>
          <bgColor rgb="FFD8D8D8"/>
        </patternFill>
      </fill>
      <border/>
    </dxf>
    <dxf>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fill>
        <patternFill patternType="solid">
          <fgColor rgb="FFFFFF00"/>
          <bgColor rgb="FFFFFF00"/>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numFmt numFmtId="0" formatCode=";;;"/>
      <fill>
        <patternFill patternType="none"/>
      </fill>
      <border/>
    </dxf>
    <dxf>
      <font>
        <color rgb="FF9C0006"/>
      </font>
      <numFmt numFmtId="0" formatCode=""/>
      <fill>
        <patternFill patternType="solid">
          <fgColor rgb="FFFFC7CE"/>
          <bgColor rgb="FFFFC7CE"/>
        </patternFill>
      </fill>
      <border/>
    </dxf>
    <dxf>
      <font>
        <color rgb="FF006100"/>
      </font>
      <numFmt numFmtId="0" formatCode=""/>
      <fill>
        <patternFill patternType="solid">
          <fgColor rgb="FFC6EFCE"/>
          <bgColor rgb="FFC6EFCE"/>
        </patternFill>
      </fill>
      <border/>
    </dxf>
    <dxf>
      <font/>
      <fill>
        <patternFill patternType="none"/>
      </fill>
      <border>
        <right style="thin">
          <color rgb="FF0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9" width="2.43"/>
  </cols>
  <sheetData>
    <row r="1" ht="5.2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row>
    <row r="2" ht="11.25" customHeight="1">
      <c r="A2" s="4"/>
      <c r="B2" s="5" t="s">
        <v>0</v>
      </c>
      <c r="C2" s="6"/>
      <c r="D2" s="6"/>
      <c r="E2" s="7"/>
      <c r="F2" s="4"/>
      <c r="G2" s="8"/>
      <c r="H2" s="9"/>
      <c r="I2" s="9"/>
      <c r="J2" s="9"/>
      <c r="K2" s="9"/>
      <c r="L2" s="9"/>
      <c r="M2" s="9"/>
      <c r="N2" s="9"/>
      <c r="O2" s="9"/>
      <c r="P2" s="9"/>
      <c r="Q2" s="9"/>
      <c r="R2" s="9"/>
      <c r="S2" s="9"/>
      <c r="T2" s="9"/>
      <c r="U2" s="9"/>
      <c r="V2" s="9"/>
      <c r="W2" s="9"/>
      <c r="X2" s="10"/>
      <c r="Y2" s="11"/>
      <c r="Z2" s="12" t="s">
        <v>1</v>
      </c>
      <c r="AA2" s="6"/>
      <c r="AB2" s="6"/>
      <c r="AC2" s="6"/>
      <c r="AD2" s="7"/>
      <c r="AE2" s="8"/>
      <c r="AF2" s="9"/>
      <c r="AG2" s="9"/>
      <c r="AH2" s="10"/>
      <c r="AI2" s="13"/>
      <c r="AJ2" s="14" t="s">
        <v>2</v>
      </c>
      <c r="AK2" s="15"/>
      <c r="AL2" s="16"/>
      <c r="AM2" s="4"/>
    </row>
    <row r="3" ht="11.25" customHeight="1">
      <c r="A3" s="4"/>
      <c r="B3" s="5" t="s">
        <v>3</v>
      </c>
      <c r="C3" s="6"/>
      <c r="D3" s="6"/>
      <c r="E3" s="7"/>
      <c r="F3" s="4"/>
      <c r="G3" s="17"/>
      <c r="H3" s="18"/>
      <c r="I3" s="18"/>
      <c r="J3" s="18"/>
      <c r="K3" s="18"/>
      <c r="L3" s="18"/>
      <c r="M3" s="18"/>
      <c r="N3" s="18"/>
      <c r="O3" s="18"/>
      <c r="P3" s="18"/>
      <c r="Q3" s="18"/>
      <c r="R3" s="18"/>
      <c r="S3" s="18"/>
      <c r="T3" s="18"/>
      <c r="U3" s="18"/>
      <c r="V3" s="18"/>
      <c r="W3" s="18"/>
      <c r="X3" s="19"/>
      <c r="Y3" s="11"/>
      <c r="Z3" s="12" t="s">
        <v>4</v>
      </c>
      <c r="AA3" s="6"/>
      <c r="AB3" s="6"/>
      <c r="AC3" s="6"/>
      <c r="AD3" s="7"/>
      <c r="AE3" s="20"/>
      <c r="AF3" s="18"/>
      <c r="AG3" s="18"/>
      <c r="AH3" s="19"/>
      <c r="AI3" s="13"/>
      <c r="AJ3" s="21"/>
      <c r="AL3" s="22"/>
      <c r="AM3" s="4"/>
    </row>
    <row r="4" ht="11.25" customHeight="1">
      <c r="A4" s="4"/>
      <c r="B4" s="5" t="s">
        <v>5</v>
      </c>
      <c r="C4" s="6"/>
      <c r="D4" s="6"/>
      <c r="E4" s="7"/>
      <c r="F4" s="4"/>
      <c r="G4" s="17"/>
      <c r="H4" s="18"/>
      <c r="I4" s="18"/>
      <c r="J4" s="18"/>
      <c r="K4" s="18"/>
      <c r="L4" s="18"/>
      <c r="M4" s="18"/>
      <c r="N4" s="18"/>
      <c r="O4" s="18"/>
      <c r="P4" s="18"/>
      <c r="Q4" s="18"/>
      <c r="R4" s="18"/>
      <c r="S4" s="18"/>
      <c r="T4" s="18"/>
      <c r="U4" s="18"/>
      <c r="V4" s="18"/>
      <c r="W4" s="18"/>
      <c r="X4" s="19"/>
      <c r="Y4" s="13"/>
      <c r="Z4" s="12" t="s">
        <v>6</v>
      </c>
      <c r="AA4" s="6"/>
      <c r="AB4" s="6"/>
      <c r="AC4" s="6"/>
      <c r="AD4" s="7"/>
      <c r="AE4" s="20"/>
      <c r="AF4" s="18"/>
      <c r="AG4" s="18"/>
      <c r="AH4" s="19"/>
      <c r="AI4" s="13"/>
      <c r="AJ4" s="23"/>
      <c r="AK4" s="24"/>
      <c r="AL4" s="25"/>
      <c r="AM4" s="4"/>
    </row>
    <row r="5" ht="11.25" customHeight="1">
      <c r="A5" s="4"/>
      <c r="B5" s="5" t="s">
        <v>7</v>
      </c>
      <c r="C5" s="6"/>
      <c r="D5" s="6"/>
      <c r="E5" s="7"/>
      <c r="F5" s="4"/>
      <c r="G5" s="26"/>
      <c r="H5" s="9"/>
      <c r="I5" s="9"/>
      <c r="J5" s="10"/>
      <c r="K5" s="13"/>
      <c r="L5" s="27" t="s">
        <v>8</v>
      </c>
      <c r="M5" s="7"/>
      <c r="N5" s="28"/>
      <c r="O5" s="10"/>
      <c r="P5" s="13" t="s">
        <v>9</v>
      </c>
      <c r="Q5" s="29">
        <f>ROUND((N5-32)*5/9,1)</f>
        <v>-17.8</v>
      </c>
      <c r="R5" s="30"/>
      <c r="S5" s="13" t="s">
        <v>10</v>
      </c>
      <c r="T5" s="31" t="s">
        <v>11</v>
      </c>
      <c r="U5" s="6"/>
      <c r="V5" s="7"/>
      <c r="W5" s="32"/>
      <c r="X5" s="33" t="s">
        <v>12</v>
      </c>
      <c r="Y5" s="13"/>
      <c r="Z5" s="12" t="s">
        <v>13</v>
      </c>
      <c r="AA5" s="6"/>
      <c r="AB5" s="6"/>
      <c r="AC5" s="6"/>
      <c r="AD5" s="7"/>
      <c r="AE5" s="34"/>
      <c r="AF5" s="35"/>
      <c r="AG5" s="35"/>
      <c r="AH5" s="35"/>
      <c r="AI5" s="35"/>
      <c r="AJ5" s="35"/>
      <c r="AK5" s="35"/>
      <c r="AL5" s="30"/>
      <c r="AM5" s="4"/>
    </row>
    <row r="6" ht="11.25" customHeight="1">
      <c r="A6" s="4"/>
      <c r="B6" s="12" t="s">
        <v>14</v>
      </c>
      <c r="C6" s="6"/>
      <c r="D6" s="6"/>
      <c r="E6" s="6"/>
      <c r="F6" s="7"/>
      <c r="G6" s="8"/>
      <c r="H6" s="9"/>
      <c r="I6" s="9"/>
      <c r="J6" s="9"/>
      <c r="K6" s="9"/>
      <c r="L6" s="9"/>
      <c r="M6" s="9"/>
      <c r="N6" s="9"/>
      <c r="O6" s="9"/>
      <c r="P6" s="9"/>
      <c r="Q6" s="9"/>
      <c r="R6" s="9"/>
      <c r="S6" s="9"/>
      <c r="T6" s="9"/>
      <c r="U6" s="9"/>
      <c r="V6" s="9"/>
      <c r="W6" s="9"/>
      <c r="X6" s="10"/>
      <c r="Y6" s="13"/>
      <c r="Z6" s="12" t="s">
        <v>15</v>
      </c>
      <c r="AA6" s="6"/>
      <c r="AB6" s="6"/>
      <c r="AC6" s="6"/>
      <c r="AD6" s="7"/>
      <c r="AE6" s="36"/>
      <c r="AF6" s="37"/>
      <c r="AG6" s="37"/>
      <c r="AH6" s="37"/>
      <c r="AI6" s="37"/>
      <c r="AJ6" s="37"/>
      <c r="AK6" s="37"/>
      <c r="AL6" s="38"/>
      <c r="AM6" s="4"/>
    </row>
    <row r="7" ht="11.2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row>
    <row r="8" ht="11.25" customHeight="1">
      <c r="A8" s="40" t="s">
        <v>16</v>
      </c>
      <c r="B8" s="41"/>
      <c r="C8" s="41"/>
      <c r="D8" s="41"/>
      <c r="E8" s="41"/>
      <c r="F8" s="42"/>
      <c r="G8" s="43"/>
      <c r="H8" s="43"/>
      <c r="I8" s="43"/>
      <c r="J8" s="43"/>
      <c r="K8" s="43"/>
      <c r="L8" s="43"/>
      <c r="M8" s="43"/>
      <c r="N8" s="43"/>
      <c r="O8" s="43"/>
      <c r="P8" s="43"/>
      <c r="Q8" s="43"/>
      <c r="R8" s="43"/>
      <c r="S8" s="43"/>
      <c r="T8" s="43"/>
      <c r="U8" s="43"/>
      <c r="V8" s="43"/>
      <c r="W8" s="44"/>
      <c r="X8" s="43"/>
      <c r="Y8" s="44"/>
      <c r="Z8" s="45"/>
      <c r="AA8" s="44"/>
      <c r="AB8" s="44"/>
      <c r="AC8" s="44"/>
      <c r="AD8" s="44"/>
      <c r="AE8" s="44"/>
      <c r="AF8" s="44"/>
      <c r="AG8" s="44"/>
      <c r="AH8" s="4"/>
      <c r="AI8" s="4"/>
      <c r="AJ8" s="4"/>
      <c r="AK8" s="4"/>
      <c r="AL8" s="4"/>
      <c r="AM8" s="44"/>
    </row>
    <row r="9" ht="11.25" customHeight="1">
      <c r="A9" s="40"/>
      <c r="B9" s="41"/>
      <c r="C9" s="41"/>
      <c r="D9" s="41"/>
      <c r="E9" s="41"/>
      <c r="F9" s="42"/>
      <c r="G9" s="43"/>
      <c r="H9" s="43"/>
      <c r="I9" s="43"/>
      <c r="J9" s="43"/>
      <c r="K9" s="43"/>
      <c r="L9" s="43"/>
      <c r="M9" s="43"/>
      <c r="N9" s="43"/>
      <c r="O9" s="43"/>
      <c r="P9" s="43"/>
      <c r="Q9" s="43"/>
      <c r="R9" s="43"/>
      <c r="S9" s="43"/>
      <c r="T9" s="43"/>
      <c r="U9" s="4"/>
      <c r="V9" s="4"/>
      <c r="W9" s="4"/>
      <c r="X9" s="4"/>
      <c r="Y9" s="4"/>
      <c r="Z9" s="45"/>
      <c r="AA9" s="44"/>
      <c r="AB9" s="44"/>
      <c r="AC9" s="44"/>
      <c r="AD9" s="44"/>
      <c r="AE9" s="44"/>
      <c r="AF9" s="44"/>
      <c r="AG9" s="44"/>
      <c r="AH9" s="4"/>
      <c r="AI9" s="4"/>
      <c r="AJ9" s="4"/>
      <c r="AK9" s="4"/>
      <c r="AL9" s="4"/>
      <c r="AM9" s="44"/>
    </row>
    <row r="10" ht="11.25" customHeight="1">
      <c r="A10" s="46"/>
      <c r="B10" s="5" t="s">
        <v>17</v>
      </c>
      <c r="C10" s="6"/>
      <c r="D10" s="6"/>
      <c r="E10" s="6"/>
      <c r="F10" s="7"/>
      <c r="G10" s="47"/>
      <c r="H10" s="9"/>
      <c r="I10" s="9"/>
      <c r="J10" s="9"/>
      <c r="K10" s="9"/>
      <c r="L10" s="9"/>
      <c r="M10" s="10"/>
      <c r="N10" s="4"/>
      <c r="O10" s="5" t="s">
        <v>18</v>
      </c>
      <c r="P10" s="6"/>
      <c r="Q10" s="6"/>
      <c r="R10" s="6"/>
      <c r="S10" s="6"/>
      <c r="T10" s="7"/>
      <c r="U10" s="8"/>
      <c r="V10" s="9"/>
      <c r="W10" s="9"/>
      <c r="X10" s="9"/>
      <c r="Y10" s="10"/>
      <c r="Z10" s="4"/>
      <c r="AA10" s="5" t="s">
        <v>19</v>
      </c>
      <c r="AB10" s="6"/>
      <c r="AC10" s="6"/>
      <c r="AD10" s="6"/>
      <c r="AE10" s="7"/>
      <c r="AF10" s="47"/>
      <c r="AG10" s="9"/>
      <c r="AH10" s="9"/>
      <c r="AI10" s="9"/>
      <c r="AJ10" s="9"/>
      <c r="AK10" s="9"/>
      <c r="AL10" s="10"/>
      <c r="AM10" s="44"/>
    </row>
    <row r="11" ht="11.25" customHeight="1">
      <c r="A11" s="46"/>
      <c r="B11" s="5" t="s">
        <v>20</v>
      </c>
      <c r="C11" s="6"/>
      <c r="D11" s="6"/>
      <c r="E11" s="6"/>
      <c r="F11" s="7"/>
      <c r="G11" s="17"/>
      <c r="H11" s="18"/>
      <c r="I11" s="18"/>
      <c r="J11" s="18"/>
      <c r="K11" s="18"/>
      <c r="L11" s="18"/>
      <c r="M11" s="19"/>
      <c r="N11" s="4"/>
      <c r="O11" s="5" t="s">
        <v>21</v>
      </c>
      <c r="P11" s="6"/>
      <c r="Q11" s="6"/>
      <c r="R11" s="6"/>
      <c r="S11" s="6"/>
      <c r="T11" s="7"/>
      <c r="U11" s="20"/>
      <c r="V11" s="18"/>
      <c r="W11" s="18"/>
      <c r="X11" s="18"/>
      <c r="Y11" s="19"/>
      <c r="Z11" s="4"/>
      <c r="AA11" s="48" t="s">
        <v>22</v>
      </c>
      <c r="AF11" s="49"/>
      <c r="AG11" s="50"/>
      <c r="AH11" s="50"/>
      <c r="AI11" s="50"/>
      <c r="AJ11" s="50"/>
      <c r="AK11" s="50"/>
      <c r="AL11" s="50"/>
      <c r="AM11" s="44"/>
    </row>
    <row r="12" ht="11.25" customHeight="1">
      <c r="A12" s="46"/>
      <c r="B12" s="5" t="s">
        <v>23</v>
      </c>
      <c r="C12" s="6"/>
      <c r="D12" s="6"/>
      <c r="E12" s="6"/>
      <c r="F12" s="7"/>
      <c r="G12" s="17"/>
      <c r="H12" s="18"/>
      <c r="I12" s="18"/>
      <c r="J12" s="18"/>
      <c r="K12" s="18"/>
      <c r="L12" s="18"/>
      <c r="M12" s="19"/>
      <c r="N12" s="4"/>
      <c r="O12" s="48" t="s">
        <v>24</v>
      </c>
      <c r="U12" s="51"/>
      <c r="V12" s="18"/>
      <c r="W12" s="18"/>
      <c r="X12" s="18"/>
      <c r="Y12" s="18"/>
      <c r="Z12" s="48"/>
      <c r="AA12" s="48" t="s">
        <v>25</v>
      </c>
      <c r="AF12" s="52"/>
      <c r="AG12" s="18"/>
      <c r="AH12" s="18"/>
      <c r="AI12" s="18"/>
      <c r="AJ12" s="18"/>
      <c r="AK12" s="18"/>
      <c r="AL12" s="18"/>
      <c r="AM12" s="44"/>
    </row>
    <row r="13" ht="11.25" customHeight="1">
      <c r="A13" s="46"/>
      <c r="B13" s="5" t="s">
        <v>26</v>
      </c>
      <c r="C13" s="6"/>
      <c r="D13" s="6"/>
      <c r="E13" s="6"/>
      <c r="F13" s="7"/>
      <c r="G13" s="17"/>
      <c r="H13" s="18"/>
      <c r="I13" s="18"/>
      <c r="J13" s="18"/>
      <c r="K13" s="18"/>
      <c r="L13" s="18"/>
      <c r="M13" s="19"/>
      <c r="N13" s="4"/>
      <c r="O13" s="48" t="s">
        <v>27</v>
      </c>
      <c r="U13" s="51"/>
      <c r="V13" s="18"/>
      <c r="W13" s="18"/>
      <c r="X13" s="18"/>
      <c r="Y13" s="18"/>
      <c r="Z13" s="4"/>
      <c r="AA13" s="48" t="s">
        <v>28</v>
      </c>
      <c r="AF13" s="52"/>
      <c r="AG13" s="18"/>
      <c r="AH13" s="18"/>
      <c r="AI13" s="18"/>
      <c r="AJ13" s="18"/>
      <c r="AK13" s="18"/>
      <c r="AL13" s="18"/>
      <c r="AM13" s="44"/>
    </row>
    <row r="14" ht="11.25" customHeight="1">
      <c r="A14" s="46"/>
      <c r="B14" s="5" t="s">
        <v>29</v>
      </c>
      <c r="C14" s="6"/>
      <c r="D14" s="6"/>
      <c r="E14" s="6"/>
      <c r="F14" s="7"/>
      <c r="G14" s="17"/>
      <c r="H14" s="18"/>
      <c r="I14" s="18"/>
      <c r="J14" s="18"/>
      <c r="K14" s="18"/>
      <c r="L14" s="18"/>
      <c r="M14" s="19"/>
      <c r="N14" s="4"/>
      <c r="O14" s="12" t="s">
        <v>30</v>
      </c>
      <c r="P14" s="6"/>
      <c r="Q14" s="6"/>
      <c r="R14" s="6"/>
      <c r="S14" s="6"/>
      <c r="T14" s="7"/>
      <c r="U14" s="53"/>
      <c r="V14" s="18"/>
      <c r="W14" s="18"/>
      <c r="X14" s="18"/>
      <c r="Y14" s="18"/>
      <c r="Z14" s="4"/>
      <c r="AA14" s="48" t="s">
        <v>31</v>
      </c>
      <c r="AF14" s="52"/>
      <c r="AG14" s="18"/>
      <c r="AH14" s="18"/>
      <c r="AI14" s="18"/>
      <c r="AJ14" s="18"/>
      <c r="AK14" s="18"/>
      <c r="AL14" s="18"/>
      <c r="AM14" s="44"/>
    </row>
    <row r="15" ht="11.25" customHeight="1">
      <c r="A15" s="46"/>
      <c r="B15" s="13"/>
      <c r="C15" s="13"/>
      <c r="D15" s="13"/>
      <c r="E15" s="13"/>
      <c r="F15" s="13"/>
      <c r="G15" s="54"/>
      <c r="H15" s="54"/>
      <c r="I15" s="54"/>
      <c r="J15" s="54"/>
      <c r="K15" s="54"/>
      <c r="L15" s="54"/>
      <c r="M15" s="54"/>
      <c r="N15" s="4"/>
      <c r="O15" s="55"/>
      <c r="P15" s="55"/>
      <c r="Q15" s="55"/>
      <c r="R15" s="55"/>
      <c r="S15" s="55"/>
      <c r="T15" s="55"/>
      <c r="U15" s="56"/>
      <c r="V15" s="56"/>
      <c r="W15" s="56"/>
      <c r="X15" s="56"/>
      <c r="Y15" s="56"/>
      <c r="Z15" s="4"/>
      <c r="AA15" s="48"/>
      <c r="AB15" s="48"/>
      <c r="AC15" s="48"/>
      <c r="AD15" s="48"/>
      <c r="AE15" s="48"/>
      <c r="AF15" s="48"/>
      <c r="AG15" s="48"/>
      <c r="AH15" s="48"/>
      <c r="AI15" s="48"/>
      <c r="AJ15" s="48"/>
      <c r="AK15" s="48"/>
      <c r="AL15" s="48"/>
      <c r="AM15" s="44"/>
    </row>
    <row r="16" ht="11.2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row>
    <row r="17" ht="11.25" customHeight="1">
      <c r="A17" s="40" t="s">
        <v>32</v>
      </c>
      <c r="B17" s="57"/>
      <c r="C17" s="57"/>
      <c r="D17" s="57"/>
      <c r="E17" s="57"/>
      <c r="F17" s="57"/>
      <c r="G17" s="57"/>
      <c r="H17" s="57"/>
      <c r="I17" s="57"/>
      <c r="J17" s="42"/>
      <c r="K17" s="42"/>
      <c r="L17" s="58"/>
      <c r="M17" s="44"/>
      <c r="N17" s="43"/>
      <c r="O17" s="43"/>
      <c r="P17" s="43"/>
      <c r="Q17" s="43"/>
      <c r="R17" s="43"/>
      <c r="S17" s="43"/>
      <c r="T17" s="43"/>
      <c r="U17" s="43"/>
      <c r="V17" s="59"/>
      <c r="W17" s="59"/>
      <c r="X17" s="59"/>
      <c r="Y17" s="58"/>
      <c r="Z17" s="58"/>
      <c r="AA17" s="44"/>
      <c r="AB17" s="44"/>
      <c r="AC17" s="44"/>
      <c r="AD17" s="44"/>
      <c r="AE17" s="44"/>
      <c r="AF17" s="44"/>
      <c r="AG17" s="44"/>
      <c r="AH17" s="44"/>
      <c r="AI17" s="44"/>
      <c r="AJ17" s="44"/>
      <c r="AK17" s="44"/>
      <c r="AL17" s="44"/>
      <c r="AM17" s="44"/>
    </row>
    <row r="18" ht="11.25"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13"/>
    </row>
    <row r="19" ht="11.25" customHeight="1">
      <c r="A19" s="4"/>
      <c r="B19" s="13" t="s">
        <v>33</v>
      </c>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28" t="s">
        <v>34</v>
      </c>
      <c r="AI19" s="9"/>
      <c r="AJ19" s="9"/>
      <c r="AK19" s="9"/>
      <c r="AL19" s="10"/>
      <c r="AM19" s="44"/>
    </row>
    <row r="20" ht="11.25" customHeight="1">
      <c r="A20" s="4"/>
      <c r="B20" s="60" t="s">
        <v>35</v>
      </c>
      <c r="C20" s="18"/>
      <c r="D20" s="18"/>
      <c r="E20" s="61"/>
      <c r="F20" s="60" t="s">
        <v>36</v>
      </c>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61"/>
      <c r="AH20" s="62"/>
      <c r="AI20" s="18"/>
      <c r="AJ20" s="18"/>
      <c r="AK20" s="18"/>
      <c r="AL20" s="61"/>
      <c r="AM20" s="44"/>
    </row>
    <row r="21" ht="11.25" customHeight="1">
      <c r="A21" s="4"/>
      <c r="B21" s="60" t="s">
        <v>37</v>
      </c>
      <c r="C21" s="18"/>
      <c r="D21" s="18"/>
      <c r="E21" s="61"/>
      <c r="F21" s="60" t="s">
        <v>38</v>
      </c>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61"/>
      <c r="AH21" s="62"/>
      <c r="AI21" s="18"/>
      <c r="AJ21" s="18"/>
      <c r="AK21" s="18"/>
      <c r="AL21" s="61"/>
      <c r="AM21" s="44"/>
    </row>
    <row r="22" ht="11.25" customHeight="1">
      <c r="A22" s="4"/>
      <c r="B22" s="60" t="s">
        <v>39</v>
      </c>
      <c r="C22" s="18"/>
      <c r="D22" s="18"/>
      <c r="E22" s="61"/>
      <c r="F22" s="60" t="s">
        <v>40</v>
      </c>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61"/>
      <c r="AH22" s="62"/>
      <c r="AI22" s="18"/>
      <c r="AJ22" s="18"/>
      <c r="AK22" s="18"/>
      <c r="AL22" s="61"/>
      <c r="AM22" s="44"/>
    </row>
    <row r="23" ht="11.25" customHeight="1">
      <c r="A23" s="4"/>
      <c r="B23" s="60" t="s">
        <v>41</v>
      </c>
      <c r="C23" s="18"/>
      <c r="D23" s="18"/>
      <c r="E23" s="61"/>
      <c r="F23" s="63" t="s">
        <v>42</v>
      </c>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61"/>
      <c r="AH23" s="62"/>
      <c r="AI23" s="18"/>
      <c r="AJ23" s="18"/>
      <c r="AK23" s="18"/>
      <c r="AL23" s="61"/>
      <c r="AM23" s="44"/>
    </row>
    <row r="24" ht="37.5" customHeight="1">
      <c r="A24" s="4"/>
      <c r="B24" s="60" t="s">
        <v>43</v>
      </c>
      <c r="C24" s="18"/>
      <c r="D24" s="18"/>
      <c r="E24" s="61"/>
      <c r="F24" s="63" t="s">
        <v>44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61"/>
      <c r="AH24" s="62"/>
      <c r="AI24" s="18"/>
      <c r="AJ24" s="18"/>
      <c r="AK24" s="18"/>
      <c r="AL24" s="61"/>
      <c r="AM24" s="13"/>
    </row>
    <row r="25" ht="11.25" customHeight="1">
      <c r="A25" s="4"/>
      <c r="B25" s="60" t="s">
        <v>45</v>
      </c>
      <c r="C25" s="18"/>
      <c r="D25" s="18"/>
      <c r="E25" s="61"/>
      <c r="F25" s="63" t="s">
        <v>46</v>
      </c>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61"/>
      <c r="AH25" s="62"/>
      <c r="AI25" s="18"/>
      <c r="AJ25" s="18"/>
      <c r="AK25" s="18"/>
      <c r="AL25" s="61"/>
      <c r="AM25" s="13"/>
    </row>
    <row r="26" ht="11.25" customHeight="1">
      <c r="A26" s="4"/>
      <c r="B26" s="60" t="s">
        <v>47</v>
      </c>
      <c r="C26" s="18"/>
      <c r="D26" s="18"/>
      <c r="E26" s="61"/>
      <c r="F26" s="63" t="s">
        <v>48</v>
      </c>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61"/>
      <c r="AH26" s="62"/>
      <c r="AI26" s="18"/>
      <c r="AJ26" s="18"/>
      <c r="AK26" s="18"/>
      <c r="AL26" s="61"/>
      <c r="AM26" s="13"/>
    </row>
    <row r="27" ht="11.25" customHeight="1">
      <c r="A27" s="4"/>
      <c r="B27" s="13"/>
      <c r="C27" s="13"/>
      <c r="D27" s="13"/>
      <c r="E27" s="13"/>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5"/>
      <c r="AI27" s="66"/>
      <c r="AJ27" s="66"/>
      <c r="AK27" s="66"/>
      <c r="AL27" s="66"/>
      <c r="AM27" s="13"/>
    </row>
    <row r="28" ht="11.25" customHeight="1">
      <c r="A28" s="67"/>
      <c r="B28" s="68"/>
      <c r="C28" s="68"/>
      <c r="D28" s="68"/>
      <c r="E28" s="68"/>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8"/>
      <c r="AI28" s="68"/>
      <c r="AJ28" s="68"/>
      <c r="AK28" s="68"/>
      <c r="AL28" s="68"/>
      <c r="AM28" s="70"/>
    </row>
    <row r="29" ht="11.25" customHeight="1">
      <c r="A29" s="40" t="s">
        <v>49</v>
      </c>
      <c r="B29" s="42"/>
      <c r="C29" s="42"/>
      <c r="D29" s="42"/>
      <c r="E29" s="42"/>
      <c r="F29" s="42"/>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row>
    <row r="30" ht="11.25" customHeight="1">
      <c r="A30" s="40"/>
      <c r="B30" s="42"/>
      <c r="C30" s="42"/>
      <c r="D30" s="42"/>
      <c r="E30" s="42"/>
      <c r="F30" s="42"/>
      <c r="G30" s="4"/>
      <c r="H30" s="4"/>
      <c r="I30" s="4"/>
      <c r="J30" s="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row>
    <row r="31" ht="11.25" customHeight="1">
      <c r="A31" s="40"/>
      <c r="B31" s="71" t="s">
        <v>50</v>
      </c>
      <c r="C31" s="18"/>
      <c r="D31" s="18"/>
      <c r="E31" s="18"/>
      <c r="F31" s="61"/>
      <c r="G31" s="71" t="s">
        <v>51</v>
      </c>
      <c r="H31" s="18"/>
      <c r="I31" s="18"/>
      <c r="J31" s="61"/>
      <c r="K31" s="4"/>
      <c r="L31" s="72" t="s">
        <v>52</v>
      </c>
      <c r="M31" s="18"/>
      <c r="N31" s="18"/>
      <c r="O31" s="18"/>
      <c r="P31" s="18"/>
      <c r="Q31" s="18"/>
      <c r="R31" s="18"/>
      <c r="S31" s="18"/>
      <c r="T31" s="18"/>
      <c r="U31" s="18"/>
      <c r="V31" s="18"/>
      <c r="W31" s="18"/>
      <c r="X31" s="61"/>
      <c r="Y31" s="4"/>
      <c r="Z31" s="72" t="s">
        <v>53</v>
      </c>
      <c r="AA31" s="18"/>
      <c r="AB31" s="18"/>
      <c r="AC31" s="18"/>
      <c r="AD31" s="18"/>
      <c r="AE31" s="18"/>
      <c r="AF31" s="18"/>
      <c r="AG31" s="18"/>
      <c r="AH31" s="18"/>
      <c r="AI31" s="18"/>
      <c r="AJ31" s="18"/>
      <c r="AK31" s="18"/>
      <c r="AL31" s="61"/>
      <c r="AM31" s="44"/>
    </row>
    <row r="32" ht="11.25" customHeight="1">
      <c r="A32" s="40"/>
      <c r="B32" s="4"/>
      <c r="C32" s="4"/>
      <c r="D32" s="4"/>
      <c r="E32" s="4"/>
      <c r="F32" s="4"/>
      <c r="G32" s="4"/>
      <c r="H32" s="4"/>
      <c r="I32" s="4"/>
      <c r="J32" s="4"/>
      <c r="K32" s="4"/>
      <c r="L32" s="71" t="s">
        <v>54</v>
      </c>
      <c r="M32" s="18"/>
      <c r="N32" s="18"/>
      <c r="O32" s="18"/>
      <c r="P32" s="61"/>
      <c r="Q32" s="71" t="s">
        <v>55</v>
      </c>
      <c r="R32" s="18"/>
      <c r="S32" s="61"/>
      <c r="T32" s="71" t="s">
        <v>56</v>
      </c>
      <c r="U32" s="18"/>
      <c r="V32" s="61"/>
      <c r="W32" s="71" t="s">
        <v>57</v>
      </c>
      <c r="X32" s="61"/>
      <c r="Y32" s="4"/>
      <c r="Z32" s="71" t="s">
        <v>54</v>
      </c>
      <c r="AA32" s="18"/>
      <c r="AB32" s="18"/>
      <c r="AC32" s="18"/>
      <c r="AD32" s="61"/>
      <c r="AE32" s="71" t="s">
        <v>55</v>
      </c>
      <c r="AF32" s="18"/>
      <c r="AG32" s="61"/>
      <c r="AH32" s="71" t="s">
        <v>56</v>
      </c>
      <c r="AI32" s="18"/>
      <c r="AJ32" s="61"/>
      <c r="AK32" s="71" t="s">
        <v>58</v>
      </c>
      <c r="AL32" s="61"/>
      <c r="AM32" s="4"/>
    </row>
    <row r="33" ht="11.25" customHeight="1">
      <c r="A33" s="40"/>
      <c r="B33" s="71" t="s">
        <v>59</v>
      </c>
      <c r="C33" s="18"/>
      <c r="D33" s="18"/>
      <c r="E33" s="18"/>
      <c r="F33" s="18"/>
      <c r="G33" s="18"/>
      <c r="H33" s="18"/>
      <c r="I33" s="18"/>
      <c r="J33" s="61"/>
      <c r="K33" s="4"/>
      <c r="L33" s="72" t="str">
        <f>IF(OR(ISNUMBER(FIND("T",$G$31)),ISNUMBER(FIND("M",$G$31))),"Thermal","Long Time")</f>
        <v>Long Time</v>
      </c>
      <c r="M33" s="18"/>
      <c r="N33" s="18"/>
      <c r="O33" s="18"/>
      <c r="P33" s="61"/>
      <c r="Q33" s="73"/>
      <c r="R33" s="18"/>
      <c r="S33" s="61"/>
      <c r="T33" s="73"/>
      <c r="U33" s="18"/>
      <c r="V33" s="61"/>
      <c r="W33" s="74"/>
      <c r="X33" s="61"/>
      <c r="Y33" s="4"/>
      <c r="Z33" s="72" t="str">
        <f>IF(OR(ISNUMBER(FIND("T",$G$31)),ISNUMBER(FIND("M",$G$31))),"Thermal","Long Time")</f>
        <v>Long Time</v>
      </c>
      <c r="AA33" s="18"/>
      <c r="AB33" s="18"/>
      <c r="AC33" s="18"/>
      <c r="AD33" s="61"/>
      <c r="AE33" s="73"/>
      <c r="AF33" s="18"/>
      <c r="AG33" s="61"/>
      <c r="AH33" s="73"/>
      <c r="AI33" s="18"/>
      <c r="AJ33" s="61"/>
      <c r="AK33" s="74"/>
      <c r="AL33" s="61"/>
      <c r="AM33" s="4"/>
    </row>
    <row r="34" ht="11.25" customHeight="1">
      <c r="A34" s="40"/>
      <c r="B34" s="75" t="s">
        <v>60</v>
      </c>
      <c r="C34" s="50"/>
      <c r="D34" s="76"/>
      <c r="E34" s="71"/>
      <c r="F34" s="18"/>
      <c r="G34" s="18"/>
      <c r="H34" s="18"/>
      <c r="I34" s="18"/>
      <c r="J34" s="61"/>
      <c r="K34" s="4"/>
      <c r="L34" s="72" t="str">
        <f>IF(OR(ISNUMBER(FIND("T",$G$31)),ISNUMBER(FIND("M",$G$31))),"Magnetic","Short Time")</f>
        <v>Short Time</v>
      </c>
      <c r="M34" s="18"/>
      <c r="N34" s="18"/>
      <c r="O34" s="18"/>
      <c r="P34" s="61"/>
      <c r="Q34" s="73"/>
      <c r="R34" s="18"/>
      <c r="S34" s="61"/>
      <c r="T34" s="73"/>
      <c r="U34" s="18"/>
      <c r="V34" s="61"/>
      <c r="W34" s="73"/>
      <c r="X34" s="61"/>
      <c r="Y34" s="4"/>
      <c r="Z34" s="72" t="str">
        <f>IF(OR(ISNUMBER(FIND("T",$G$31)),ISNUMBER(FIND("M",$G$31))),"Magnetic","Short Time")</f>
        <v>Short Time</v>
      </c>
      <c r="AA34" s="18"/>
      <c r="AB34" s="18"/>
      <c r="AC34" s="18"/>
      <c r="AD34" s="61"/>
      <c r="AE34" s="73"/>
      <c r="AF34" s="18"/>
      <c r="AG34" s="61"/>
      <c r="AH34" s="73"/>
      <c r="AI34" s="18"/>
      <c r="AJ34" s="61"/>
      <c r="AK34" s="73"/>
      <c r="AL34" s="61"/>
      <c r="AM34" s="4"/>
    </row>
    <row r="35" ht="11.25" customHeight="1">
      <c r="A35" s="77"/>
      <c r="B35" s="71" t="s">
        <v>61</v>
      </c>
      <c r="C35" s="18"/>
      <c r="D35" s="61"/>
      <c r="E35" s="71"/>
      <c r="F35" s="18"/>
      <c r="G35" s="18"/>
      <c r="H35" s="18"/>
      <c r="I35" s="18"/>
      <c r="J35" s="61"/>
      <c r="K35" s="4"/>
      <c r="L35" s="78" t="s">
        <v>62</v>
      </c>
      <c r="M35" s="18"/>
      <c r="N35" s="18"/>
      <c r="O35" s="18"/>
      <c r="P35" s="61"/>
      <c r="Q35" s="73"/>
      <c r="R35" s="18"/>
      <c r="S35" s="61"/>
      <c r="T35" s="74"/>
      <c r="U35" s="18"/>
      <c r="V35" s="61"/>
      <c r="W35" s="74"/>
      <c r="X35" s="61"/>
      <c r="Y35" s="4"/>
      <c r="Z35" s="78" t="s">
        <v>62</v>
      </c>
      <c r="AA35" s="18"/>
      <c r="AB35" s="18"/>
      <c r="AC35" s="18"/>
      <c r="AD35" s="61"/>
      <c r="AE35" s="73"/>
      <c r="AF35" s="18"/>
      <c r="AG35" s="61"/>
      <c r="AH35" s="74"/>
      <c r="AI35" s="18"/>
      <c r="AJ35" s="61"/>
      <c r="AK35" s="74"/>
      <c r="AL35" s="61"/>
      <c r="AM35" s="4"/>
    </row>
    <row r="36" ht="11.25" customHeight="1">
      <c r="A36" s="77"/>
      <c r="B36" s="71" t="s">
        <v>7</v>
      </c>
      <c r="C36" s="18"/>
      <c r="D36" s="61"/>
      <c r="E36" s="71"/>
      <c r="F36" s="18"/>
      <c r="G36" s="18"/>
      <c r="H36" s="18"/>
      <c r="I36" s="18"/>
      <c r="J36" s="61"/>
      <c r="K36" s="4"/>
      <c r="L36" s="72" t="s">
        <v>63</v>
      </c>
      <c r="M36" s="18"/>
      <c r="N36" s="18"/>
      <c r="O36" s="18"/>
      <c r="P36" s="61"/>
      <c r="Q36" s="73"/>
      <c r="R36" s="18"/>
      <c r="S36" s="61"/>
      <c r="T36" s="73"/>
      <c r="U36" s="18"/>
      <c r="V36" s="61"/>
      <c r="W36" s="73"/>
      <c r="X36" s="61"/>
      <c r="Y36" s="4"/>
      <c r="Z36" s="72" t="s">
        <v>63</v>
      </c>
      <c r="AA36" s="18"/>
      <c r="AB36" s="18"/>
      <c r="AC36" s="18"/>
      <c r="AD36" s="61"/>
      <c r="AE36" s="73"/>
      <c r="AF36" s="18"/>
      <c r="AG36" s="61"/>
      <c r="AH36" s="73"/>
      <c r="AI36" s="18"/>
      <c r="AJ36" s="61"/>
      <c r="AK36" s="73"/>
      <c r="AL36" s="61"/>
      <c r="AM36" s="4"/>
    </row>
    <row r="37" ht="11.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ht="11.25" customHeight="1">
      <c r="A38" s="68"/>
      <c r="B38" s="68"/>
      <c r="C38" s="68"/>
      <c r="D38" s="68"/>
      <c r="E38" s="68"/>
      <c r="F38" s="68"/>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39"/>
      <c r="AL38" s="39"/>
      <c r="AM38" s="39"/>
    </row>
    <row r="39" ht="11.25" customHeight="1">
      <c r="A39" s="40" t="s">
        <v>64</v>
      </c>
      <c r="B39" s="42"/>
      <c r="C39" s="42"/>
      <c r="D39" s="42"/>
      <c r="E39" s="42"/>
      <c r="F39" s="42"/>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row>
    <row r="40" ht="11.25" customHeight="1">
      <c r="A40" s="40"/>
      <c r="B40" s="42"/>
      <c r="C40" s="42"/>
      <c r="D40" s="42"/>
      <c r="E40" s="42"/>
      <c r="F40" s="42"/>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row>
    <row r="41" ht="11.25" customHeight="1">
      <c r="A41" s="77"/>
      <c r="B41" s="71" t="s">
        <v>65</v>
      </c>
      <c r="C41" s="18"/>
      <c r="D41" s="18"/>
      <c r="E41" s="18"/>
      <c r="F41" s="18"/>
      <c r="G41" s="18"/>
      <c r="H41" s="18"/>
      <c r="I41" s="18"/>
      <c r="J41" s="18"/>
      <c r="K41" s="18"/>
      <c r="L41" s="18"/>
      <c r="M41" s="18"/>
      <c r="N41" s="18"/>
      <c r="O41" s="61"/>
      <c r="P41" s="4"/>
      <c r="Q41" s="80" t="s">
        <v>66</v>
      </c>
      <c r="R41" s="18"/>
      <c r="S41" s="18"/>
      <c r="T41" s="18"/>
      <c r="U41" s="18"/>
      <c r="V41" s="18"/>
      <c r="W41" s="18"/>
      <c r="X41" s="61"/>
      <c r="Y41" s="4"/>
      <c r="Z41" s="71" t="s">
        <v>67</v>
      </c>
      <c r="AA41" s="18"/>
      <c r="AB41" s="18"/>
      <c r="AC41" s="61"/>
      <c r="AD41" s="4"/>
      <c r="AE41" s="81"/>
      <c r="AG41" s="4"/>
      <c r="AH41" s="4"/>
      <c r="AI41" s="4"/>
      <c r="AJ41" s="4"/>
      <c r="AK41" s="4"/>
      <c r="AL41" s="4"/>
      <c r="AM41" s="4"/>
    </row>
    <row r="42" ht="11.25" customHeight="1">
      <c r="A42" s="77"/>
      <c r="B42" s="71" t="s">
        <v>68</v>
      </c>
      <c r="C42" s="18"/>
      <c r="D42" s="18"/>
      <c r="E42" s="61"/>
      <c r="F42" s="71" t="s">
        <v>69</v>
      </c>
      <c r="G42" s="18"/>
      <c r="H42" s="18"/>
      <c r="I42" s="61"/>
      <c r="J42" s="71" t="s">
        <v>70</v>
      </c>
      <c r="K42" s="18"/>
      <c r="L42" s="18"/>
      <c r="M42" s="61"/>
      <c r="N42" s="71" t="s">
        <v>71</v>
      </c>
      <c r="O42" s="61"/>
      <c r="P42" s="4"/>
      <c r="Q42" s="71" t="s">
        <v>72</v>
      </c>
      <c r="R42" s="18"/>
      <c r="S42" s="18"/>
      <c r="T42" s="61"/>
      <c r="U42" s="71" t="s">
        <v>73</v>
      </c>
      <c r="V42" s="18"/>
      <c r="W42" s="18"/>
      <c r="X42" s="61"/>
      <c r="Y42" s="4"/>
      <c r="Z42" s="82" t="str">
        <f>IF(U43="N/A","N/A",IF(ISNUMBER(Q43)=FALSE,"-",IF(Q43&gt;0.5,"FAIL","PASS")))</f>
        <v>-</v>
      </c>
      <c r="AA42" s="83"/>
      <c r="AB42" s="83"/>
      <c r="AC42" s="84"/>
      <c r="AD42" s="4"/>
      <c r="AE42" s="81"/>
      <c r="AG42" s="4"/>
      <c r="AH42" s="4"/>
      <c r="AI42" s="4"/>
      <c r="AJ42" s="4"/>
      <c r="AK42" s="4"/>
      <c r="AL42" s="4"/>
      <c r="AM42" s="4"/>
    </row>
    <row r="43" ht="11.25" customHeight="1">
      <c r="A43" s="77"/>
      <c r="B43" s="71"/>
      <c r="C43" s="18"/>
      <c r="D43" s="18"/>
      <c r="E43" s="61"/>
      <c r="F43" s="71"/>
      <c r="G43" s="18"/>
      <c r="H43" s="18"/>
      <c r="I43" s="61"/>
      <c r="J43" s="71"/>
      <c r="K43" s="18"/>
      <c r="L43" s="18"/>
      <c r="M43" s="61"/>
      <c r="N43" s="78" t="s">
        <v>74</v>
      </c>
      <c r="O43" s="61"/>
      <c r="P43" s="4"/>
      <c r="Q43" s="85" t="str">
        <f>IF(OR(ISNUMBER(B43)=FALSE,ISNUMBER(F43)=FALSE,ISNUMBER(J43)=FALSE),"-",(MAX(B43,F43,J43)/MIN(B43,F43,J43)-1))</f>
        <v>-</v>
      </c>
      <c r="R43" s="18"/>
      <c r="S43" s="18"/>
      <c r="T43" s="61"/>
      <c r="U43" s="71" t="s">
        <v>75</v>
      </c>
      <c r="V43" s="18"/>
      <c r="W43" s="18"/>
      <c r="X43" s="61"/>
      <c r="Y43" s="4"/>
      <c r="Z43" s="86"/>
      <c r="AA43" s="50"/>
      <c r="AB43" s="50"/>
      <c r="AC43" s="76"/>
      <c r="AD43" s="4"/>
      <c r="AE43" s="4"/>
      <c r="AF43" s="81"/>
      <c r="AG43" s="81"/>
      <c r="AH43" s="81"/>
      <c r="AI43" s="81"/>
      <c r="AJ43" s="81"/>
      <c r="AK43" s="4"/>
      <c r="AL43" s="77"/>
      <c r="AM43" s="4"/>
    </row>
    <row r="44" ht="11.25" customHeight="1">
      <c r="A44" s="77"/>
      <c r="B44" s="81"/>
      <c r="C44" s="81"/>
      <c r="D44" s="81"/>
      <c r="E44" s="81"/>
      <c r="F44" s="81"/>
      <c r="G44" s="81"/>
      <c r="H44" s="81"/>
      <c r="I44" s="81"/>
      <c r="J44" s="81"/>
      <c r="K44" s="81"/>
      <c r="L44" s="81"/>
      <c r="M44" s="81"/>
      <c r="N44" s="43"/>
      <c r="O44" s="43"/>
      <c r="P44" s="4"/>
      <c r="Q44" s="87"/>
      <c r="R44" s="87"/>
      <c r="S44" s="87"/>
      <c r="T44" s="87"/>
      <c r="U44" s="81"/>
      <c r="V44" s="81"/>
      <c r="W44" s="81"/>
      <c r="X44" s="81"/>
      <c r="Y44" s="4"/>
      <c r="Z44" s="88"/>
      <c r="AA44" s="88"/>
      <c r="AB44" s="88"/>
      <c r="AC44" s="88"/>
      <c r="AD44" s="4"/>
      <c r="AE44" s="4"/>
      <c r="AF44" s="81"/>
      <c r="AG44" s="81"/>
      <c r="AH44" s="81"/>
      <c r="AI44" s="81"/>
      <c r="AJ44" s="81"/>
      <c r="AK44" s="4"/>
      <c r="AL44" s="77"/>
      <c r="AM44" s="4"/>
    </row>
    <row r="45" ht="11.25" customHeight="1">
      <c r="A45" s="68"/>
      <c r="B45" s="68"/>
      <c r="C45" s="68"/>
      <c r="D45" s="68"/>
      <c r="E45" s="68"/>
      <c r="F45" s="68"/>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39"/>
      <c r="AL45" s="39"/>
      <c r="AM45" s="39"/>
    </row>
    <row r="46" ht="11.25" customHeight="1">
      <c r="A46" s="40" t="s">
        <v>76</v>
      </c>
      <c r="B46" s="42"/>
      <c r="C46" s="42"/>
      <c r="D46" s="42"/>
      <c r="E46" s="42"/>
      <c r="F46" s="42"/>
      <c r="G46" s="44"/>
      <c r="H46" s="44"/>
      <c r="I46" s="44"/>
      <c r="J46" s="44"/>
      <c r="K46" s="44"/>
      <c r="L46" s="44"/>
      <c r="M46" s="44"/>
      <c r="N46" s="44"/>
      <c r="O46" s="44"/>
      <c r="P46" s="44"/>
      <c r="Q46" s="44"/>
      <c r="R46" s="44"/>
      <c r="S46" s="44"/>
      <c r="T46" s="44"/>
      <c r="U46" s="44"/>
      <c r="V46" s="44"/>
      <c r="W46" s="44"/>
      <c r="X46" s="44"/>
      <c r="Y46" s="44"/>
      <c r="Z46" s="44"/>
      <c r="AA46" s="44"/>
      <c r="AB46" s="44"/>
      <c r="AC46" s="89"/>
      <c r="AD46" s="44"/>
      <c r="AE46" s="44"/>
      <c r="AF46" s="44"/>
      <c r="AG46" s="44"/>
      <c r="AH46" s="44"/>
      <c r="AI46" s="44"/>
      <c r="AJ46" s="44"/>
      <c r="AK46" s="44"/>
      <c r="AL46" s="44"/>
      <c r="AM46" s="44"/>
    </row>
    <row r="47" ht="11.25" customHeight="1">
      <c r="A47" s="77"/>
      <c r="B47" s="77"/>
      <c r="C47" s="77"/>
      <c r="D47" s="77"/>
      <c r="E47" s="77"/>
      <c r="F47" s="77"/>
      <c r="G47" s="77"/>
      <c r="H47" s="77"/>
      <c r="I47" s="77"/>
      <c r="J47" s="77"/>
      <c r="K47" s="77"/>
      <c r="L47" s="77"/>
      <c r="M47" s="77"/>
      <c r="N47" s="77"/>
      <c r="O47" s="77"/>
      <c r="P47" s="77"/>
      <c r="Q47" s="77"/>
      <c r="R47" s="90" t="s">
        <v>77</v>
      </c>
      <c r="S47" s="18"/>
      <c r="T47" s="18"/>
      <c r="U47" s="18"/>
      <c r="V47" s="18"/>
      <c r="W47" s="18"/>
      <c r="X47" s="18"/>
      <c r="Y47" s="18"/>
      <c r="Z47" s="61"/>
      <c r="AA47" s="91"/>
      <c r="AB47" s="18"/>
      <c r="AC47" s="61"/>
      <c r="AD47" s="4"/>
      <c r="AE47" s="92" t="s">
        <v>78</v>
      </c>
      <c r="AF47" s="18"/>
      <c r="AG47" s="18"/>
      <c r="AH47" s="18"/>
      <c r="AI47" s="61"/>
      <c r="AJ47" s="62" t="str">
        <f>IF($U$12="","",IF($U$12&lt;=250,500,1000))</f>
        <v/>
      </c>
      <c r="AK47" s="18"/>
      <c r="AL47" s="61"/>
      <c r="AM47" s="77"/>
    </row>
    <row r="48" ht="11.25" customHeight="1">
      <c r="A48" s="77"/>
      <c r="B48" s="4"/>
      <c r="C48" s="4"/>
      <c r="D48" s="4"/>
      <c r="E48" s="4"/>
      <c r="F48" s="4"/>
      <c r="G48" s="4"/>
      <c r="H48" s="4"/>
      <c r="I48" s="4"/>
      <c r="J48" s="4"/>
      <c r="K48" s="4"/>
      <c r="L48" s="4"/>
      <c r="M48" s="4"/>
      <c r="N48" s="4"/>
      <c r="O48" s="4"/>
      <c r="P48" s="4"/>
      <c r="Q48" s="4"/>
      <c r="R48" s="90" t="s">
        <v>79</v>
      </c>
      <c r="S48" s="18"/>
      <c r="T48" s="18"/>
      <c r="U48" s="18"/>
      <c r="V48" s="18"/>
      <c r="W48" s="18"/>
      <c r="X48" s="18"/>
      <c r="Y48" s="18"/>
      <c r="Z48" s="61"/>
      <c r="AA48" s="51">
        <f>ROUND(0.1758*EXP(0.0256*AA47),3)</f>
        <v>0.176</v>
      </c>
      <c r="AB48" s="18"/>
      <c r="AC48" s="61"/>
      <c r="AD48" s="4"/>
      <c r="AE48" s="92" t="s">
        <v>80</v>
      </c>
      <c r="AF48" s="18"/>
      <c r="AG48" s="18"/>
      <c r="AH48" s="18"/>
      <c r="AI48" s="61"/>
      <c r="AJ48" s="91" t="s">
        <v>81</v>
      </c>
      <c r="AK48" s="18"/>
      <c r="AL48" s="61"/>
      <c r="AM48" s="4"/>
    </row>
    <row r="49" ht="11.25" customHeight="1">
      <c r="A49" s="77"/>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4"/>
      <c r="AD49" s="4"/>
      <c r="AE49" s="4"/>
      <c r="AF49" s="4"/>
      <c r="AG49" s="4"/>
      <c r="AH49" s="4"/>
      <c r="AI49" s="4"/>
      <c r="AJ49" s="4"/>
      <c r="AK49" s="4"/>
      <c r="AL49" s="4"/>
      <c r="AM49" s="4"/>
    </row>
    <row r="50" ht="11.25" customHeight="1">
      <c r="A50" s="77"/>
      <c r="B50" s="93" t="s">
        <v>82</v>
      </c>
      <c r="C50" s="83"/>
      <c r="D50" s="83"/>
      <c r="E50" s="84"/>
      <c r="F50" s="94" t="s">
        <v>83</v>
      </c>
      <c r="G50" s="83"/>
      <c r="H50" s="84"/>
      <c r="I50" s="91" t="s">
        <v>84</v>
      </c>
      <c r="J50" s="18"/>
      <c r="K50" s="18"/>
      <c r="L50" s="18"/>
      <c r="M50" s="18"/>
      <c r="N50" s="18"/>
      <c r="O50" s="18"/>
      <c r="P50" s="18"/>
      <c r="Q50" s="61"/>
      <c r="R50" s="91" t="s">
        <v>85</v>
      </c>
      <c r="S50" s="18"/>
      <c r="T50" s="18"/>
      <c r="U50" s="18"/>
      <c r="V50" s="18"/>
      <c r="W50" s="18"/>
      <c r="X50" s="18"/>
      <c r="Y50" s="18"/>
      <c r="Z50" s="61"/>
      <c r="AA50" s="48"/>
      <c r="AB50" s="95"/>
      <c r="AC50" s="48"/>
      <c r="AD50" s="96" t="s">
        <v>86</v>
      </c>
      <c r="AE50" s="18"/>
      <c r="AF50" s="18"/>
      <c r="AG50" s="18"/>
      <c r="AH50" s="61"/>
      <c r="AI50" s="48"/>
      <c r="AJ50" s="93" t="s">
        <v>34</v>
      </c>
      <c r="AK50" s="83"/>
      <c r="AL50" s="84"/>
      <c r="AM50" s="4"/>
    </row>
    <row r="51" ht="11.25" customHeight="1">
      <c r="A51" s="77"/>
      <c r="B51" s="86"/>
      <c r="C51" s="50"/>
      <c r="D51" s="50"/>
      <c r="E51" s="76"/>
      <c r="F51" s="86"/>
      <c r="G51" s="50"/>
      <c r="H51" s="76"/>
      <c r="I51" s="97" t="s">
        <v>87</v>
      </c>
      <c r="J51" s="83"/>
      <c r="K51" s="84"/>
      <c r="L51" s="97" t="s">
        <v>88</v>
      </c>
      <c r="M51" s="83"/>
      <c r="N51" s="84"/>
      <c r="O51" s="97" t="s">
        <v>89</v>
      </c>
      <c r="P51" s="83"/>
      <c r="Q51" s="84"/>
      <c r="R51" s="97" t="s">
        <v>87</v>
      </c>
      <c r="S51" s="83"/>
      <c r="T51" s="84"/>
      <c r="U51" s="97" t="s">
        <v>88</v>
      </c>
      <c r="V51" s="83"/>
      <c r="W51" s="84"/>
      <c r="X51" s="97" t="s">
        <v>89</v>
      </c>
      <c r="Y51" s="83"/>
      <c r="Z51" s="84"/>
      <c r="AA51" s="91" t="s">
        <v>71</v>
      </c>
      <c r="AB51" s="61"/>
      <c r="AC51" s="48"/>
      <c r="AD51" s="93" t="s">
        <v>90</v>
      </c>
      <c r="AE51" s="83"/>
      <c r="AF51" s="84"/>
      <c r="AG51" s="98" t="s">
        <v>71</v>
      </c>
      <c r="AH51" s="76"/>
      <c r="AI51" s="48"/>
      <c r="AJ51" s="86"/>
      <c r="AK51" s="50"/>
      <c r="AL51" s="76"/>
      <c r="AM51" s="4"/>
    </row>
    <row r="52" ht="11.25" customHeight="1">
      <c r="A52" s="77"/>
      <c r="B52" s="62" t="s">
        <v>91</v>
      </c>
      <c r="C52" s="18"/>
      <c r="D52" s="18"/>
      <c r="E52" s="61"/>
      <c r="F52" s="99" t="s">
        <v>92</v>
      </c>
      <c r="G52" s="83"/>
      <c r="H52" s="100"/>
      <c r="I52" s="101"/>
      <c r="J52" s="102"/>
      <c r="K52" s="61"/>
      <c r="L52" s="101"/>
      <c r="M52" s="102"/>
      <c r="N52" s="61"/>
      <c r="O52" s="101"/>
      <c r="P52" s="102"/>
      <c r="Q52" s="61"/>
      <c r="R52" s="103" t="str">
        <f t="shared" ref="R52:R54" si="1">IF(OR(COUNTIF(I52,"*&gt;*"),COUNTIF(I52,"*&lt;*"),COUNTIF(I52,"N/A")),I52,IF(I52="","",I52*#REF!))</f>
        <v/>
      </c>
      <c r="S52" s="104" t="str">
        <f t="shared" ref="S52:S54" si="2">IF(J52="","",IF(ISNUMBER(J52)=FALSE, J52,J52*$AA$48))</f>
        <v/>
      </c>
      <c r="T52" s="61"/>
      <c r="U52" s="103" t="str">
        <f t="shared" ref="U52:U54" si="3">IF(OR(COUNTIF(L52,"*&gt;*"),COUNTIF(L52,"*&lt;*"),COUNTIF(L52,"N/A")),L52,IF(L52="","",L52*#REF!))</f>
        <v/>
      </c>
      <c r="V52" s="104" t="str">
        <f t="shared" ref="V52:V54" si="4">IF(M52="","",IF(ISNUMBER(M52)=FALSE, M52,M52*$AA$48))</f>
        <v/>
      </c>
      <c r="W52" s="61"/>
      <c r="X52" s="103" t="str">
        <f t="shared" ref="X52:X54" si="5">IF(OR(COUNTIF(O52,"*&gt;*"),COUNTIF(O52,"*&lt;*"),COUNTIF(O52,"N/A")),O52,IF(O52="","",O52*#REF!))</f>
        <v/>
      </c>
      <c r="Y52" s="104" t="str">
        <f t="shared" ref="Y52:Y54" si="6">IF(P52="","",IF(ISNUMBER(P52)=FALSE, P52,P52*$AA$48))</f>
        <v/>
      </c>
      <c r="Z52" s="61"/>
      <c r="AA52" s="105" t="s">
        <v>93</v>
      </c>
      <c r="AB52" s="61"/>
      <c r="AC52" s="48"/>
      <c r="AD52" s="90" t="s">
        <v>94</v>
      </c>
      <c r="AE52" s="106" t="str">
        <f t="shared" ref="AE52:AE54" si="7">IF($U$12="","",IF($U$12&lt;=250,IF(AA52="MΩ",25,0.025),IF(AA52="MΩ",100,0.1)))</f>
        <v/>
      </c>
      <c r="AF52" s="61"/>
      <c r="AG52" s="51" t="str">
        <f t="shared" ref="AG52:AG54" si="8">IF(AA52="","",AA52)</f>
        <v>MΩ</v>
      </c>
      <c r="AH52" s="61"/>
      <c r="AI52" s="48"/>
      <c r="AJ52" s="107" t="str">
        <f t="shared" ref="AJ52:AJ54" si="9">IF(OR(S52="",ISNUMBER(S52)=FALSE,V52="",ISNUMBER(V52)=FALSE,Y52="",ISNUMBER(Y52)=FALSE,AE52=""),"-",IF(AE52="N/A","N/A",IF(AND(S52&gt;AE52,V52&gt;AE52,Y52&gt;AE52),"PASS","FAIL")))</f>
        <v>-</v>
      </c>
      <c r="AK52" s="18"/>
      <c r="AL52" s="61"/>
      <c r="AM52" s="4"/>
    </row>
    <row r="53" ht="11.25" customHeight="1">
      <c r="A53" s="77"/>
      <c r="B53" s="62" t="s">
        <v>95</v>
      </c>
      <c r="C53" s="18"/>
      <c r="D53" s="18"/>
      <c r="E53" s="61"/>
      <c r="F53" s="86"/>
      <c r="G53" s="50"/>
      <c r="H53" s="108"/>
      <c r="I53" s="101"/>
      <c r="J53" s="102"/>
      <c r="K53" s="61"/>
      <c r="L53" s="101"/>
      <c r="M53" s="102"/>
      <c r="N53" s="61"/>
      <c r="O53" s="101"/>
      <c r="P53" s="102"/>
      <c r="Q53" s="61"/>
      <c r="R53" s="103" t="str">
        <f t="shared" si="1"/>
        <v/>
      </c>
      <c r="S53" s="104" t="str">
        <f t="shared" si="2"/>
        <v/>
      </c>
      <c r="T53" s="61"/>
      <c r="U53" s="103" t="str">
        <f t="shared" si="3"/>
        <v/>
      </c>
      <c r="V53" s="104" t="str">
        <f t="shared" si="4"/>
        <v/>
      </c>
      <c r="W53" s="61"/>
      <c r="X53" s="103" t="str">
        <f t="shared" si="5"/>
        <v/>
      </c>
      <c r="Y53" s="104" t="str">
        <f t="shared" si="6"/>
        <v/>
      </c>
      <c r="Z53" s="61"/>
      <c r="AA53" s="105" t="s">
        <v>93</v>
      </c>
      <c r="AB53" s="61"/>
      <c r="AC53" s="48"/>
      <c r="AD53" s="90" t="s">
        <v>94</v>
      </c>
      <c r="AE53" s="106" t="str">
        <f t="shared" si="7"/>
        <v/>
      </c>
      <c r="AF53" s="61"/>
      <c r="AG53" s="51" t="str">
        <f t="shared" si="8"/>
        <v>MΩ</v>
      </c>
      <c r="AH53" s="61"/>
      <c r="AI53" s="48"/>
      <c r="AJ53" s="107" t="str">
        <f t="shared" si="9"/>
        <v>-</v>
      </c>
      <c r="AK53" s="18"/>
      <c r="AL53" s="61"/>
      <c r="AM53" s="4"/>
    </row>
    <row r="54" ht="11.25" customHeight="1">
      <c r="A54" s="77"/>
      <c r="B54" s="62" t="s">
        <v>96</v>
      </c>
      <c r="C54" s="18"/>
      <c r="D54" s="18"/>
      <c r="E54" s="61"/>
      <c r="F54" s="62" t="s">
        <v>97</v>
      </c>
      <c r="G54" s="18"/>
      <c r="H54" s="19"/>
      <c r="I54" s="101"/>
      <c r="J54" s="102"/>
      <c r="K54" s="61"/>
      <c r="L54" s="101"/>
      <c r="M54" s="102"/>
      <c r="N54" s="61"/>
      <c r="O54" s="101"/>
      <c r="P54" s="102"/>
      <c r="Q54" s="61"/>
      <c r="R54" s="109" t="str">
        <f t="shared" si="1"/>
        <v/>
      </c>
      <c r="S54" s="104" t="str">
        <f t="shared" si="2"/>
        <v/>
      </c>
      <c r="T54" s="61"/>
      <c r="U54" s="109" t="str">
        <f t="shared" si="3"/>
        <v/>
      </c>
      <c r="V54" s="104" t="str">
        <f t="shared" si="4"/>
        <v/>
      </c>
      <c r="W54" s="61"/>
      <c r="X54" s="109" t="str">
        <f t="shared" si="5"/>
        <v/>
      </c>
      <c r="Y54" s="104" t="str">
        <f t="shared" si="6"/>
        <v/>
      </c>
      <c r="Z54" s="61"/>
      <c r="AA54" s="105" t="s">
        <v>93</v>
      </c>
      <c r="AB54" s="61"/>
      <c r="AC54" s="48"/>
      <c r="AD54" s="90" t="s">
        <v>98</v>
      </c>
      <c r="AE54" s="106" t="str">
        <f t="shared" si="7"/>
        <v/>
      </c>
      <c r="AF54" s="61"/>
      <c r="AG54" s="51" t="str">
        <f t="shared" si="8"/>
        <v>MΩ</v>
      </c>
      <c r="AH54" s="61"/>
      <c r="AI54" s="48"/>
      <c r="AJ54" s="107" t="str">
        <f t="shared" si="9"/>
        <v>-</v>
      </c>
      <c r="AK54" s="18"/>
      <c r="AL54" s="61"/>
      <c r="AM54" s="4"/>
    </row>
    <row r="55" ht="11.25" customHeight="1">
      <c r="A55" s="77"/>
      <c r="B55" s="58"/>
      <c r="C55" s="58"/>
      <c r="D55" s="58"/>
      <c r="E55" s="58"/>
      <c r="F55" s="58"/>
      <c r="G55" s="43"/>
      <c r="H55" s="43"/>
      <c r="I55" s="43"/>
      <c r="J55" s="43"/>
      <c r="K55" s="43"/>
      <c r="L55" s="43"/>
      <c r="M55" s="43"/>
      <c r="N55" s="43"/>
      <c r="O55" s="43"/>
      <c r="P55" s="43"/>
      <c r="Q55" s="43"/>
      <c r="R55" s="43"/>
      <c r="S55" s="44"/>
      <c r="T55" s="4"/>
      <c r="U55" s="4"/>
      <c r="V55" s="4"/>
      <c r="W55" s="4"/>
      <c r="X55" s="4"/>
      <c r="Y55" s="4"/>
      <c r="Z55" s="4"/>
      <c r="AA55" s="4"/>
      <c r="AB55" s="4"/>
      <c r="AC55" s="4"/>
      <c r="AD55" s="4"/>
      <c r="AE55" s="43"/>
      <c r="AF55" s="43"/>
      <c r="AG55" s="43"/>
      <c r="AH55" s="43"/>
      <c r="AI55" s="43"/>
      <c r="AJ55" s="43"/>
      <c r="AK55" s="43"/>
      <c r="AL55" s="43"/>
      <c r="AM55" s="77"/>
    </row>
    <row r="56" ht="11.25" customHeight="1">
      <c r="A56" s="77"/>
      <c r="B56" s="58"/>
      <c r="C56" s="58"/>
      <c r="D56" s="58"/>
      <c r="E56" s="58"/>
      <c r="F56" s="58"/>
      <c r="G56" s="43"/>
      <c r="H56" s="43"/>
      <c r="I56" s="43"/>
      <c r="J56" s="43"/>
      <c r="K56" s="43"/>
      <c r="L56" s="43"/>
      <c r="M56" s="43"/>
      <c r="N56" s="43"/>
      <c r="O56" s="43"/>
      <c r="P56" s="43"/>
      <c r="Q56" s="43"/>
      <c r="R56" s="43"/>
      <c r="S56" s="44"/>
      <c r="T56" s="4"/>
      <c r="U56" s="4"/>
      <c r="V56" s="4"/>
      <c r="W56" s="4"/>
      <c r="X56" s="4"/>
      <c r="Y56" s="4"/>
      <c r="Z56" s="4"/>
      <c r="AA56" s="4"/>
      <c r="AB56" s="4"/>
      <c r="AC56" s="4"/>
      <c r="AD56" s="4"/>
      <c r="AE56" s="43"/>
      <c r="AF56" s="43"/>
      <c r="AG56" s="43"/>
      <c r="AH56" s="43"/>
      <c r="AI56" s="43"/>
      <c r="AJ56" s="43"/>
      <c r="AK56" s="43"/>
      <c r="AL56" s="43"/>
      <c r="AM56" s="77"/>
    </row>
    <row r="57" ht="11.25" customHeight="1">
      <c r="A57" s="68"/>
      <c r="B57" s="68"/>
      <c r="C57" s="68"/>
      <c r="D57" s="68"/>
      <c r="E57" s="68"/>
      <c r="F57" s="68"/>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39"/>
      <c r="AL57" s="39"/>
      <c r="AM57" s="39"/>
    </row>
    <row r="58" ht="11.25" customHeight="1">
      <c r="A58" s="110" t="s">
        <v>99</v>
      </c>
      <c r="B58" s="111"/>
      <c r="C58" s="111"/>
      <c r="D58" s="111"/>
      <c r="E58" s="111"/>
      <c r="F58" s="111"/>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row>
    <row r="59" ht="11.25" customHeight="1">
      <c r="A59" s="77"/>
      <c r="B59" s="58"/>
      <c r="C59" s="58"/>
      <c r="D59" s="58"/>
      <c r="E59" s="58"/>
      <c r="F59" s="58"/>
      <c r="G59" s="43"/>
      <c r="H59" s="43"/>
      <c r="I59" s="43"/>
      <c r="J59" s="43"/>
      <c r="K59" s="43"/>
      <c r="L59" s="43"/>
      <c r="M59" s="43"/>
      <c r="N59" s="43"/>
      <c r="O59" s="43"/>
      <c r="P59" s="43"/>
      <c r="Q59" s="43"/>
      <c r="R59" s="43"/>
      <c r="S59" s="44"/>
      <c r="T59" s="4"/>
      <c r="U59" s="4"/>
      <c r="V59" s="58"/>
      <c r="W59" s="58"/>
      <c r="X59" s="58"/>
      <c r="Y59" s="58"/>
      <c r="Z59" s="58"/>
      <c r="AA59" s="43"/>
      <c r="AB59" s="13"/>
      <c r="AC59" s="13"/>
      <c r="AD59" s="55"/>
      <c r="AE59" s="65"/>
      <c r="AF59" s="65"/>
      <c r="AG59" s="65"/>
      <c r="AH59" s="65"/>
      <c r="AI59" s="65"/>
      <c r="AJ59" s="43"/>
      <c r="AK59" s="43"/>
      <c r="AL59" s="43"/>
      <c r="AM59" s="77"/>
    </row>
    <row r="60" ht="11.25" customHeight="1">
      <c r="A60" s="77"/>
      <c r="B60" s="4"/>
      <c r="C60" s="4"/>
      <c r="D60" s="4"/>
      <c r="E60" s="4"/>
      <c r="F60" s="4"/>
      <c r="G60" s="4"/>
      <c r="H60" s="4"/>
      <c r="I60" s="4"/>
      <c r="J60" s="4"/>
      <c r="K60" s="4"/>
      <c r="L60" s="4"/>
      <c r="M60" s="72" t="s">
        <v>100</v>
      </c>
      <c r="N60" s="18"/>
      <c r="O60" s="18"/>
      <c r="P60" s="18"/>
      <c r="Q60" s="18"/>
      <c r="R60" s="18"/>
      <c r="S60" s="18"/>
      <c r="T60" s="18"/>
      <c r="U60" s="18"/>
      <c r="V60" s="18"/>
      <c r="W60" s="18"/>
      <c r="X60" s="18"/>
      <c r="Y60" s="61"/>
      <c r="Z60" s="58"/>
      <c r="AA60" s="43"/>
      <c r="AB60" s="44"/>
      <c r="AC60" s="44"/>
      <c r="AD60" s="4"/>
      <c r="AE60" s="4"/>
      <c r="AF60" s="4"/>
      <c r="AG60" s="4"/>
      <c r="AH60" s="4"/>
      <c r="AI60" s="4"/>
      <c r="AJ60" s="43"/>
      <c r="AK60" s="43"/>
      <c r="AL60" s="43"/>
      <c r="AM60" s="77"/>
    </row>
    <row r="61" ht="11.25" customHeight="1">
      <c r="A61" s="77"/>
      <c r="B61" s="4"/>
      <c r="C61" s="71" t="s">
        <v>101</v>
      </c>
      <c r="D61" s="18"/>
      <c r="E61" s="18"/>
      <c r="F61" s="18"/>
      <c r="G61" s="18"/>
      <c r="H61" s="18"/>
      <c r="I61" s="61"/>
      <c r="J61" s="4"/>
      <c r="K61" s="4"/>
      <c r="L61" s="4"/>
      <c r="M61" s="78"/>
      <c r="N61" s="18"/>
      <c r="O61" s="18"/>
      <c r="P61" s="18"/>
      <c r="Q61" s="61"/>
      <c r="R61" s="71" t="s">
        <v>55</v>
      </c>
      <c r="S61" s="18"/>
      <c r="T61" s="61"/>
      <c r="U61" s="71" t="s">
        <v>56</v>
      </c>
      <c r="V61" s="18"/>
      <c r="W61" s="61"/>
      <c r="X61" s="71" t="s">
        <v>102</v>
      </c>
      <c r="Y61" s="61"/>
      <c r="Z61" s="58"/>
      <c r="AA61" s="43"/>
      <c r="AB61" s="71" t="s">
        <v>103</v>
      </c>
      <c r="AC61" s="18"/>
      <c r="AD61" s="18"/>
      <c r="AE61" s="18"/>
      <c r="AF61" s="18"/>
      <c r="AG61" s="18"/>
      <c r="AH61" s="61"/>
      <c r="AI61" s="4"/>
      <c r="AJ61" s="43"/>
      <c r="AK61" s="43"/>
      <c r="AL61" s="43"/>
      <c r="AM61" s="77"/>
    </row>
    <row r="62" ht="11.25" customHeight="1">
      <c r="A62" s="77"/>
      <c r="B62" s="4"/>
      <c r="C62" s="71" t="s">
        <v>104</v>
      </c>
      <c r="D62" s="18"/>
      <c r="E62" s="18"/>
      <c r="F62" s="18"/>
      <c r="G62" s="18"/>
      <c r="H62" s="18"/>
      <c r="I62" s="61"/>
      <c r="J62" s="4"/>
      <c r="K62" s="4"/>
      <c r="L62" s="4"/>
      <c r="M62" s="72" t="str">
        <f>IF(OR(ISNUMBER(FIND("T",$G$31)),ISNUMBER(FIND("M",$G$31))),"Thermal","Long Time")</f>
        <v>Long Time</v>
      </c>
      <c r="N62" s="18"/>
      <c r="O62" s="18"/>
      <c r="P62" s="18"/>
      <c r="Q62" s="61"/>
      <c r="R62" s="73" t="s">
        <v>105</v>
      </c>
      <c r="S62" s="18"/>
      <c r="T62" s="61"/>
      <c r="U62" s="73"/>
      <c r="V62" s="18"/>
      <c r="W62" s="61"/>
      <c r="X62" s="74"/>
      <c r="Y62" s="61"/>
      <c r="Z62" s="58"/>
      <c r="AA62" s="43"/>
      <c r="AB62" s="71" t="s">
        <v>106</v>
      </c>
      <c r="AC62" s="18"/>
      <c r="AD62" s="18"/>
      <c r="AE62" s="18"/>
      <c r="AF62" s="18"/>
      <c r="AG62" s="18"/>
      <c r="AH62" s="61"/>
      <c r="AI62" s="43"/>
      <c r="AJ62" s="43"/>
      <c r="AK62" s="43"/>
      <c r="AL62" s="43"/>
      <c r="AM62" s="77"/>
    </row>
    <row r="63" ht="11.25" customHeight="1">
      <c r="A63" s="77"/>
      <c r="B63" s="4"/>
      <c r="C63" s="4"/>
      <c r="D63" s="4"/>
      <c r="E63" s="4"/>
      <c r="F63" s="4"/>
      <c r="G63" s="4"/>
      <c r="H63" s="4"/>
      <c r="I63" s="4"/>
      <c r="J63" s="4"/>
      <c r="K63" s="4"/>
      <c r="L63" s="4"/>
      <c r="M63" s="72" t="str">
        <f>IF(OR(ISNUMBER(FIND("T",$G$31)),ISNUMBER(FIND("M",$G$31))),"Magnetic","Short Time")</f>
        <v>Short Time</v>
      </c>
      <c r="N63" s="18"/>
      <c r="O63" s="18"/>
      <c r="P63" s="18"/>
      <c r="Q63" s="61"/>
      <c r="R63" s="73" t="s">
        <v>107</v>
      </c>
      <c r="S63" s="18"/>
      <c r="T63" s="61"/>
      <c r="U63" s="73" t="s">
        <v>108</v>
      </c>
      <c r="V63" s="18"/>
      <c r="W63" s="61"/>
      <c r="X63" s="73"/>
      <c r="Y63" s="61"/>
      <c r="Z63" s="58"/>
      <c r="AA63" s="43"/>
      <c r="AB63" s="44"/>
      <c r="AC63" s="44"/>
      <c r="AD63" s="58"/>
      <c r="AE63" s="43"/>
      <c r="AF63" s="43"/>
      <c r="AG63" s="43"/>
      <c r="AH63" s="43"/>
      <c r="AI63" s="43"/>
      <c r="AJ63" s="43"/>
      <c r="AK63" s="112"/>
      <c r="AL63" s="7"/>
      <c r="AM63" s="77"/>
    </row>
    <row r="64" ht="11.25" customHeight="1">
      <c r="A64" s="77"/>
      <c r="B64" s="4"/>
      <c r="C64" s="4"/>
      <c r="D64" s="4"/>
      <c r="E64" s="4"/>
      <c r="F64" s="4"/>
      <c r="G64" s="4"/>
      <c r="H64" s="4"/>
      <c r="I64" s="4"/>
      <c r="J64" s="4"/>
      <c r="K64" s="4"/>
      <c r="L64" s="4"/>
      <c r="M64" s="78" t="s">
        <v>62</v>
      </c>
      <c r="N64" s="18"/>
      <c r="O64" s="18"/>
      <c r="P64" s="18"/>
      <c r="Q64" s="61"/>
      <c r="R64" s="73"/>
      <c r="S64" s="18"/>
      <c r="T64" s="61"/>
      <c r="U64" s="74"/>
      <c r="V64" s="18"/>
      <c r="W64" s="61"/>
      <c r="X64" s="74"/>
      <c r="Y64" s="61"/>
      <c r="Z64" s="58"/>
      <c r="AA64" s="43"/>
      <c r="AB64" s="44"/>
      <c r="AC64" s="44"/>
      <c r="AD64" s="58"/>
      <c r="AE64" s="43"/>
      <c r="AF64" s="43"/>
      <c r="AG64" s="43"/>
      <c r="AH64" s="43"/>
      <c r="AI64" s="43"/>
      <c r="AJ64" s="43"/>
      <c r="AK64" s="43"/>
      <c r="AL64" s="43"/>
      <c r="AM64" s="77"/>
    </row>
    <row r="65" ht="11.25" customHeight="1">
      <c r="A65" s="77"/>
      <c r="B65" s="4"/>
      <c r="C65" s="4"/>
      <c r="D65" s="4"/>
      <c r="E65" s="4"/>
      <c r="F65" s="4"/>
      <c r="G65" s="4"/>
      <c r="H65" s="4"/>
      <c r="I65" s="4"/>
      <c r="J65" s="4"/>
      <c r="K65" s="4"/>
      <c r="L65" s="4"/>
      <c r="M65" s="72" t="s">
        <v>63</v>
      </c>
      <c r="N65" s="18"/>
      <c r="O65" s="18"/>
      <c r="P65" s="18"/>
      <c r="Q65" s="61"/>
      <c r="R65" s="73"/>
      <c r="S65" s="18"/>
      <c r="T65" s="61"/>
      <c r="U65" s="73"/>
      <c r="V65" s="18"/>
      <c r="W65" s="61"/>
      <c r="X65" s="73"/>
      <c r="Y65" s="61"/>
      <c r="Z65" s="58"/>
      <c r="AA65" s="43"/>
      <c r="AB65" s="44"/>
      <c r="AC65" s="44"/>
      <c r="AD65" s="58"/>
      <c r="AE65" s="43"/>
      <c r="AF65" s="43"/>
      <c r="AG65" s="43"/>
      <c r="AH65" s="43"/>
      <c r="AI65" s="43"/>
      <c r="AJ65" s="43"/>
      <c r="AK65" s="43"/>
      <c r="AL65" s="43"/>
      <c r="AM65" s="77"/>
    </row>
    <row r="66" ht="11.2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row>
    <row r="67" ht="11.25" customHeight="1">
      <c r="A67" s="77"/>
      <c r="B67" s="113" t="s">
        <v>54</v>
      </c>
      <c r="C67" s="83"/>
      <c r="D67" s="83"/>
      <c r="E67" s="114" t="s">
        <v>109</v>
      </c>
      <c r="F67" s="83"/>
      <c r="G67" s="84"/>
      <c r="H67" s="80" t="s">
        <v>110</v>
      </c>
      <c r="I67" s="18"/>
      <c r="J67" s="18"/>
      <c r="K67" s="61"/>
      <c r="L67" s="114" t="s">
        <v>111</v>
      </c>
      <c r="M67" s="83"/>
      <c r="N67" s="84"/>
      <c r="O67" s="71" t="s">
        <v>112</v>
      </c>
      <c r="P67" s="18"/>
      <c r="Q67" s="18"/>
      <c r="R67" s="18"/>
      <c r="S67" s="18"/>
      <c r="T67" s="61"/>
      <c r="U67" s="113" t="s">
        <v>68</v>
      </c>
      <c r="V67" s="83"/>
      <c r="W67" s="83"/>
      <c r="X67" s="83"/>
      <c r="Y67" s="84"/>
      <c r="Z67" s="113" t="s">
        <v>69</v>
      </c>
      <c r="AA67" s="83"/>
      <c r="AB67" s="83"/>
      <c r="AC67" s="83"/>
      <c r="AD67" s="84"/>
      <c r="AE67" s="113" t="s">
        <v>70</v>
      </c>
      <c r="AF67" s="83"/>
      <c r="AG67" s="83"/>
      <c r="AH67" s="83"/>
      <c r="AI67" s="84"/>
      <c r="AJ67" s="82" t="s">
        <v>34</v>
      </c>
      <c r="AK67" s="83"/>
      <c r="AL67" s="84"/>
      <c r="AM67" s="4"/>
    </row>
    <row r="68" ht="11.25" customHeight="1">
      <c r="A68" s="77"/>
      <c r="B68" s="86"/>
      <c r="C68" s="50"/>
      <c r="D68" s="50"/>
      <c r="E68" s="86"/>
      <c r="F68" s="50"/>
      <c r="G68" s="76"/>
      <c r="H68" s="80" t="s">
        <v>112</v>
      </c>
      <c r="I68" s="18"/>
      <c r="J68" s="18"/>
      <c r="K68" s="61"/>
      <c r="L68" s="86"/>
      <c r="M68" s="50"/>
      <c r="N68" s="76"/>
      <c r="O68" s="71" t="s">
        <v>113</v>
      </c>
      <c r="P68" s="18"/>
      <c r="Q68" s="61"/>
      <c r="R68" s="71" t="s">
        <v>114</v>
      </c>
      <c r="S68" s="18"/>
      <c r="T68" s="61"/>
      <c r="U68" s="86"/>
      <c r="V68" s="50"/>
      <c r="W68" s="50"/>
      <c r="X68" s="50"/>
      <c r="Y68" s="76"/>
      <c r="Z68" s="86"/>
      <c r="AA68" s="50"/>
      <c r="AB68" s="50"/>
      <c r="AC68" s="50"/>
      <c r="AD68" s="76"/>
      <c r="AE68" s="86"/>
      <c r="AF68" s="50"/>
      <c r="AG68" s="50"/>
      <c r="AH68" s="50"/>
      <c r="AI68" s="76"/>
      <c r="AJ68" s="86"/>
      <c r="AK68" s="50"/>
      <c r="AL68" s="76"/>
      <c r="AM68" s="4"/>
    </row>
    <row r="69" ht="11.25" customHeight="1">
      <c r="A69" s="77"/>
      <c r="B69" s="80" t="str">
        <f>IF(AND(NOT(ISNUMBER(FIND("T",$G$31))),NOT(ISNUMBER(FIND("M",$G$31)))),"LTD","Thermal")</f>
        <v>LTD</v>
      </c>
      <c r="C69" s="18"/>
      <c r="D69" s="61"/>
      <c r="E69" s="72"/>
      <c r="F69" s="18"/>
      <c r="G69" s="61"/>
      <c r="H69" s="115">
        <v>3.0</v>
      </c>
      <c r="I69" s="18"/>
      <c r="J69" s="18"/>
      <c r="K69" s="61"/>
      <c r="L69" s="72" t="str">
        <f>IF(E69="","",IF(E69="N/A", "N/A", E69*H69))</f>
        <v/>
      </c>
      <c r="M69" s="18"/>
      <c r="N69" s="61"/>
      <c r="O69" s="72"/>
      <c r="P69" s="18"/>
      <c r="Q69" s="61"/>
      <c r="R69" s="72"/>
      <c r="S69" s="18"/>
      <c r="T69" s="18"/>
      <c r="U69" s="72"/>
      <c r="V69" s="18"/>
      <c r="W69" s="18"/>
      <c r="X69" s="53" t="s">
        <v>115</v>
      </c>
      <c r="Y69" s="61"/>
      <c r="Z69" s="72"/>
      <c r="AA69" s="18"/>
      <c r="AB69" s="18"/>
      <c r="AC69" s="53" t="s">
        <v>115</v>
      </c>
      <c r="AD69" s="61"/>
      <c r="AE69" s="72"/>
      <c r="AF69" s="18"/>
      <c r="AG69" s="18"/>
      <c r="AH69" s="53" t="s">
        <v>115</v>
      </c>
      <c r="AI69" s="61"/>
      <c r="AJ69" s="116" t="str">
        <f t="shared" ref="AJ69:AJ76" si="10">IF(OR(U69="",Z69="",AE69=""),"",IF(AND(U69&lt;=R69,U69&gt;=O69,R69&gt;=Z69,Z69&gt;=O69,R69&gt;=AE69,AE69&gt;=O69),"PASS","FAIL"))</f>
        <v/>
      </c>
      <c r="AK69" s="18"/>
      <c r="AL69" s="61"/>
      <c r="AM69" s="4"/>
    </row>
    <row r="70" ht="11.25" customHeight="1">
      <c r="A70" s="77"/>
      <c r="B70" s="80" t="str">
        <f>IF(AND(NOT(ISNUMBER(FIND("T",$G$31))),NOT(ISNUMBER(FIND("M",$G$31)))),"LTPU","Magnetic")</f>
        <v>LTPU</v>
      </c>
      <c r="C70" s="18"/>
      <c r="D70" s="61"/>
      <c r="E70" s="72"/>
      <c r="F70" s="18"/>
      <c r="G70" s="61"/>
      <c r="H70" s="115">
        <v>-0.1</v>
      </c>
      <c r="I70" s="61"/>
      <c r="J70" s="115">
        <v>0.1</v>
      </c>
      <c r="K70" s="61"/>
      <c r="L70" s="72" t="str">
        <f>IF(E70="","",E70)</f>
        <v/>
      </c>
      <c r="M70" s="18"/>
      <c r="N70" s="61"/>
      <c r="O70" s="72"/>
      <c r="P70" s="18"/>
      <c r="Q70" s="61"/>
      <c r="R70" s="72"/>
      <c r="S70" s="18"/>
      <c r="T70" s="18"/>
      <c r="U70" s="72"/>
      <c r="V70" s="18"/>
      <c r="W70" s="18"/>
      <c r="X70" s="53" t="s">
        <v>116</v>
      </c>
      <c r="Y70" s="61"/>
      <c r="Z70" s="72"/>
      <c r="AA70" s="18"/>
      <c r="AB70" s="18"/>
      <c r="AC70" s="53" t="s">
        <v>116</v>
      </c>
      <c r="AD70" s="61"/>
      <c r="AE70" s="72"/>
      <c r="AF70" s="18"/>
      <c r="AG70" s="18"/>
      <c r="AH70" s="53" t="s">
        <v>116</v>
      </c>
      <c r="AI70" s="61"/>
      <c r="AJ70" s="116" t="str">
        <f t="shared" si="10"/>
        <v/>
      </c>
      <c r="AK70" s="18"/>
      <c r="AL70" s="61"/>
      <c r="AM70" s="117"/>
    </row>
    <row r="71" ht="11.25" customHeight="1">
      <c r="A71" s="77"/>
      <c r="B71" s="80" t="s">
        <v>117</v>
      </c>
      <c r="C71" s="18"/>
      <c r="D71" s="61"/>
      <c r="E71" s="72"/>
      <c r="F71" s="18"/>
      <c r="G71" s="61"/>
      <c r="H71" s="115">
        <v>1.1</v>
      </c>
      <c r="I71" s="18"/>
      <c r="J71" s="18"/>
      <c r="K71" s="61"/>
      <c r="L71" s="72" t="str">
        <f>IF(E71="","",IF(E71="N/A", "N/A", E71*H71))</f>
        <v/>
      </c>
      <c r="M71" s="18"/>
      <c r="N71" s="61"/>
      <c r="O71" s="72"/>
      <c r="P71" s="18"/>
      <c r="Q71" s="61"/>
      <c r="R71" s="72"/>
      <c r="S71" s="18"/>
      <c r="T71" s="18"/>
      <c r="U71" s="72"/>
      <c r="V71" s="18"/>
      <c r="W71" s="18"/>
      <c r="X71" s="53" t="s">
        <v>115</v>
      </c>
      <c r="Y71" s="61"/>
      <c r="Z71" s="72"/>
      <c r="AA71" s="18"/>
      <c r="AB71" s="18"/>
      <c r="AC71" s="53" t="s">
        <v>115</v>
      </c>
      <c r="AD71" s="61"/>
      <c r="AE71" s="72"/>
      <c r="AF71" s="18"/>
      <c r="AG71" s="18"/>
      <c r="AH71" s="53" t="s">
        <v>115</v>
      </c>
      <c r="AI71" s="61"/>
      <c r="AJ71" s="116" t="str">
        <f t="shared" si="10"/>
        <v/>
      </c>
      <c r="AK71" s="18"/>
      <c r="AL71" s="61"/>
      <c r="AM71" s="4"/>
    </row>
    <row r="72" ht="11.25" customHeight="1">
      <c r="A72" s="77"/>
      <c r="B72" s="80" t="s">
        <v>118</v>
      </c>
      <c r="C72" s="18"/>
      <c r="D72" s="61"/>
      <c r="E72" s="72"/>
      <c r="F72" s="18"/>
      <c r="G72" s="61"/>
      <c r="H72" s="115">
        <v>-0.1</v>
      </c>
      <c r="I72" s="61"/>
      <c r="J72" s="115">
        <v>0.1</v>
      </c>
      <c r="K72" s="61"/>
      <c r="L72" s="72" t="str">
        <f>IF(E72="","",E72)</f>
        <v/>
      </c>
      <c r="M72" s="18"/>
      <c r="N72" s="61"/>
      <c r="O72" s="72" t="str">
        <f>IF(L72="","",IF(L72="N/A", "N/A", (H72*L72)+L72))</f>
        <v/>
      </c>
      <c r="P72" s="18"/>
      <c r="Q72" s="61"/>
      <c r="R72" s="72" t="str">
        <f>IF(L72="","",IF(L72="N/A", "N/A", (J72*L72)+L72))</f>
        <v/>
      </c>
      <c r="S72" s="18"/>
      <c r="T72" s="18"/>
      <c r="U72" s="72"/>
      <c r="V72" s="18"/>
      <c r="W72" s="18"/>
      <c r="X72" s="53" t="s">
        <v>116</v>
      </c>
      <c r="Y72" s="61"/>
      <c r="Z72" s="72"/>
      <c r="AA72" s="18"/>
      <c r="AB72" s="18"/>
      <c r="AC72" s="53" t="s">
        <v>116</v>
      </c>
      <c r="AD72" s="61"/>
      <c r="AE72" s="72"/>
      <c r="AF72" s="18"/>
      <c r="AG72" s="18"/>
      <c r="AH72" s="53" t="s">
        <v>116</v>
      </c>
      <c r="AI72" s="61"/>
      <c r="AJ72" s="116" t="str">
        <f t="shared" si="10"/>
        <v/>
      </c>
      <c r="AK72" s="18"/>
      <c r="AL72" s="61"/>
      <c r="AM72" s="4"/>
    </row>
    <row r="73" ht="11.25" customHeight="1">
      <c r="A73" s="77"/>
      <c r="B73" s="80" t="s">
        <v>119</v>
      </c>
      <c r="C73" s="18"/>
      <c r="D73" s="61"/>
      <c r="E73" s="72"/>
      <c r="F73" s="18"/>
      <c r="G73" s="61"/>
      <c r="H73" s="115">
        <v>1.1</v>
      </c>
      <c r="I73" s="18"/>
      <c r="J73" s="18"/>
      <c r="K73" s="61"/>
      <c r="L73" s="72" t="str">
        <f>IF(E73="","",IF(E73="N/A", "N/A", E73*H73))</f>
        <v/>
      </c>
      <c r="M73" s="18"/>
      <c r="N73" s="61"/>
      <c r="O73" s="72"/>
      <c r="P73" s="18"/>
      <c r="Q73" s="61"/>
      <c r="R73" s="72"/>
      <c r="S73" s="18"/>
      <c r="T73" s="61"/>
      <c r="U73" s="72"/>
      <c r="V73" s="18"/>
      <c r="W73" s="18"/>
      <c r="X73" s="53" t="s">
        <v>115</v>
      </c>
      <c r="Y73" s="61"/>
      <c r="Z73" s="72"/>
      <c r="AA73" s="18"/>
      <c r="AB73" s="18"/>
      <c r="AC73" s="53" t="s">
        <v>115</v>
      </c>
      <c r="AD73" s="61"/>
      <c r="AE73" s="72"/>
      <c r="AF73" s="18"/>
      <c r="AG73" s="18"/>
      <c r="AH73" s="53" t="s">
        <v>115</v>
      </c>
      <c r="AI73" s="61"/>
      <c r="AJ73" s="116" t="str">
        <f t="shared" si="10"/>
        <v/>
      </c>
      <c r="AK73" s="18"/>
      <c r="AL73" s="61"/>
      <c r="AM73" s="4"/>
    </row>
    <row r="74" ht="11.25" customHeight="1">
      <c r="A74" s="77"/>
      <c r="B74" s="80" t="s">
        <v>120</v>
      </c>
      <c r="C74" s="18"/>
      <c r="D74" s="61"/>
      <c r="E74" s="118"/>
      <c r="F74" s="18"/>
      <c r="G74" s="61"/>
      <c r="H74" s="119">
        <v>-0.2</v>
      </c>
      <c r="I74" s="61"/>
      <c r="J74" s="119">
        <v>0.2</v>
      </c>
      <c r="K74" s="61"/>
      <c r="L74" s="118" t="str">
        <f>IF(E74="","",E74)</f>
        <v/>
      </c>
      <c r="M74" s="18"/>
      <c r="N74" s="61"/>
      <c r="O74" s="72" t="str">
        <f>IF(L74="","",IF(L74="N/A", "N/A", (H74*L74)+L74))</f>
        <v/>
      </c>
      <c r="P74" s="18"/>
      <c r="Q74" s="61"/>
      <c r="R74" s="72" t="str">
        <f>IF(L74="","",IF(L74="N/A", "N/A", (J74*L74)+L74))</f>
        <v/>
      </c>
      <c r="S74" s="18"/>
      <c r="T74" s="18"/>
      <c r="U74" s="72"/>
      <c r="V74" s="18"/>
      <c r="W74" s="18"/>
      <c r="X74" s="53" t="str">
        <f>IF(J70="N/A","","A")</f>
        <v>A</v>
      </c>
      <c r="Y74" s="61"/>
      <c r="Z74" s="72"/>
      <c r="AA74" s="18"/>
      <c r="AB74" s="18"/>
      <c r="AC74" s="53" t="str">
        <f>IF(R64="N/A","","A")</f>
        <v>A</v>
      </c>
      <c r="AD74" s="61"/>
      <c r="AE74" s="72"/>
      <c r="AF74" s="18"/>
      <c r="AG74" s="18"/>
      <c r="AH74" s="53" t="str">
        <f>IF(R64="N/A","","A")</f>
        <v>A</v>
      </c>
      <c r="AI74" s="61"/>
      <c r="AJ74" s="116" t="str">
        <f t="shared" si="10"/>
        <v/>
      </c>
      <c r="AK74" s="18"/>
      <c r="AL74" s="61"/>
      <c r="AM74" s="4"/>
    </row>
    <row r="75" ht="11.25" customHeight="1">
      <c r="A75" s="77"/>
      <c r="B75" s="80" t="s">
        <v>121</v>
      </c>
      <c r="C75" s="18"/>
      <c r="D75" s="61"/>
      <c r="E75" s="72"/>
      <c r="F75" s="18"/>
      <c r="G75" s="61"/>
      <c r="H75" s="115">
        <v>1.1</v>
      </c>
      <c r="I75" s="18"/>
      <c r="J75" s="18"/>
      <c r="K75" s="61"/>
      <c r="L75" s="72" t="str">
        <f>IF(E75="","",IF(E75="N/A", "N/A", E75*H75))</f>
        <v/>
      </c>
      <c r="M75" s="18"/>
      <c r="N75" s="61"/>
      <c r="O75" s="72"/>
      <c r="P75" s="18"/>
      <c r="Q75" s="61"/>
      <c r="R75" s="72"/>
      <c r="S75" s="18"/>
      <c r="T75" s="18"/>
      <c r="U75" s="72"/>
      <c r="V75" s="18"/>
      <c r="W75" s="18"/>
      <c r="X75" s="53" t="s">
        <v>115</v>
      </c>
      <c r="Y75" s="61"/>
      <c r="Z75" s="72"/>
      <c r="AA75" s="18"/>
      <c r="AB75" s="18"/>
      <c r="AC75" s="53" t="s">
        <v>115</v>
      </c>
      <c r="AD75" s="61"/>
      <c r="AE75" s="72"/>
      <c r="AF75" s="18"/>
      <c r="AG75" s="18"/>
      <c r="AH75" s="53" t="s">
        <v>115</v>
      </c>
      <c r="AI75" s="61"/>
      <c r="AJ75" s="116" t="str">
        <f t="shared" si="10"/>
        <v/>
      </c>
      <c r="AK75" s="18"/>
      <c r="AL75" s="61"/>
      <c r="AM75" s="4"/>
    </row>
    <row r="76" ht="11.25" customHeight="1">
      <c r="A76" s="77"/>
      <c r="B76" s="80" t="s">
        <v>122</v>
      </c>
      <c r="C76" s="18"/>
      <c r="D76" s="61"/>
      <c r="E76" s="72"/>
      <c r="F76" s="18"/>
      <c r="G76" s="61"/>
      <c r="H76" s="115">
        <v>-0.15</v>
      </c>
      <c r="I76" s="61"/>
      <c r="J76" s="115">
        <v>0.15</v>
      </c>
      <c r="K76" s="61"/>
      <c r="L76" s="72" t="str">
        <f>IF(E76="","",E76)</f>
        <v/>
      </c>
      <c r="M76" s="18"/>
      <c r="N76" s="61"/>
      <c r="O76" s="72" t="str">
        <f>IF(L76="","",IF(L76="N/A", "N/A", (H76*L76)+L76))</f>
        <v/>
      </c>
      <c r="P76" s="18"/>
      <c r="Q76" s="61"/>
      <c r="R76" s="72" t="str">
        <f>IF(L76="","",IF(L76="N/A", "N/A", (L76*J76)+L76))</f>
        <v/>
      </c>
      <c r="S76" s="18"/>
      <c r="T76" s="61"/>
      <c r="U76" s="72"/>
      <c r="V76" s="18"/>
      <c r="W76" s="18"/>
      <c r="X76" s="53" t="s">
        <v>116</v>
      </c>
      <c r="Y76" s="61"/>
      <c r="Z76" s="72"/>
      <c r="AA76" s="18"/>
      <c r="AB76" s="18"/>
      <c r="AC76" s="53" t="s">
        <v>116</v>
      </c>
      <c r="AD76" s="61"/>
      <c r="AE76" s="72"/>
      <c r="AF76" s="18"/>
      <c r="AG76" s="18"/>
      <c r="AH76" s="53" t="s">
        <v>116</v>
      </c>
      <c r="AI76" s="61"/>
      <c r="AJ76" s="116" t="str">
        <f t="shared" si="10"/>
        <v/>
      </c>
      <c r="AK76" s="18"/>
      <c r="AL76" s="61"/>
      <c r="AM76" s="4"/>
    </row>
    <row r="77" ht="11.2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row>
    <row r="78" ht="11.2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row>
    <row r="79" ht="11.25" customHeight="1">
      <c r="A79" s="110" t="s">
        <v>123</v>
      </c>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row>
    <row r="80" ht="11.2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row>
    <row r="81" ht="11.25" customHeight="1">
      <c r="A81" s="44"/>
      <c r="B81" s="4"/>
      <c r="C81" s="120" t="s">
        <v>124</v>
      </c>
      <c r="D81" s="6"/>
      <c r="E81" s="6"/>
      <c r="F81" s="6"/>
      <c r="G81" s="6"/>
      <c r="H81" s="6"/>
      <c r="I81" s="6"/>
      <c r="J81" s="6"/>
      <c r="K81" s="6"/>
      <c r="L81" s="7"/>
      <c r="M81" s="121"/>
      <c r="N81" s="9"/>
      <c r="O81" s="9"/>
      <c r="P81" s="9"/>
      <c r="Q81" s="9"/>
      <c r="R81" s="9"/>
      <c r="S81" s="10"/>
      <c r="T81" s="120" t="s">
        <v>125</v>
      </c>
      <c r="U81" s="6"/>
      <c r="V81" s="6"/>
      <c r="W81" s="6"/>
      <c r="X81" s="7"/>
      <c r="Y81" s="121"/>
      <c r="Z81" s="9"/>
      <c r="AA81" s="9"/>
      <c r="AB81" s="9"/>
      <c r="AC81" s="9"/>
      <c r="AD81" s="9"/>
      <c r="AE81" s="10"/>
      <c r="AF81" s="120" t="s">
        <v>126</v>
      </c>
      <c r="AG81" s="6"/>
      <c r="AH81" s="7"/>
      <c r="AI81" s="121"/>
      <c r="AJ81" s="9"/>
      <c r="AK81" s="9"/>
      <c r="AL81" s="10"/>
      <c r="AM81" s="44"/>
    </row>
    <row r="82" ht="11.25" customHeight="1">
      <c r="A82" s="44"/>
      <c r="B82" s="4"/>
      <c r="C82" s="4"/>
      <c r="D82" s="4"/>
      <c r="E82" s="122"/>
      <c r="F82" s="122"/>
      <c r="G82" s="122"/>
      <c r="H82" s="122"/>
      <c r="I82" s="122"/>
      <c r="J82" s="122"/>
      <c r="K82" s="122"/>
      <c r="L82" s="59"/>
      <c r="M82" s="59"/>
      <c r="N82" s="59"/>
      <c r="O82" s="59"/>
      <c r="P82" s="59"/>
      <c r="Q82" s="4"/>
      <c r="R82" s="4"/>
      <c r="S82" s="4"/>
      <c r="T82" s="4"/>
      <c r="U82" s="4"/>
      <c r="V82" s="4"/>
      <c r="W82" s="44"/>
      <c r="X82" s="59"/>
      <c r="Y82" s="59"/>
      <c r="Z82" s="59"/>
      <c r="AA82" s="122"/>
      <c r="AB82" s="122"/>
      <c r="AC82" s="122"/>
      <c r="AD82" s="122"/>
      <c r="AE82" s="44"/>
      <c r="AF82" s="44"/>
      <c r="AG82" s="44"/>
      <c r="AH82" s="44"/>
      <c r="AI82" s="4"/>
      <c r="AJ82" s="4"/>
      <c r="AK82" s="4"/>
      <c r="AL82" s="4"/>
      <c r="AM82" s="4"/>
    </row>
    <row r="83" ht="10.5" customHeight="1">
      <c r="A83" s="44"/>
      <c r="B83" s="4"/>
      <c r="C83" s="4"/>
      <c r="D83" s="4"/>
      <c r="E83" s="120" t="s">
        <v>127</v>
      </c>
      <c r="F83" s="6"/>
      <c r="G83" s="6"/>
      <c r="H83" s="6"/>
      <c r="I83" s="6"/>
      <c r="J83" s="6"/>
      <c r="K83" s="6"/>
      <c r="L83" s="7"/>
      <c r="M83" s="123"/>
      <c r="N83" s="9"/>
      <c r="O83" s="9"/>
      <c r="P83" s="9"/>
      <c r="Q83" s="9"/>
      <c r="R83" s="9"/>
      <c r="S83" s="10"/>
      <c r="T83" s="120" t="s">
        <v>125</v>
      </c>
      <c r="U83" s="6"/>
      <c r="V83" s="6"/>
      <c r="W83" s="6"/>
      <c r="X83" s="7"/>
      <c r="Y83" s="121"/>
      <c r="Z83" s="9"/>
      <c r="AA83" s="9"/>
      <c r="AB83" s="9"/>
      <c r="AC83" s="9"/>
      <c r="AD83" s="9"/>
      <c r="AE83" s="10"/>
      <c r="AF83" s="120" t="s">
        <v>126</v>
      </c>
      <c r="AG83" s="6"/>
      <c r="AH83" s="7"/>
      <c r="AI83" s="121"/>
      <c r="AJ83" s="9"/>
      <c r="AK83" s="9"/>
      <c r="AL83" s="10"/>
      <c r="AM83" s="44"/>
    </row>
    <row r="84" ht="10.5" customHeight="1">
      <c r="A84" s="44"/>
      <c r="B84" s="4"/>
      <c r="C84" s="4"/>
      <c r="D84" s="4"/>
      <c r="E84" s="124"/>
      <c r="F84" s="124"/>
      <c r="G84" s="124"/>
      <c r="H84" s="124"/>
      <c r="I84" s="124"/>
      <c r="J84" s="124"/>
      <c r="K84" s="124"/>
      <c r="L84" s="124"/>
      <c r="M84" s="125"/>
      <c r="N84" s="125"/>
      <c r="O84" s="125"/>
      <c r="P84" s="125"/>
      <c r="Q84" s="125"/>
      <c r="R84" s="125"/>
      <c r="S84" s="125"/>
      <c r="T84" s="59"/>
      <c r="U84" s="59"/>
      <c r="V84" s="59"/>
      <c r="W84" s="59"/>
      <c r="X84" s="59"/>
      <c r="Y84" s="45"/>
      <c r="Z84" s="45"/>
      <c r="AA84" s="45"/>
      <c r="AB84" s="45"/>
      <c r="AC84" s="45"/>
      <c r="AD84" s="45"/>
      <c r="AE84" s="44"/>
      <c r="AF84" s="59"/>
      <c r="AG84" s="59"/>
      <c r="AH84" s="59"/>
      <c r="AI84" s="45"/>
      <c r="AJ84" s="45"/>
      <c r="AK84" s="45"/>
      <c r="AL84" s="45"/>
      <c r="AM84" s="44"/>
    </row>
    <row r="85" ht="11.25" customHeight="1">
      <c r="A85" s="44"/>
      <c r="B85" s="4"/>
      <c r="C85" s="4"/>
      <c r="D85" s="4"/>
      <c r="E85" s="120" t="s">
        <v>128</v>
      </c>
      <c r="F85" s="6"/>
      <c r="G85" s="6"/>
      <c r="H85" s="6"/>
      <c r="I85" s="6"/>
      <c r="J85" s="6"/>
      <c r="K85" s="6"/>
      <c r="L85" s="7"/>
      <c r="M85" s="121"/>
      <c r="N85" s="9"/>
      <c r="O85" s="9"/>
      <c r="P85" s="9"/>
      <c r="Q85" s="9"/>
      <c r="R85" s="9"/>
      <c r="S85" s="10"/>
      <c r="T85" s="120" t="s">
        <v>125</v>
      </c>
      <c r="U85" s="6"/>
      <c r="V85" s="6"/>
      <c r="W85" s="6"/>
      <c r="X85" s="7"/>
      <c r="Y85" s="121"/>
      <c r="Z85" s="9"/>
      <c r="AA85" s="9"/>
      <c r="AB85" s="9"/>
      <c r="AC85" s="9"/>
      <c r="AD85" s="9"/>
      <c r="AE85" s="10"/>
      <c r="AF85" s="120" t="s">
        <v>126</v>
      </c>
      <c r="AG85" s="6"/>
      <c r="AH85" s="7"/>
      <c r="AI85" s="121"/>
      <c r="AJ85" s="9"/>
      <c r="AK85" s="9"/>
      <c r="AL85" s="10"/>
      <c r="AM85" s="44"/>
    </row>
    <row r="86" ht="11.2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row>
    <row r="87" ht="11.25" customHeight="1">
      <c r="A87" s="40" t="s">
        <v>129</v>
      </c>
      <c r="B87" s="4"/>
      <c r="C87" s="44"/>
      <c r="D87" s="44"/>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44"/>
    </row>
    <row r="88" ht="11.25" customHeight="1">
      <c r="A88" s="40"/>
      <c r="B88" s="126"/>
      <c r="AM88" s="44"/>
    </row>
    <row r="89" ht="11.25" customHeight="1">
      <c r="A89" s="40"/>
      <c r="AM89" s="44"/>
    </row>
    <row r="90" ht="11.25" customHeight="1">
      <c r="A90" s="40"/>
      <c r="AM90" s="44"/>
    </row>
    <row r="91" ht="11.25" customHeight="1">
      <c r="A91" s="40"/>
      <c r="AM91" s="44"/>
    </row>
    <row r="92" ht="11.25" customHeight="1">
      <c r="A92" s="40"/>
      <c r="AM92" s="44"/>
    </row>
    <row r="93" ht="11.25" customHeight="1">
      <c r="A93" s="40"/>
      <c r="AM93" s="44"/>
    </row>
    <row r="94" ht="11.25" customHeight="1">
      <c r="A94" s="40"/>
      <c r="AM94" s="44"/>
    </row>
    <row r="95" ht="10.5" customHeight="1">
      <c r="A95" s="40"/>
      <c r="AM95" s="44"/>
    </row>
    <row r="96" ht="10.5" customHeight="1">
      <c r="A96" s="40"/>
      <c r="AM96" s="44"/>
    </row>
    <row r="97" ht="10.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row>
    <row r="98" ht="10.5" customHeight="1">
      <c r="A98" s="40" t="s">
        <v>130</v>
      </c>
      <c r="B98" s="4"/>
      <c r="C98" s="44"/>
      <c r="D98" s="44"/>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44"/>
    </row>
    <row r="99" ht="10.5" customHeight="1">
      <c r="A99" s="127"/>
      <c r="B99" s="48"/>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row>
    <row r="100" ht="10.5" customHeight="1">
      <c r="A100" s="127"/>
      <c r="B100" s="128" t="s">
        <v>131</v>
      </c>
      <c r="C100" s="18"/>
      <c r="D100" s="61"/>
      <c r="E100" s="60" t="s">
        <v>132</v>
      </c>
      <c r="F100" s="18"/>
      <c r="G100" s="18"/>
      <c r="H100" s="18"/>
      <c r="I100" s="18"/>
      <c r="J100" s="61"/>
      <c r="K100" s="48"/>
      <c r="L100" s="128" t="s">
        <v>119</v>
      </c>
      <c r="M100" s="18"/>
      <c r="N100" s="61"/>
      <c r="O100" s="60" t="s">
        <v>133</v>
      </c>
      <c r="P100" s="18"/>
      <c r="Q100" s="18"/>
      <c r="R100" s="18"/>
      <c r="S100" s="18"/>
      <c r="T100" s="18"/>
      <c r="U100" s="61"/>
      <c r="V100" s="13"/>
      <c r="W100" s="129" t="s">
        <v>134</v>
      </c>
      <c r="X100" s="18"/>
      <c r="Y100" s="61"/>
      <c r="Z100" s="129" t="s">
        <v>135</v>
      </c>
      <c r="AA100" s="18"/>
      <c r="AB100" s="18"/>
      <c r="AC100" s="18"/>
      <c r="AD100" s="18"/>
      <c r="AE100" s="18"/>
      <c r="AF100" s="18"/>
      <c r="AG100" s="18"/>
      <c r="AH100" s="18"/>
      <c r="AI100" s="61"/>
      <c r="AJ100" s="48"/>
      <c r="AK100" s="48"/>
      <c r="AL100" s="48"/>
      <c r="AM100" s="48"/>
    </row>
    <row r="101" ht="10.5" customHeight="1">
      <c r="A101" s="127"/>
      <c r="B101" s="128" t="s">
        <v>136</v>
      </c>
      <c r="C101" s="18"/>
      <c r="D101" s="61"/>
      <c r="E101" s="130" t="s">
        <v>137</v>
      </c>
      <c r="F101" s="18"/>
      <c r="G101" s="18"/>
      <c r="H101" s="18"/>
      <c r="I101" s="18"/>
      <c r="J101" s="61"/>
      <c r="K101" s="48"/>
      <c r="L101" s="128" t="s">
        <v>120</v>
      </c>
      <c r="M101" s="18"/>
      <c r="N101" s="61"/>
      <c r="O101" s="130" t="s">
        <v>138</v>
      </c>
      <c r="P101" s="18"/>
      <c r="Q101" s="18"/>
      <c r="R101" s="18"/>
      <c r="S101" s="18"/>
      <c r="T101" s="18"/>
      <c r="U101" s="61"/>
      <c r="V101" s="131"/>
      <c r="W101" s="129" t="s">
        <v>139</v>
      </c>
      <c r="X101" s="18"/>
      <c r="Y101" s="61"/>
      <c r="Z101" s="129" t="s">
        <v>140</v>
      </c>
      <c r="AA101" s="18"/>
      <c r="AB101" s="18"/>
      <c r="AC101" s="18"/>
      <c r="AD101" s="18"/>
      <c r="AE101" s="18"/>
      <c r="AF101" s="18"/>
      <c r="AG101" s="18"/>
      <c r="AH101" s="18"/>
      <c r="AI101" s="61"/>
      <c r="AJ101" s="48"/>
      <c r="AK101" s="48"/>
      <c r="AL101" s="48"/>
      <c r="AM101" s="48"/>
    </row>
    <row r="102" ht="10.5" customHeight="1">
      <c r="A102" s="127"/>
      <c r="B102" s="128" t="s">
        <v>117</v>
      </c>
      <c r="C102" s="18"/>
      <c r="D102" s="61"/>
      <c r="E102" s="130" t="s">
        <v>141</v>
      </c>
      <c r="F102" s="18"/>
      <c r="G102" s="18"/>
      <c r="H102" s="18"/>
      <c r="I102" s="18"/>
      <c r="J102" s="61"/>
      <c r="K102" s="48"/>
      <c r="L102" s="128" t="s">
        <v>121</v>
      </c>
      <c r="M102" s="18"/>
      <c r="N102" s="61"/>
      <c r="O102" s="130" t="s">
        <v>142</v>
      </c>
      <c r="P102" s="18"/>
      <c r="Q102" s="18"/>
      <c r="R102" s="18"/>
      <c r="S102" s="18"/>
      <c r="T102" s="18"/>
      <c r="U102" s="61"/>
      <c r="V102" s="131"/>
      <c r="W102" s="48"/>
      <c r="X102" s="48"/>
      <c r="Y102" s="48"/>
      <c r="Z102" s="48"/>
      <c r="AA102" s="48"/>
      <c r="AB102" s="48"/>
      <c r="AC102" s="48"/>
      <c r="AD102" s="48"/>
      <c r="AE102" s="48"/>
      <c r="AF102" s="48"/>
      <c r="AG102" s="48"/>
      <c r="AH102" s="48"/>
      <c r="AI102" s="48"/>
      <c r="AJ102" s="48"/>
      <c r="AK102" s="48"/>
      <c r="AL102" s="48"/>
      <c r="AM102" s="48"/>
    </row>
    <row r="103" ht="10.5" customHeight="1">
      <c r="A103" s="127"/>
      <c r="B103" s="128" t="s">
        <v>118</v>
      </c>
      <c r="C103" s="18"/>
      <c r="D103" s="61"/>
      <c r="E103" s="130" t="s">
        <v>143</v>
      </c>
      <c r="F103" s="18"/>
      <c r="G103" s="18"/>
      <c r="H103" s="18"/>
      <c r="I103" s="18"/>
      <c r="J103" s="61"/>
      <c r="K103" s="48"/>
      <c r="L103" s="128" t="s">
        <v>122</v>
      </c>
      <c r="M103" s="18"/>
      <c r="N103" s="61"/>
      <c r="O103" s="130" t="s">
        <v>144</v>
      </c>
      <c r="P103" s="18"/>
      <c r="Q103" s="18"/>
      <c r="R103" s="18"/>
      <c r="S103" s="18"/>
      <c r="T103" s="18"/>
      <c r="U103" s="61"/>
      <c r="V103" s="131"/>
      <c r="W103" s="48"/>
      <c r="X103" s="48"/>
      <c r="Y103" s="48"/>
      <c r="Z103" s="48"/>
      <c r="AA103" s="48"/>
      <c r="AB103" s="48"/>
      <c r="AC103" s="48"/>
      <c r="AD103" s="48"/>
      <c r="AE103" s="48"/>
      <c r="AF103" s="48"/>
      <c r="AG103" s="48"/>
      <c r="AH103" s="48"/>
      <c r="AI103" s="48"/>
      <c r="AJ103" s="48"/>
      <c r="AK103" s="48"/>
      <c r="AL103" s="48"/>
      <c r="AM103" s="48"/>
    </row>
    <row r="104" ht="10.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row>
    <row r="105" ht="10.5" customHeight="1">
      <c r="A105" s="40" t="s">
        <v>145</v>
      </c>
      <c r="B105" s="4"/>
      <c r="C105" s="44"/>
      <c r="D105" s="44"/>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44"/>
    </row>
    <row r="106" ht="10.5" customHeight="1">
      <c r="A106" s="40"/>
      <c r="B106" s="132"/>
      <c r="C106" s="132"/>
      <c r="D106" s="132"/>
      <c r="E106" s="132"/>
      <c r="F106" s="132"/>
      <c r="G106" s="132"/>
      <c r="H106" s="132"/>
      <c r="I106" s="132"/>
      <c r="J106" s="132"/>
      <c r="K106" s="132"/>
      <c r="L106" s="132"/>
      <c r="M106" s="132"/>
      <c r="N106" s="132"/>
      <c r="O106" s="132"/>
      <c r="P106" s="132"/>
      <c r="Q106" s="132"/>
      <c r="R106" s="132"/>
      <c r="S106" s="132"/>
      <c r="T106" s="132"/>
      <c r="U106" s="132"/>
      <c r="V106" s="4"/>
      <c r="W106" s="4"/>
      <c r="X106" s="4"/>
      <c r="Y106" s="4"/>
      <c r="Z106" s="4"/>
      <c r="AA106" s="4"/>
      <c r="AB106" s="4"/>
      <c r="AC106" s="4"/>
      <c r="AD106" s="4"/>
      <c r="AE106" s="4"/>
      <c r="AF106" s="4"/>
      <c r="AG106" s="4"/>
      <c r="AH106" s="4"/>
      <c r="AI106" s="4"/>
      <c r="AJ106" s="4"/>
      <c r="AK106" s="4"/>
      <c r="AL106" s="4"/>
      <c r="AM106" s="44"/>
    </row>
    <row r="107" ht="10.5" customHeight="1">
      <c r="A107" s="40"/>
      <c r="B107" s="133" t="s">
        <v>146</v>
      </c>
      <c r="C107" s="61"/>
      <c r="D107" s="134" t="s">
        <v>147</v>
      </c>
      <c r="E107" s="18"/>
      <c r="F107" s="18"/>
      <c r="G107" s="18"/>
      <c r="H107" s="18"/>
      <c r="I107" s="18"/>
      <c r="J107" s="18"/>
      <c r="K107" s="18"/>
      <c r="L107" s="18"/>
      <c r="M107" s="18"/>
      <c r="N107" s="18"/>
      <c r="O107" s="18"/>
      <c r="P107" s="18"/>
      <c r="Q107" s="61"/>
      <c r="R107" s="48"/>
      <c r="S107" s="133" t="s">
        <v>148</v>
      </c>
      <c r="T107" s="61"/>
      <c r="U107" s="134" t="s">
        <v>149</v>
      </c>
      <c r="V107" s="18"/>
      <c r="W107" s="18"/>
      <c r="X107" s="18"/>
      <c r="Y107" s="18"/>
      <c r="Z107" s="18"/>
      <c r="AA107" s="18"/>
      <c r="AB107" s="18"/>
      <c r="AC107" s="18"/>
      <c r="AD107" s="61"/>
      <c r="AE107" s="44"/>
      <c r="AF107" s="4"/>
      <c r="AG107" s="4"/>
      <c r="AH107" s="4"/>
      <c r="AI107" s="4"/>
      <c r="AJ107" s="4"/>
      <c r="AK107" s="4"/>
      <c r="AL107" s="4"/>
      <c r="AM107" s="4"/>
    </row>
    <row r="108" ht="10.5" customHeight="1">
      <c r="A108" s="40"/>
      <c r="B108" s="133" t="s">
        <v>150</v>
      </c>
      <c r="C108" s="61"/>
      <c r="D108" s="134" t="s">
        <v>151</v>
      </c>
      <c r="E108" s="18"/>
      <c r="F108" s="18"/>
      <c r="G108" s="18"/>
      <c r="H108" s="18"/>
      <c r="I108" s="18"/>
      <c r="J108" s="18"/>
      <c r="K108" s="18"/>
      <c r="L108" s="18"/>
      <c r="M108" s="18"/>
      <c r="N108" s="18"/>
      <c r="O108" s="18"/>
      <c r="P108" s="18"/>
      <c r="Q108" s="61"/>
      <c r="R108" s="48"/>
      <c r="S108" s="133" t="s">
        <v>152</v>
      </c>
      <c r="T108" s="61"/>
      <c r="U108" s="134" t="s">
        <v>153</v>
      </c>
      <c r="V108" s="18"/>
      <c r="W108" s="18"/>
      <c r="X108" s="18"/>
      <c r="Y108" s="18"/>
      <c r="Z108" s="18"/>
      <c r="AA108" s="18"/>
      <c r="AB108" s="18"/>
      <c r="AC108" s="18"/>
      <c r="AD108" s="61"/>
      <c r="AE108" s="44"/>
      <c r="AF108" s="4"/>
      <c r="AG108" s="4"/>
      <c r="AH108" s="4"/>
      <c r="AI108" s="4"/>
      <c r="AJ108" s="4"/>
      <c r="AK108" s="4"/>
      <c r="AL108" s="4"/>
      <c r="AM108" s="4"/>
    </row>
    <row r="109" ht="10.5" customHeight="1">
      <c r="A109" s="40"/>
      <c r="B109" s="133" t="s">
        <v>154</v>
      </c>
      <c r="C109" s="61"/>
      <c r="D109" s="134" t="s">
        <v>155</v>
      </c>
      <c r="E109" s="18"/>
      <c r="F109" s="18"/>
      <c r="G109" s="18"/>
      <c r="H109" s="18"/>
      <c r="I109" s="18"/>
      <c r="J109" s="18"/>
      <c r="K109" s="18"/>
      <c r="L109" s="18"/>
      <c r="M109" s="18"/>
      <c r="N109" s="18"/>
      <c r="O109" s="18"/>
      <c r="P109" s="18"/>
      <c r="Q109" s="61"/>
      <c r="R109" s="48"/>
      <c r="S109" s="133" t="s">
        <v>156</v>
      </c>
      <c r="T109" s="61"/>
      <c r="U109" s="134" t="s">
        <v>157</v>
      </c>
      <c r="V109" s="18"/>
      <c r="W109" s="18"/>
      <c r="X109" s="18"/>
      <c r="Y109" s="18"/>
      <c r="Z109" s="18"/>
      <c r="AA109" s="18"/>
      <c r="AB109" s="18"/>
      <c r="AC109" s="18"/>
      <c r="AD109" s="61"/>
      <c r="AE109" s="44"/>
      <c r="AF109" s="4"/>
      <c r="AG109" s="4"/>
      <c r="AH109" s="4"/>
      <c r="AI109" s="4"/>
      <c r="AJ109" s="4"/>
      <c r="AK109" s="4"/>
      <c r="AL109" s="4"/>
      <c r="AM109" s="4"/>
    </row>
    <row r="110" ht="10.5" customHeight="1">
      <c r="A110" s="40"/>
      <c r="B110" s="133" t="s">
        <v>158</v>
      </c>
      <c r="C110" s="61"/>
      <c r="D110" s="134" t="s">
        <v>159</v>
      </c>
      <c r="E110" s="18"/>
      <c r="F110" s="18"/>
      <c r="G110" s="18"/>
      <c r="H110" s="18"/>
      <c r="I110" s="18"/>
      <c r="J110" s="18"/>
      <c r="K110" s="18"/>
      <c r="L110" s="18"/>
      <c r="M110" s="18"/>
      <c r="N110" s="18"/>
      <c r="O110" s="18"/>
      <c r="P110" s="18"/>
      <c r="Q110" s="61"/>
      <c r="R110" s="48"/>
      <c r="S110" s="133" t="s">
        <v>160</v>
      </c>
      <c r="T110" s="61"/>
      <c r="U110" s="134" t="s">
        <v>161</v>
      </c>
      <c r="V110" s="18"/>
      <c r="W110" s="18"/>
      <c r="X110" s="18"/>
      <c r="Y110" s="18"/>
      <c r="Z110" s="18"/>
      <c r="AA110" s="18"/>
      <c r="AB110" s="18"/>
      <c r="AC110" s="18"/>
      <c r="AD110" s="61"/>
      <c r="AE110" s="44"/>
      <c r="AF110" s="4"/>
      <c r="AG110" s="4"/>
      <c r="AH110" s="4"/>
      <c r="AI110" s="4"/>
      <c r="AJ110" s="4"/>
      <c r="AK110" s="4"/>
      <c r="AL110" s="4"/>
      <c r="AM110" s="4"/>
    </row>
    <row r="111" ht="10.5" customHeight="1">
      <c r="A111" s="40"/>
      <c r="B111" s="133" t="s">
        <v>162</v>
      </c>
      <c r="C111" s="61"/>
      <c r="D111" s="134" t="s">
        <v>163</v>
      </c>
      <c r="E111" s="18"/>
      <c r="F111" s="18"/>
      <c r="G111" s="18"/>
      <c r="H111" s="18"/>
      <c r="I111" s="18"/>
      <c r="J111" s="18"/>
      <c r="K111" s="18"/>
      <c r="L111" s="18"/>
      <c r="M111" s="18"/>
      <c r="N111" s="18"/>
      <c r="O111" s="18"/>
      <c r="P111" s="18"/>
      <c r="Q111" s="61"/>
      <c r="R111" s="48"/>
      <c r="S111" s="133" t="s">
        <v>164</v>
      </c>
      <c r="T111" s="61"/>
      <c r="U111" s="134" t="s">
        <v>165</v>
      </c>
      <c r="V111" s="18"/>
      <c r="W111" s="18"/>
      <c r="X111" s="18"/>
      <c r="Y111" s="18"/>
      <c r="Z111" s="18"/>
      <c r="AA111" s="18"/>
      <c r="AB111" s="18"/>
      <c r="AC111" s="18"/>
      <c r="AD111" s="61"/>
      <c r="AE111" s="44"/>
      <c r="AF111" s="4"/>
      <c r="AG111" s="4"/>
      <c r="AH111" s="4"/>
      <c r="AI111" s="4"/>
      <c r="AJ111" s="4"/>
      <c r="AK111" s="4"/>
      <c r="AL111" s="4"/>
      <c r="AM111" s="4"/>
    </row>
    <row r="112" ht="10.5" customHeight="1">
      <c r="A112" s="40"/>
      <c r="B112" s="133" t="s">
        <v>51</v>
      </c>
      <c r="C112" s="61"/>
      <c r="D112" s="134" t="s">
        <v>166</v>
      </c>
      <c r="E112" s="18"/>
      <c r="F112" s="18"/>
      <c r="G112" s="18"/>
      <c r="H112" s="18"/>
      <c r="I112" s="18"/>
      <c r="J112" s="18"/>
      <c r="K112" s="18"/>
      <c r="L112" s="18"/>
      <c r="M112" s="18"/>
      <c r="N112" s="18"/>
      <c r="O112" s="18"/>
      <c r="P112" s="18"/>
      <c r="Q112" s="61"/>
      <c r="R112" s="48"/>
      <c r="S112" s="133" t="s">
        <v>167</v>
      </c>
      <c r="T112" s="61"/>
      <c r="U112" s="134" t="s">
        <v>168</v>
      </c>
      <c r="V112" s="18"/>
      <c r="W112" s="18"/>
      <c r="X112" s="18"/>
      <c r="Y112" s="18"/>
      <c r="Z112" s="18"/>
      <c r="AA112" s="18"/>
      <c r="AB112" s="18"/>
      <c r="AC112" s="18"/>
      <c r="AD112" s="61"/>
      <c r="AE112" s="44"/>
      <c r="AF112" s="4"/>
      <c r="AG112" s="4"/>
      <c r="AH112" s="4"/>
      <c r="AI112" s="4"/>
      <c r="AJ112" s="4"/>
      <c r="AK112" s="4"/>
      <c r="AL112" s="4"/>
      <c r="AM112" s="4"/>
    </row>
    <row r="113" ht="10.5" customHeight="1">
      <c r="A113" s="40"/>
      <c r="B113" s="133" t="s">
        <v>169</v>
      </c>
      <c r="C113" s="61"/>
      <c r="D113" s="134" t="s">
        <v>63</v>
      </c>
      <c r="E113" s="18"/>
      <c r="F113" s="18"/>
      <c r="G113" s="18"/>
      <c r="H113" s="18"/>
      <c r="I113" s="18"/>
      <c r="J113" s="18"/>
      <c r="K113" s="18"/>
      <c r="L113" s="18"/>
      <c r="M113" s="18"/>
      <c r="N113" s="18"/>
      <c r="O113" s="18"/>
      <c r="P113" s="18"/>
      <c r="Q113" s="61"/>
      <c r="R113" s="48"/>
      <c r="S113" s="133" t="s">
        <v>170</v>
      </c>
      <c r="T113" s="61"/>
      <c r="U113" s="134" t="s">
        <v>171</v>
      </c>
      <c r="V113" s="18"/>
      <c r="W113" s="18"/>
      <c r="X113" s="18"/>
      <c r="Y113" s="18"/>
      <c r="Z113" s="18"/>
      <c r="AA113" s="18"/>
      <c r="AB113" s="18"/>
      <c r="AC113" s="18"/>
      <c r="AD113" s="61"/>
      <c r="AE113" s="44"/>
      <c r="AF113" s="4"/>
      <c r="AG113" s="4"/>
      <c r="AH113" s="4"/>
      <c r="AI113" s="4"/>
      <c r="AJ113" s="4"/>
      <c r="AK113" s="4"/>
      <c r="AL113" s="4"/>
      <c r="AM113" s="4"/>
    </row>
    <row r="114" ht="11.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418">
    <mergeCell ref="Z2:AD2"/>
    <mergeCell ref="Z3:AD3"/>
    <mergeCell ref="Z5:AD5"/>
    <mergeCell ref="AE5:AL5"/>
    <mergeCell ref="Z6:AD6"/>
    <mergeCell ref="AE6:AL6"/>
    <mergeCell ref="G4:X4"/>
    <mergeCell ref="Z4:AD4"/>
    <mergeCell ref="A1:AM1"/>
    <mergeCell ref="B2:E2"/>
    <mergeCell ref="G2:X2"/>
    <mergeCell ref="AE2:AH2"/>
    <mergeCell ref="AJ2:AL4"/>
    <mergeCell ref="G3:X3"/>
    <mergeCell ref="AE3:AH3"/>
    <mergeCell ref="AE4:AH4"/>
    <mergeCell ref="B3:E3"/>
    <mergeCell ref="B4:E4"/>
    <mergeCell ref="G5:J5"/>
    <mergeCell ref="L5:M5"/>
    <mergeCell ref="N5:O5"/>
    <mergeCell ref="Q5:R5"/>
    <mergeCell ref="T5:V5"/>
    <mergeCell ref="G6:X6"/>
    <mergeCell ref="B5:E5"/>
    <mergeCell ref="B6:F6"/>
    <mergeCell ref="G10:M10"/>
    <mergeCell ref="O10:T10"/>
    <mergeCell ref="U10:Y10"/>
    <mergeCell ref="AA10:AE10"/>
    <mergeCell ref="AF10:AL10"/>
    <mergeCell ref="B10:F10"/>
    <mergeCell ref="B11:F11"/>
    <mergeCell ref="G11:M11"/>
    <mergeCell ref="O11:T11"/>
    <mergeCell ref="U11:Y11"/>
    <mergeCell ref="AA11:AE11"/>
    <mergeCell ref="AF11:AL11"/>
    <mergeCell ref="AA12:AE12"/>
    <mergeCell ref="AA13:AE13"/>
    <mergeCell ref="Q32:S32"/>
    <mergeCell ref="T32:V32"/>
    <mergeCell ref="W32:X32"/>
    <mergeCell ref="Z32:AD32"/>
    <mergeCell ref="AE32:AG32"/>
    <mergeCell ref="AH32:AJ32"/>
    <mergeCell ref="AK32:AL32"/>
    <mergeCell ref="L32:P32"/>
    <mergeCell ref="B33:J33"/>
    <mergeCell ref="L33:P33"/>
    <mergeCell ref="Q33:S33"/>
    <mergeCell ref="T33:V33"/>
    <mergeCell ref="W33:X33"/>
    <mergeCell ref="Z33:AD33"/>
    <mergeCell ref="AK33:AL33"/>
    <mergeCell ref="B12:F12"/>
    <mergeCell ref="G12:M12"/>
    <mergeCell ref="U12:Y12"/>
    <mergeCell ref="AF12:AL12"/>
    <mergeCell ref="G13:M13"/>
    <mergeCell ref="U13:Y13"/>
    <mergeCell ref="AF13:AL13"/>
    <mergeCell ref="O12:T12"/>
    <mergeCell ref="O13:T13"/>
    <mergeCell ref="O14:T14"/>
    <mergeCell ref="U14:Y14"/>
    <mergeCell ref="AA14:AE14"/>
    <mergeCell ref="AF14:AL14"/>
    <mergeCell ref="AH19:AL19"/>
    <mergeCell ref="F23:AG23"/>
    <mergeCell ref="F24:AG24"/>
    <mergeCell ref="AH24:AL24"/>
    <mergeCell ref="F25:AG25"/>
    <mergeCell ref="AH25:AL25"/>
    <mergeCell ref="F26:AG26"/>
    <mergeCell ref="AH26:AL26"/>
    <mergeCell ref="F20:AG20"/>
    <mergeCell ref="AH20:AL20"/>
    <mergeCell ref="F21:AG21"/>
    <mergeCell ref="AH21:AL21"/>
    <mergeCell ref="F22:AG22"/>
    <mergeCell ref="AH22:AL22"/>
    <mergeCell ref="AH23:AL23"/>
    <mergeCell ref="B13:F13"/>
    <mergeCell ref="B14:F14"/>
    <mergeCell ref="G14:M14"/>
    <mergeCell ref="B20:E20"/>
    <mergeCell ref="B21:E21"/>
    <mergeCell ref="B22:E22"/>
    <mergeCell ref="B23:E23"/>
    <mergeCell ref="B24:E24"/>
    <mergeCell ref="B25:E25"/>
    <mergeCell ref="B26:E26"/>
    <mergeCell ref="B31:F31"/>
    <mergeCell ref="G31:J31"/>
    <mergeCell ref="L31:X31"/>
    <mergeCell ref="Z31:AL31"/>
    <mergeCell ref="AE34:AG34"/>
    <mergeCell ref="AH34:AJ34"/>
    <mergeCell ref="AK34:AL34"/>
    <mergeCell ref="W34:X34"/>
    <mergeCell ref="Z34:AD34"/>
    <mergeCell ref="AE33:AG33"/>
    <mergeCell ref="AH33:AJ33"/>
    <mergeCell ref="B34:D34"/>
    <mergeCell ref="E34:J34"/>
    <mergeCell ref="L34:P34"/>
    <mergeCell ref="Q34:S34"/>
    <mergeCell ref="T34:V34"/>
    <mergeCell ref="AE35:AG35"/>
    <mergeCell ref="AH35:AJ35"/>
    <mergeCell ref="AK35:AL35"/>
    <mergeCell ref="B35:D35"/>
    <mergeCell ref="E35:J35"/>
    <mergeCell ref="L35:P35"/>
    <mergeCell ref="Q35:S35"/>
    <mergeCell ref="T35:V35"/>
    <mergeCell ref="W35:X35"/>
    <mergeCell ref="Z35:AD35"/>
    <mergeCell ref="AE36:AG36"/>
    <mergeCell ref="AH36:AJ36"/>
    <mergeCell ref="AK36:AL36"/>
    <mergeCell ref="B36:D36"/>
    <mergeCell ref="E36:J36"/>
    <mergeCell ref="L36:P36"/>
    <mergeCell ref="Q36:S36"/>
    <mergeCell ref="T36:V36"/>
    <mergeCell ref="W36:X36"/>
    <mergeCell ref="Z36:AD36"/>
    <mergeCell ref="AE41:AF41"/>
    <mergeCell ref="AE42:AF42"/>
    <mergeCell ref="F50:H51"/>
    <mergeCell ref="I51:K51"/>
    <mergeCell ref="AE47:AI47"/>
    <mergeCell ref="AE48:AI48"/>
    <mergeCell ref="B50:E51"/>
    <mergeCell ref="I50:Q50"/>
    <mergeCell ref="R50:Z50"/>
    <mergeCell ref="AD50:AH50"/>
    <mergeCell ref="AJ50:AL51"/>
    <mergeCell ref="B41:O41"/>
    <mergeCell ref="Q41:X41"/>
    <mergeCell ref="Z41:AC41"/>
    <mergeCell ref="B42:E42"/>
    <mergeCell ref="F42:I42"/>
    <mergeCell ref="J42:M42"/>
    <mergeCell ref="U42:X42"/>
    <mergeCell ref="N42:O42"/>
    <mergeCell ref="Q42:T42"/>
    <mergeCell ref="Z42:AC43"/>
    <mergeCell ref="B43:E43"/>
    <mergeCell ref="F43:I43"/>
    <mergeCell ref="J43:M43"/>
    <mergeCell ref="N43:O43"/>
    <mergeCell ref="Q43:T43"/>
    <mergeCell ref="U43:X43"/>
    <mergeCell ref="R47:Z47"/>
    <mergeCell ref="AA47:AC47"/>
    <mergeCell ref="AJ47:AL47"/>
    <mergeCell ref="R48:Z48"/>
    <mergeCell ref="AA48:AC48"/>
    <mergeCell ref="AJ48:AL48"/>
    <mergeCell ref="R51:T51"/>
    <mergeCell ref="U51:W51"/>
    <mergeCell ref="S52:T52"/>
    <mergeCell ref="V52:W52"/>
    <mergeCell ref="S53:T53"/>
    <mergeCell ref="V53:W53"/>
    <mergeCell ref="X51:Z51"/>
    <mergeCell ref="AA51:AB51"/>
    <mergeCell ref="Y52:Z52"/>
    <mergeCell ref="AA52:AB52"/>
    <mergeCell ref="Y53:Z53"/>
    <mergeCell ref="AA53:AB53"/>
    <mergeCell ref="AD51:AF51"/>
    <mergeCell ref="AG51:AH51"/>
    <mergeCell ref="AE52:AF52"/>
    <mergeCell ref="AG52:AH52"/>
    <mergeCell ref="AJ52:AL52"/>
    <mergeCell ref="AE53:AF53"/>
    <mergeCell ref="AG53:AH53"/>
    <mergeCell ref="AJ53:AL53"/>
    <mergeCell ref="J52:K52"/>
    <mergeCell ref="J53:K53"/>
    <mergeCell ref="R64:T64"/>
    <mergeCell ref="U64:W64"/>
    <mergeCell ref="M61:Q61"/>
    <mergeCell ref="M62:Q62"/>
    <mergeCell ref="M63:Q63"/>
    <mergeCell ref="R63:T63"/>
    <mergeCell ref="U63:W63"/>
    <mergeCell ref="X63:Y63"/>
    <mergeCell ref="X64:Y64"/>
    <mergeCell ref="L51:N51"/>
    <mergeCell ref="O51:Q51"/>
    <mergeCell ref="B52:E52"/>
    <mergeCell ref="F52:H53"/>
    <mergeCell ref="M52:N52"/>
    <mergeCell ref="B53:E53"/>
    <mergeCell ref="M53:N53"/>
    <mergeCell ref="AA54:AB54"/>
    <mergeCell ref="AE54:AF54"/>
    <mergeCell ref="AG54:AH54"/>
    <mergeCell ref="AJ54:AL54"/>
    <mergeCell ref="B54:E54"/>
    <mergeCell ref="F54:H54"/>
    <mergeCell ref="J54:K54"/>
    <mergeCell ref="M54:N54"/>
    <mergeCell ref="S54:T54"/>
    <mergeCell ref="V54:W54"/>
    <mergeCell ref="Y54:Z54"/>
    <mergeCell ref="U61:W61"/>
    <mergeCell ref="X61:Y61"/>
    <mergeCell ref="AB61:AH61"/>
    <mergeCell ref="R62:T62"/>
    <mergeCell ref="U62:W62"/>
    <mergeCell ref="AB62:AH62"/>
    <mergeCell ref="AK63:AL63"/>
    <mergeCell ref="P52:Q52"/>
    <mergeCell ref="P53:Q53"/>
    <mergeCell ref="P54:Q54"/>
    <mergeCell ref="M60:Y60"/>
    <mergeCell ref="C61:I61"/>
    <mergeCell ref="R61:T61"/>
    <mergeCell ref="C62:I62"/>
    <mergeCell ref="X62:Y62"/>
    <mergeCell ref="H67:K67"/>
    <mergeCell ref="L67:N68"/>
    <mergeCell ref="Z67:AD68"/>
    <mergeCell ref="AE67:AI68"/>
    <mergeCell ref="AJ67:AL68"/>
    <mergeCell ref="O67:T67"/>
    <mergeCell ref="U67:Y68"/>
    <mergeCell ref="O68:Q68"/>
    <mergeCell ref="R68:T68"/>
    <mergeCell ref="M64:Q64"/>
    <mergeCell ref="M65:Q65"/>
    <mergeCell ref="R65:T65"/>
    <mergeCell ref="U65:W65"/>
    <mergeCell ref="X65:Y65"/>
    <mergeCell ref="E67:G68"/>
    <mergeCell ref="H68:K68"/>
    <mergeCell ref="U69:W69"/>
    <mergeCell ref="X69:Y69"/>
    <mergeCell ref="Z69:AB69"/>
    <mergeCell ref="AC69:AD69"/>
    <mergeCell ref="AE69:AG69"/>
    <mergeCell ref="AH69:AI69"/>
    <mergeCell ref="AJ69:AL69"/>
    <mergeCell ref="B67:D68"/>
    <mergeCell ref="B69:D69"/>
    <mergeCell ref="E69:G69"/>
    <mergeCell ref="H69:K69"/>
    <mergeCell ref="L69:N69"/>
    <mergeCell ref="O69:Q69"/>
    <mergeCell ref="R69:T69"/>
    <mergeCell ref="U70:W70"/>
    <mergeCell ref="X70:Y70"/>
    <mergeCell ref="Z70:AB70"/>
    <mergeCell ref="AC70:AD70"/>
    <mergeCell ref="AE70:AG70"/>
    <mergeCell ref="AH70:AI70"/>
    <mergeCell ref="AJ70:AL70"/>
    <mergeCell ref="B70:D70"/>
    <mergeCell ref="E70:G70"/>
    <mergeCell ref="H70:I70"/>
    <mergeCell ref="J70:K70"/>
    <mergeCell ref="L70:N70"/>
    <mergeCell ref="O70:Q70"/>
    <mergeCell ref="R70:T70"/>
    <mergeCell ref="Y83:AE83"/>
    <mergeCell ref="AF83:AH83"/>
    <mergeCell ref="AI83:AL83"/>
    <mergeCell ref="B103:D103"/>
    <mergeCell ref="B107:C107"/>
    <mergeCell ref="D107:Q107"/>
    <mergeCell ref="S107:T107"/>
    <mergeCell ref="U107:AD107"/>
    <mergeCell ref="B108:C108"/>
    <mergeCell ref="D108:Q108"/>
    <mergeCell ref="B109:C109"/>
    <mergeCell ref="D109:Q109"/>
    <mergeCell ref="S109:T109"/>
    <mergeCell ref="U109:AD109"/>
    <mergeCell ref="D110:Q110"/>
    <mergeCell ref="S110:T110"/>
    <mergeCell ref="U110:AD110"/>
    <mergeCell ref="C81:L81"/>
    <mergeCell ref="M81:S81"/>
    <mergeCell ref="T81:X81"/>
    <mergeCell ref="Y81:AE81"/>
    <mergeCell ref="AF81:AH81"/>
    <mergeCell ref="AI81:AL81"/>
    <mergeCell ref="E83:L83"/>
    <mergeCell ref="M83:S83"/>
    <mergeCell ref="T83:X83"/>
    <mergeCell ref="M85:S85"/>
    <mergeCell ref="T85:X85"/>
    <mergeCell ref="Y85:AE85"/>
    <mergeCell ref="AF85:AH85"/>
    <mergeCell ref="AI85:AL85"/>
    <mergeCell ref="E85:L85"/>
    <mergeCell ref="B88:AL96"/>
    <mergeCell ref="E100:J100"/>
    <mergeCell ref="L100:N100"/>
    <mergeCell ref="O100:U100"/>
    <mergeCell ref="W100:Y100"/>
    <mergeCell ref="Z100:AI100"/>
    <mergeCell ref="B100:D100"/>
    <mergeCell ref="B101:D101"/>
    <mergeCell ref="E101:J101"/>
    <mergeCell ref="L101:N101"/>
    <mergeCell ref="O101:U101"/>
    <mergeCell ref="W101:Y101"/>
    <mergeCell ref="Z101:AI101"/>
    <mergeCell ref="B102:D102"/>
    <mergeCell ref="E102:J102"/>
    <mergeCell ref="L102:N102"/>
    <mergeCell ref="O102:U102"/>
    <mergeCell ref="E103:J103"/>
    <mergeCell ref="L103:N103"/>
    <mergeCell ref="O103:U103"/>
    <mergeCell ref="S108:T108"/>
    <mergeCell ref="U108:AD108"/>
    <mergeCell ref="B113:C113"/>
    <mergeCell ref="D113:Q113"/>
    <mergeCell ref="S113:T113"/>
    <mergeCell ref="U113:AD113"/>
    <mergeCell ref="X71:Y71"/>
    <mergeCell ref="Z71:AB71"/>
    <mergeCell ref="AC71:AD71"/>
    <mergeCell ref="AE71:AG71"/>
    <mergeCell ref="AH71:AI71"/>
    <mergeCell ref="AJ71:AL71"/>
    <mergeCell ref="B71:D71"/>
    <mergeCell ref="E71:G71"/>
    <mergeCell ref="H71:K71"/>
    <mergeCell ref="L71:N71"/>
    <mergeCell ref="O71:Q71"/>
    <mergeCell ref="R71:T71"/>
    <mergeCell ref="U71:W71"/>
    <mergeCell ref="U72:W72"/>
    <mergeCell ref="X72:Y72"/>
    <mergeCell ref="Z72:AB72"/>
    <mergeCell ref="AC72:AD72"/>
    <mergeCell ref="AE72:AG72"/>
    <mergeCell ref="AH72:AI72"/>
    <mergeCell ref="AJ72:AL72"/>
    <mergeCell ref="B72:D72"/>
    <mergeCell ref="E72:G72"/>
    <mergeCell ref="H72:I72"/>
    <mergeCell ref="J72:K72"/>
    <mergeCell ref="L72:N72"/>
    <mergeCell ref="O72:Q72"/>
    <mergeCell ref="R72:T72"/>
    <mergeCell ref="X73:Y73"/>
    <mergeCell ref="Z73:AB73"/>
    <mergeCell ref="AC73:AD73"/>
    <mergeCell ref="AE73:AG73"/>
    <mergeCell ref="AH73:AI73"/>
    <mergeCell ref="AJ73:AL73"/>
    <mergeCell ref="B73:D73"/>
    <mergeCell ref="E73:G73"/>
    <mergeCell ref="H73:K73"/>
    <mergeCell ref="L73:N73"/>
    <mergeCell ref="O73:Q73"/>
    <mergeCell ref="R73:T73"/>
    <mergeCell ref="U73:W73"/>
    <mergeCell ref="U74:W74"/>
    <mergeCell ref="X74:Y74"/>
    <mergeCell ref="Z74:AB74"/>
    <mergeCell ref="AC74:AD74"/>
    <mergeCell ref="AE74:AG74"/>
    <mergeCell ref="AH74:AI74"/>
    <mergeCell ref="AJ74:AL74"/>
    <mergeCell ref="B74:D74"/>
    <mergeCell ref="E74:G74"/>
    <mergeCell ref="H74:I74"/>
    <mergeCell ref="J74:K74"/>
    <mergeCell ref="L74:N74"/>
    <mergeCell ref="O74:Q74"/>
    <mergeCell ref="R74:T74"/>
    <mergeCell ref="X75:Y75"/>
    <mergeCell ref="Z75:AB75"/>
    <mergeCell ref="AC75:AD75"/>
    <mergeCell ref="AE75:AG75"/>
    <mergeCell ref="AH75:AI75"/>
    <mergeCell ref="AJ75:AL75"/>
    <mergeCell ref="B75:D75"/>
    <mergeCell ref="E75:G75"/>
    <mergeCell ref="H75:K75"/>
    <mergeCell ref="L75:N75"/>
    <mergeCell ref="O75:Q75"/>
    <mergeCell ref="R75:T75"/>
    <mergeCell ref="U75:W75"/>
    <mergeCell ref="U76:W76"/>
    <mergeCell ref="X76:Y76"/>
    <mergeCell ref="Z76:AB76"/>
    <mergeCell ref="AC76:AD76"/>
    <mergeCell ref="AE76:AG76"/>
    <mergeCell ref="AH76:AI76"/>
    <mergeCell ref="AJ76:AL76"/>
    <mergeCell ref="B76:D76"/>
    <mergeCell ref="E76:G76"/>
    <mergeCell ref="H76:I76"/>
    <mergeCell ref="J76:K76"/>
    <mergeCell ref="L76:N76"/>
    <mergeCell ref="O76:Q76"/>
    <mergeCell ref="R76:T76"/>
    <mergeCell ref="S112:T112"/>
    <mergeCell ref="U112:AD112"/>
    <mergeCell ref="B110:C110"/>
    <mergeCell ref="B111:C111"/>
    <mergeCell ref="D111:Q111"/>
    <mergeCell ref="S111:T111"/>
    <mergeCell ref="U111:AD111"/>
    <mergeCell ref="B112:C112"/>
    <mergeCell ref="D112:Q112"/>
  </mergeCells>
  <conditionalFormatting sqref="B70:AL70">
    <cfRule type="expression" dxfId="0" priority="1">
      <formula>NOT(ISNUMBER(FIND("L",$G$31)))</formula>
    </cfRule>
  </conditionalFormatting>
  <conditionalFormatting sqref="B71:AL72">
    <cfRule type="expression" dxfId="1" priority="2">
      <formula>NOT(ISNUMBER(FIND("S",$G$31)))</formula>
    </cfRule>
  </conditionalFormatting>
  <conditionalFormatting sqref="B71:AL76">
    <cfRule type="expression" dxfId="2" priority="3">
      <formula>OR(ISNUMBER(FIND("T",$G$31)),ISNUMBER(FIND("M",$G$31)))</formula>
    </cfRule>
  </conditionalFormatting>
  <conditionalFormatting sqref="E70">
    <cfRule type="expression" dxfId="3" priority="4">
      <formula>AND(NOT(ISNUMBER(FIND("L",$G$31))),NOT(ISNUMBER(FIND("M",$G$31))))</formula>
    </cfRule>
  </conditionalFormatting>
  <conditionalFormatting sqref="E70 E72 E74 E76">
    <cfRule type="expression" dxfId="3" priority="5">
      <formula>($C$62="Secondary Injection")</formula>
    </cfRule>
  </conditionalFormatting>
  <conditionalFormatting sqref="E71:G72 E73">
    <cfRule type="expression" dxfId="3" priority="6">
      <formula>NOT(ISNUMBER(FIND("S",$G$31)))</formula>
    </cfRule>
  </conditionalFormatting>
  <conditionalFormatting sqref="E72:AI72 E73 H73 L73 O73 R73 U73 Z73 AE73">
    <cfRule type="expression" dxfId="0" priority="7">
      <formula>NOT(ISNUMBER(FIND("S",$G$31)))</formula>
    </cfRule>
  </conditionalFormatting>
  <conditionalFormatting sqref="E69:G70">
    <cfRule type="expression" dxfId="3" priority="8">
      <formula>NOT(ISNUMBER(FIND("L",$G$31)))</formula>
    </cfRule>
  </conditionalFormatting>
  <conditionalFormatting sqref="E70:G70">
    <cfRule type="expression" dxfId="3" priority="9">
      <formula>($AB$62="No")</formula>
    </cfRule>
  </conditionalFormatting>
  <conditionalFormatting sqref="E73:G73">
    <cfRule type="expression" dxfId="3" priority="10">
      <formula>($C$62="Primary Injection")</formula>
    </cfRule>
  </conditionalFormatting>
  <conditionalFormatting sqref="E73:G74">
    <cfRule type="expression" dxfId="3" priority="11">
      <formula>NOT(ISNUMBER(FIND("I",$G$31)))</formula>
    </cfRule>
  </conditionalFormatting>
  <conditionalFormatting sqref="E75:G76">
    <cfRule type="expression" dxfId="3" priority="12">
      <formula>NOT(ISNUMBER(FIND("G",$G$31)))</formula>
    </cfRule>
  </conditionalFormatting>
  <conditionalFormatting sqref="E70:AL70">
    <cfRule type="expression" dxfId="1" priority="13">
      <formula>AND(NOT(ISNUMBER(FIND("L",$G$31))),NOT(ISNUMBER(FIND("M",$G$31))))</formula>
    </cfRule>
  </conditionalFormatting>
  <conditionalFormatting sqref="E70:AL70">
    <cfRule type="expression" dxfId="4" priority="14">
      <formula>($AB$62="No")</formula>
    </cfRule>
  </conditionalFormatting>
  <conditionalFormatting sqref="E70:AL70">
    <cfRule type="expression" dxfId="5" priority="15">
      <formula>AND(NOT(ISNUMBER(FIND("L",$G$31))),NOT(ISNUMBER(FIND("M",$G$31))))</formula>
    </cfRule>
  </conditionalFormatting>
  <conditionalFormatting sqref="E70:AL70">
    <cfRule type="expression" dxfId="5" priority="16">
      <formula>($AB$62="No")</formula>
    </cfRule>
  </conditionalFormatting>
  <conditionalFormatting sqref="E71:AL72">
    <cfRule type="expression" dxfId="5" priority="17">
      <formula>NOT(ISNUMBER(FIND("S",$G$31)))</formula>
    </cfRule>
  </conditionalFormatting>
  <conditionalFormatting sqref="E70:AL70 E72:AL72 E74:AL74 E76:AL76">
    <cfRule type="expression" dxfId="1" priority="18">
      <formula>($C$62="Secondary Injection")</formula>
    </cfRule>
  </conditionalFormatting>
  <conditionalFormatting sqref="E70:AL70 E72:AL72 E74:AL74 E76:AL76">
    <cfRule type="expression" dxfId="0" priority="19">
      <formula>($C$62="Secondary Injection")</formula>
    </cfRule>
  </conditionalFormatting>
  <conditionalFormatting sqref="E73:AL73">
    <cfRule type="expression" dxfId="0" priority="20">
      <formula>($C$62="Primary Injection")</formula>
    </cfRule>
  </conditionalFormatting>
  <conditionalFormatting sqref="E73:AL73">
    <cfRule type="expression" dxfId="1" priority="21">
      <formula>($C$62="Primary Injection")</formula>
    </cfRule>
  </conditionalFormatting>
  <conditionalFormatting sqref="E73:AL73">
    <cfRule type="expression" dxfId="5" priority="22">
      <formula>($C$62="Primary Injection")</formula>
    </cfRule>
  </conditionalFormatting>
  <conditionalFormatting sqref="E73:AL74">
    <cfRule type="expression" dxfId="5" priority="23">
      <formula>NOT(ISNUMBER(FIND("I",$G$31)))</formula>
    </cfRule>
  </conditionalFormatting>
  <conditionalFormatting sqref="E70:AL70 E72:AL72 E74:AL74 E76:AL76">
    <cfRule type="expression" dxfId="5" priority="24">
      <formula>($C$62="Secondary Injection")</formula>
    </cfRule>
  </conditionalFormatting>
  <conditionalFormatting sqref="E74:AL74">
    <cfRule type="expression" dxfId="0" priority="25">
      <formula>NOT(ISNUMBER(FIND("I",$G$31)))</formula>
    </cfRule>
  </conditionalFormatting>
  <conditionalFormatting sqref="E75:AL76">
    <cfRule type="expression" dxfId="1" priority="26">
      <formula>NOT(ISNUMBER(FIND("G",$G$31)))</formula>
    </cfRule>
  </conditionalFormatting>
  <conditionalFormatting sqref="E75:AL76">
    <cfRule type="expression" dxfId="0" priority="27">
      <formula>NOT(ISNUMBER(FIND("G",$G$31)))</formula>
    </cfRule>
  </conditionalFormatting>
  <conditionalFormatting sqref="E75:AL76">
    <cfRule type="expression" dxfId="5" priority="28">
      <formula>NOT(ISNUMBER(FIND("G",$G$31)))</formula>
    </cfRule>
  </conditionalFormatting>
  <conditionalFormatting sqref="L73:N73">
    <cfRule type="expression" dxfId="1" priority="29">
      <formula>NOT(ISNUMBER(FIND("S",$G$31)))</formula>
    </cfRule>
  </conditionalFormatting>
  <conditionalFormatting sqref="L35:X35">
    <cfRule type="expression" dxfId="1" priority="30">
      <formula>OR(ISNUMBER(FIND("T",$G$31)),ISNUMBER(FIND("M",$G$31)))</formula>
    </cfRule>
  </conditionalFormatting>
  <conditionalFormatting sqref="L35:X36">
    <cfRule type="expression" dxfId="2" priority="31">
      <formula>OR(ISNUMBER(FIND("T",$G$31)),ISNUMBER(FIND("M",$G$31)))</formula>
    </cfRule>
  </conditionalFormatting>
  <conditionalFormatting sqref="M64:Y64">
    <cfRule type="expression" dxfId="1" priority="32">
      <formula>OR(ISNUMBER(FIND("T",$G$31)),ISNUMBER(FIND("M",$G$31)))</formula>
    </cfRule>
  </conditionalFormatting>
  <conditionalFormatting sqref="M64:Y65">
    <cfRule type="expression" dxfId="2" priority="33">
      <formula>OR(ISNUMBER(FIND("T",$G$31)),ISNUMBER(FIND("M",$G$31)))</formula>
    </cfRule>
  </conditionalFormatting>
  <conditionalFormatting sqref="Q33 R62 AE33">
    <cfRule type="expression" dxfId="6" priority="34">
      <formula>AND(NOT(ISNUMBER(FIND("L",$G$31))),NOT(ISNUMBER(FIND("T",$G$31))))</formula>
    </cfRule>
  </conditionalFormatting>
  <conditionalFormatting sqref="Q34 R63 AE34">
    <cfRule type="expression" dxfId="6" priority="35">
      <formula>AND(NOT(ISNUMBER(FIND("S",$G$31))),NOT(ISNUMBER(FIND("M",$G$31))))</formula>
    </cfRule>
  </conditionalFormatting>
  <conditionalFormatting sqref="Q35:V35 R64:W64 AE35:AJ35">
    <cfRule type="expression" dxfId="6" priority="36">
      <formula>NOT(ISNUMBER(FIND("I",$G$31)))</formula>
    </cfRule>
  </conditionalFormatting>
  <conditionalFormatting sqref="Q36:X36 R65:Y65 AE36:AL36">
    <cfRule type="expression" dxfId="6" priority="37">
      <formula>NOT(ISNUMBER(FIND("G",$G$31)))</formula>
    </cfRule>
  </conditionalFormatting>
  <conditionalFormatting sqref="T33 U62 AH33">
    <cfRule type="expression" dxfId="6" priority="38">
      <formula>AND(NOT(ISNUMBER(FIND("L",$G$31))),NOT(ISNUMBER(FIND("TMD",$G$31))),NOT(ISNUMBER(FIND("TA",$G$31))))</formula>
    </cfRule>
  </conditionalFormatting>
  <conditionalFormatting sqref="T34 U63 AH34">
    <cfRule type="expression" dxfId="6" priority="39">
      <formula>AND(NOT(ISNUMBER(FIND("S",$G$31))),NOT(ISNUMBER(FIND("TMA",$G$31))),NOT(ISNUMBER(FIND("MA",$G$31))))</formula>
    </cfRule>
  </conditionalFormatting>
  <conditionalFormatting sqref="U72 Z72 AE72">
    <cfRule type="cellIs" dxfId="7" priority="40" operator="notBetween">
      <formula>$O$72</formula>
      <formula>$R$72</formula>
    </cfRule>
  </conditionalFormatting>
  <conditionalFormatting sqref="U69:W69 Z69:AB69 AE69:AG69">
    <cfRule type="cellIs" dxfId="7" priority="41" operator="notBetween">
      <formula>$O$69</formula>
      <formula>$R$69</formula>
    </cfRule>
  </conditionalFormatting>
  <conditionalFormatting sqref="U70:W70 Z70:AB70 AE70:AG70">
    <cfRule type="cellIs" dxfId="7" priority="42" operator="notBetween">
      <formula>$O$70</formula>
      <formula>$R$70</formula>
    </cfRule>
  </conditionalFormatting>
  <conditionalFormatting sqref="U71:W71 Z71:AB71 AE71:AG71">
    <cfRule type="cellIs" dxfId="7" priority="43" operator="notBetween">
      <formula>$O$71</formula>
      <formula>$R$71</formula>
    </cfRule>
  </conditionalFormatting>
  <conditionalFormatting sqref="U73:W73 Z73:AB73 AE73:AG73">
    <cfRule type="cellIs" dxfId="7" priority="44" operator="notBetween">
      <formula>$O$73</formula>
      <formula>$R$73</formula>
    </cfRule>
  </conditionalFormatting>
  <conditionalFormatting sqref="U74:W74 Z74:AB74 AE74:AG74">
    <cfRule type="cellIs" dxfId="7" priority="45" operator="notBetween">
      <formula>$O$74</formula>
      <formula>$R$74</formula>
    </cfRule>
  </conditionalFormatting>
  <conditionalFormatting sqref="U75:W75 Z75:AB75 AE75:AG75">
    <cfRule type="cellIs" dxfId="7" priority="46" operator="notBetween">
      <formula>$O$75</formula>
      <formula>$R$75</formula>
    </cfRule>
  </conditionalFormatting>
  <conditionalFormatting sqref="U76:W76 Z76:AB76 AE76:AG76">
    <cfRule type="cellIs" dxfId="7" priority="47" operator="notBetween">
      <formula>$O$76</formula>
      <formula>$R$76</formula>
    </cfRule>
  </conditionalFormatting>
  <conditionalFormatting sqref="W34 X63 AK34">
    <cfRule type="expression" dxfId="6" priority="48">
      <formula>NOT(ISNUMBER(FIND("S",$G$31)))</formula>
    </cfRule>
  </conditionalFormatting>
  <conditionalFormatting sqref="X73:Y73 AC73:AD73 AH73:AI73">
    <cfRule type="expression" dxfId="1" priority="49">
      <formula>NOT(ISNUMBER(FIND("S",$G$31)))</formula>
    </cfRule>
  </conditionalFormatting>
  <conditionalFormatting sqref="Z42">
    <cfRule type="cellIs" dxfId="8" priority="50" operator="equal">
      <formula>"LIMITED SERVICE"</formula>
    </cfRule>
  </conditionalFormatting>
  <conditionalFormatting sqref="Z42">
    <cfRule type="cellIs" dxfId="9" priority="51" operator="equal">
      <formula>"FAIL"</formula>
    </cfRule>
  </conditionalFormatting>
  <conditionalFormatting sqref="Z42">
    <cfRule type="cellIs" dxfId="10" priority="52" operator="equal">
      <formula>"PASS"</formula>
    </cfRule>
  </conditionalFormatting>
  <conditionalFormatting sqref="Z42">
    <cfRule type="cellIs" dxfId="10" priority="53" operator="equal">
      <formula>"""PASS"""</formula>
    </cfRule>
  </conditionalFormatting>
  <conditionalFormatting sqref="Z35:AL35">
    <cfRule type="expression" dxfId="1" priority="54">
      <formula>OR(ISNUMBER(FIND("T",$G$31)),ISNUMBER(FIND("M",$G$31)))</formula>
    </cfRule>
  </conditionalFormatting>
  <conditionalFormatting sqref="Z35:AL36">
    <cfRule type="expression" dxfId="2" priority="55">
      <formula>OR(ISNUMBER(FIND("T",$G$31)),ISNUMBER(FIND("M",$G$31)))</formula>
    </cfRule>
  </conditionalFormatting>
  <conditionalFormatting sqref="AB61:AH62">
    <cfRule type="expression" dxfId="11" priority="56">
      <formula>NOT(ISNUMBER(FIND("L",$G$31)))</formula>
    </cfRule>
  </conditionalFormatting>
  <conditionalFormatting sqref="AJ2">
    <cfRule type="cellIs" dxfId="8" priority="57" operator="equal">
      <formula>"LIMITED SERVICE"</formula>
    </cfRule>
  </conditionalFormatting>
  <conditionalFormatting sqref="AJ2">
    <cfRule type="cellIs" dxfId="9" priority="58" operator="equal">
      <formula>"FAIL"</formula>
    </cfRule>
  </conditionalFormatting>
  <conditionalFormatting sqref="AJ2">
    <cfRule type="cellIs" dxfId="10" priority="59" operator="equal">
      <formula>"PASS"</formula>
    </cfRule>
  </conditionalFormatting>
  <conditionalFormatting sqref="AJ2">
    <cfRule type="cellIs" dxfId="10" priority="60" operator="equal">
      <formula>"""PASS"""</formula>
    </cfRule>
  </conditionalFormatting>
  <conditionalFormatting sqref="AJ52:AJ54">
    <cfRule type="cellIs" dxfId="8" priority="61" operator="equal">
      <formula>"LIMITED SERVICE"</formula>
    </cfRule>
  </conditionalFormatting>
  <conditionalFormatting sqref="AJ52:AJ54">
    <cfRule type="cellIs" dxfId="9" priority="62" operator="equal">
      <formula>"FAIL"</formula>
    </cfRule>
  </conditionalFormatting>
  <conditionalFormatting sqref="AJ52:AJ54">
    <cfRule type="cellIs" dxfId="10" priority="63" operator="equal">
      <formula>"PASS"</formula>
    </cfRule>
  </conditionalFormatting>
  <conditionalFormatting sqref="AJ52:AJ54">
    <cfRule type="cellIs" dxfId="10" priority="64" operator="equal">
      <formula>"""PASS"""</formula>
    </cfRule>
  </conditionalFormatting>
  <conditionalFormatting sqref="AJ69:AL76">
    <cfRule type="cellIs" dxfId="12" priority="65" operator="equal">
      <formula>"FAIL"</formula>
    </cfRule>
  </conditionalFormatting>
  <conditionalFormatting sqref="AJ69:AL76">
    <cfRule type="cellIs" dxfId="13" priority="66" operator="equal">
      <formula>"PASS"</formula>
    </cfRule>
  </conditionalFormatting>
  <conditionalFormatting sqref="AJ69:AL76">
    <cfRule type="expression" dxfId="14" priority="67">
      <formula>NOT(ISNUMBER(FIND("L",$G$31)))</formula>
    </cfRule>
  </conditionalFormatting>
  <conditionalFormatting sqref="AJ70:AL70">
    <cfRule type="expression" dxfId="14" priority="68">
      <formula>($AB$62="No")</formula>
    </cfRule>
  </conditionalFormatting>
  <conditionalFormatting sqref="E69:AL69 AJ70:AL76">
    <cfRule type="expression" dxfId="1" priority="69">
      <formula>NOT(ISNUMBER(FIND("L",$G$31)))</formula>
    </cfRule>
  </conditionalFormatting>
  <conditionalFormatting sqref="E69:AL69 AJ70:AL76">
    <cfRule type="expression" dxfId="0" priority="70">
      <formula>AND(NOT(ISNUMBER(FIND("L",$G$31))),NOT(ISNUMBER(FIND("T",$G$31))))</formula>
    </cfRule>
  </conditionalFormatting>
  <conditionalFormatting sqref="E69:AL69 AJ70:AL76">
    <cfRule type="expression" dxfId="5" priority="71">
      <formula>AND(NOT(ISNUMBER(FIND("L",$G$31))),NOT(ISNUMBER(FIND("T",$G$31))))</formula>
    </cfRule>
  </conditionalFormatting>
  <conditionalFormatting sqref="AJ71:AL72">
    <cfRule type="expression" dxfId="14" priority="72">
      <formula>NOT(ISNUMBER(FIND("S",$G$31)))</formula>
    </cfRule>
  </conditionalFormatting>
  <conditionalFormatting sqref="AJ73:AL73">
    <cfRule type="expression" dxfId="14" priority="73">
      <formula>($C$62="Primary Injection")</formula>
    </cfRule>
  </conditionalFormatting>
  <conditionalFormatting sqref="AJ73:AL74">
    <cfRule type="expression" dxfId="14" priority="74">
      <formula>NOT(ISNUMBER(FIND("I",$G$31)))</formula>
    </cfRule>
  </conditionalFormatting>
  <conditionalFormatting sqref="AJ75:AL76">
    <cfRule type="expression" dxfId="14" priority="75">
      <formula>NOT(ISNUMBER(FIND("G",$G$31)))</formula>
    </cfRule>
  </conditionalFormatting>
  <conditionalFormatting sqref="AL70 AL72 AL74 AL76">
    <cfRule type="expression" dxfId="14" priority="76">
      <formula>($C$62="Secondary Injection")</formula>
    </cfRule>
  </conditionalFormatting>
  <conditionalFormatting sqref="AL70">
    <cfRule type="expression" dxfId="14" priority="77">
      <formula>AND(NOT(ISNUMBER(FIND("L",$G$31))),NOT(ISNUMBER(FIND("M",$G$31))))</formula>
    </cfRule>
  </conditionalFormatting>
  <dataValidations>
    <dataValidation type="list" allowBlank="1" showErrorMessage="1" sqref="U43 U44:X44">
      <formula1>"&lt;50%,N/A"</formula1>
    </dataValidation>
    <dataValidation type="list" allowBlank="1" showErrorMessage="1" sqref="AF12">
      <formula1>"Bolt-In,Plug-in,Fixed-Mount,Bushing-Mount"</formula1>
    </dataValidation>
    <dataValidation type="list" allowBlank="1" showInputMessage="1" prompt="Used in formula - Please put a NUMBER here as it is used in formulas for the sheet" sqref="U12">
      <formula1>"250,480,600,1000"</formula1>
    </dataValidation>
    <dataValidation type="list" allowBlank="1" showErrorMessage="1" sqref="AJ43:AJ44">
      <formula1>"On,Off,In,Out"</formula1>
    </dataValidation>
    <dataValidation type="list" allowBlank="1" showErrorMessage="1" sqref="I52:I54 L52:L54 O52:O54">
      <formula1>"&gt;,&lt;"</formula1>
    </dataValidation>
    <dataValidation type="list" allowBlank="1" showErrorMessage="1" sqref="AB62">
      <formula1>"Yes,No"</formula1>
    </dataValidation>
    <dataValidation type="list" allowBlank="1" showErrorMessage="1" sqref="W34 AK34 W36 AK36 X63 X65">
      <formula1>"On,Off,In,Out,N/A"</formula1>
    </dataValidation>
    <dataValidation type="list" allowBlank="1" showErrorMessage="1" sqref="AF13">
      <formula1>"Yes,No,Enabled,Disabled,N/A"</formula1>
    </dataValidation>
    <dataValidation type="list" allowBlank="1" showInputMessage="1" showErrorMessage="1" prompt="Heads Up!! - This value is based off of the voltage rating in the Nameplate Data Section. You can manually change the value, but this will remove the formula. Please make sure you are not using the blank sheet!" sqref="AJ47">
      <formula1>"250,500,1000,2500,5000"</formula1>
    </dataValidation>
    <dataValidation type="list" allowBlank="1" showInputMessage="1" showErrorMessage="1" prompt="TMF = fixed thermal, fixed magnetic_x000a_TMD = adjustable thermal, fixed magnetic_x000a_TMA = fixed thermal, adjustable magnetic_x000a_TF = fixed thermal_x000a_TA = adjustable thermal_x000a_MF = adjustable magnetic_x000a_MA = fixed magnetic" sqref="G31">
      <formula1>"LI,LS,LSI,LIG,LSG,LSIG,G,TMF,TMD,TMA,TF,TA,MF,MA"</formula1>
    </dataValidation>
    <dataValidation type="list" allowBlank="1" showErrorMessage="1" sqref="AJ2">
      <formula1>"PASS,FAIL,LIMITED SERVICE"</formula1>
    </dataValidation>
    <dataValidation type="list" allowBlank="1" showErrorMessage="1" sqref="AF14">
      <formula1>"Yes,No,Simulated,Unknown,N/A"</formula1>
    </dataValidation>
    <dataValidation type="list" allowBlank="1" showErrorMessage="1" sqref="N43:N44">
      <formula1>"µΩ,mΩ,Ω"</formula1>
    </dataValidation>
    <dataValidation type="list" allowBlank="1" sqref="AA52:AA54">
      <formula1>"MΩ,GΩ"</formula1>
    </dataValidation>
    <dataValidation type="list" allowBlank="1" showInputMessage="1" prompt="Heads Up!! - This value is based off of the voltage rating in the Nameplate Data Section. You can manually change the value, but this will remove the formula. Please make sure you are not using the blank sheet!" sqref="AE52:AE54">
      <formula1>"25,100,N/A"</formula1>
    </dataValidation>
    <dataValidation type="list" allowBlank="1" sqref="AH20:AH26 AH27:AL27">
      <formula1>"Satisfactory,Unsatisfactory,Cleaned,See Comments,Not Applicable,By Others"</formula1>
    </dataValidation>
    <dataValidation type="list" allowBlank="1" showErrorMessage="1" sqref="C62">
      <formula1>"Primary Injection,Secondary Injection"</formula1>
    </dataValidation>
    <dataValidation type="list" allowBlank="1" showErrorMessage="1" sqref="AF11">
      <formula1>"Over-Center Handle,Two-Step Stored Energy"</formula1>
    </dataValidation>
  </dataValidations>
  <printOptions horizontalCentered="1"/>
  <pageMargins bottom="0.5" footer="0.0" header="0.0" left="0.5" right="0.5" top="1.0"/>
  <pageSetup fitToHeight="0" orientation="portrait"/>
  <headerFooter>
    <oddHeader>&amp;L                   &amp;CLow Voltage, Molded Case,  Circuit Breaker Test Report&amp;R000000 ATS 7.6.1.2        </oddHeader>
    <oddFooter>&amp;L00-034AMPQES.COM&amp;CSheet &amp;P of &amp;R 00-034256-513-8255</oddFooter>
  </headerFooter>
  <drawing r:id="rId1"/>
</worksheet>
</file>
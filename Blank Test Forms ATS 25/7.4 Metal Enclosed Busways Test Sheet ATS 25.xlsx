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04. Blank Test Reports\Blank Test Forms ATS 25\"/>
    </mc:Choice>
  </mc:AlternateContent>
  <xr:revisionPtr revIDLastSave="0" documentId="13_ncr:1_{A85D2BC8-53E2-453C-B1E9-EA7BAE4A8C5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 Sheet" sheetId="1" r:id="rId1"/>
  </sheets>
  <definedNames>
    <definedName name="_xlnm.Print_Area" localSheetId="0">'Test Sheet'!$A$1:$AM$93</definedName>
  </definedNames>
  <calcPr calcId="191029"/>
  <fileRecoveryPr autoRecover="0"/>
</workbook>
</file>

<file path=xl/calcChain.xml><?xml version="1.0" encoding="utf-8"?>
<calcChain xmlns="http://schemas.openxmlformats.org/spreadsheetml/2006/main">
  <c r="AC49" i="1" l="1"/>
  <c r="AI49" i="1"/>
  <c r="AC50" i="1"/>
  <c r="AI50" i="1"/>
  <c r="AC51" i="1"/>
  <c r="AI51" i="1"/>
  <c r="AC52" i="1"/>
  <c r="AI52" i="1"/>
  <c r="AC53" i="1"/>
  <c r="AI53" i="1"/>
  <c r="AC40" i="1"/>
  <c r="AI40" i="1"/>
  <c r="AC41" i="1"/>
  <c r="AI41" i="1"/>
  <c r="AC42" i="1"/>
  <c r="AI42" i="1"/>
  <c r="AC43" i="1"/>
  <c r="AI43" i="1"/>
  <c r="AC44" i="1"/>
  <c r="AI44" i="1"/>
  <c r="AC45" i="1"/>
  <c r="AI45" i="1"/>
  <c r="AC46" i="1"/>
  <c r="AI46" i="1"/>
  <c r="AC47" i="1"/>
  <c r="AI47" i="1"/>
  <c r="AC48" i="1"/>
  <c r="AI48" i="1"/>
  <c r="I75" i="1"/>
  <c r="AC38" i="1" l="1"/>
  <c r="AC35" i="1"/>
  <c r="AC36" i="1"/>
  <c r="AC37" i="1"/>
  <c r="AC39" i="1"/>
  <c r="AI35" i="1"/>
  <c r="AI36" i="1"/>
  <c r="AI37" i="1"/>
  <c r="AI38" i="1"/>
  <c r="AI39" i="1"/>
  <c r="Z65" i="1" l="1"/>
  <c r="U72" i="1" s="1"/>
  <c r="I72" i="1" l="1"/>
  <c r="L72" i="1"/>
  <c r="F72" i="1"/>
  <c r="O72" i="1"/>
  <c r="R72" i="1"/>
  <c r="AA72" i="1"/>
  <c r="C72" i="1"/>
  <c r="X72" i="1"/>
  <c r="AC34" i="1"/>
  <c r="AI34" i="1" s="1"/>
  <c r="B72" i="1"/>
  <c r="E72" i="1"/>
  <c r="H72" i="1"/>
  <c r="K72" i="1"/>
  <c r="N72" i="1"/>
  <c r="Q72" i="1"/>
  <c r="T72" i="1"/>
  <c r="W72" i="1"/>
  <c r="Z72" i="1"/>
  <c r="AC72" i="1"/>
  <c r="P5" i="1"/>
</calcChain>
</file>

<file path=xl/sharedStrings.xml><?xml version="1.0" encoding="utf-8"?>
<sst xmlns="http://schemas.openxmlformats.org/spreadsheetml/2006/main" count="169" uniqueCount="107">
  <si>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</si>
  <si>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</si>
  <si>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</si>
  <si>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</si>
  <si>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</si>
  <si>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</si>
  <si>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</si>
  <si>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</si>
  <si>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</si>
  <si>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</si>
  <si>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Comments:</t>
  </si>
  <si>
    <t>Job #</t>
  </si>
  <si>
    <t>°F</t>
  </si>
  <si>
    <t>Visual and Mechanical Inspection</t>
  </si>
  <si>
    <t>PASS</t>
  </si>
  <si>
    <t>Units</t>
  </si>
  <si>
    <t>MΩ</t>
  </si>
  <si>
    <t>5000V</t>
  </si>
  <si>
    <t>Substation</t>
  </si>
  <si>
    <t>Identifier</t>
  </si>
  <si>
    <t>Test Equipment Used</t>
  </si>
  <si>
    <t>AMP ID:</t>
  </si>
  <si>
    <t>Megohmmeter:</t>
  </si>
  <si>
    <t>Serial Number:</t>
  </si>
  <si>
    <t>Results</t>
  </si>
  <si>
    <t>NETA Section</t>
  </si>
  <si>
    <t>Inspect anchorage, alignment, grounding, and required area clearances.</t>
  </si>
  <si>
    <t>Test Voltage:</t>
  </si>
  <si>
    <t>Bus Section</t>
  </si>
  <si>
    <t>A-G</t>
  </si>
  <si>
    <t>B-G</t>
  </si>
  <si>
    <t>C-G</t>
  </si>
  <si>
    <t>A-B</t>
  </si>
  <si>
    <t>B-C</t>
  </si>
  <si>
    <t>C-A</t>
  </si>
  <si>
    <t>A-N</t>
  </si>
  <si>
    <t>B-N</t>
  </si>
  <si>
    <t>C-N</t>
  </si>
  <si>
    <t>A-Phase</t>
  </si>
  <si>
    <t>B-Phase</t>
  </si>
  <si>
    <t>C-Phase</t>
  </si>
  <si>
    <t>Neutral</t>
  </si>
  <si>
    <t>Ground</t>
  </si>
  <si>
    <t>Low Resistance Ohmmeter:</t>
  </si>
  <si>
    <t>Nameplate Data</t>
  </si>
  <si>
    <t>Manufacturer</t>
  </si>
  <si>
    <t>System Voltage (V)</t>
  </si>
  <si>
    <t xml:space="preserve">Catalog No. </t>
  </si>
  <si>
    <t>Rated Voltage (V)</t>
  </si>
  <si>
    <t>Serial Number</t>
  </si>
  <si>
    <t>Rated Current (A)</t>
  </si>
  <si>
    <t>Series</t>
  </si>
  <si>
    <t>AIC Rating (kA)</t>
  </si>
  <si>
    <t>Type</t>
  </si>
  <si>
    <t>Phase Configuration</t>
  </si>
  <si>
    <t>Temperature Corrected Values</t>
  </si>
  <si>
    <t>Measured Values</t>
  </si>
  <si>
    <t>Electrical - Insulation Resistance Tests</t>
  </si>
  <si>
    <t>&gt;</t>
  </si>
  <si>
    <t>Compare equipment nameplate data with drawings.</t>
  </si>
  <si>
    <t>Inspect physical, electrical, and mechanical condition.</t>
  </si>
  <si>
    <t>*Perform thermographic survey in accordance with Section 9.</t>
  </si>
  <si>
    <t>Value Deviation</t>
  </si>
  <si>
    <t>µΩ</t>
  </si>
  <si>
    <t>Test Duration:</t>
  </si>
  <si>
    <t>1 min.</t>
  </si>
  <si>
    <t>Insulation Temperature (°F):</t>
  </si>
  <si>
    <t>Phase:</t>
  </si>
  <si>
    <t>Criteria</t>
  </si>
  <si>
    <t>&lt;50%</t>
  </si>
  <si>
    <t>N/A</t>
  </si>
  <si>
    <t>Temp. Correction Factor:</t>
  </si>
  <si>
    <t>≥</t>
  </si>
  <si>
    <t>Value</t>
  </si>
  <si>
    <t>Table 100.1 Criteria:</t>
  </si>
  <si>
    <t>Overall Result:</t>
  </si>
  <si>
    <t>Verify correct connection in accordance with single-line diagram.</t>
  </si>
  <si>
    <t>7.4.A.1</t>
  </si>
  <si>
    <t>7.4.A.2</t>
  </si>
  <si>
    <t>7.4.A.3</t>
  </si>
  <si>
    <t>7.4.A.4</t>
  </si>
  <si>
    <t>7.4.A.5</t>
  </si>
  <si>
    <t>7.4.A.6</t>
  </si>
  <si>
    <t>Confirm physical orientation in accordance with manufacturer’s labels to ensure adequate cooling.</t>
  </si>
  <si>
    <t>Verify weep or drain plugs are in accordance with manufacturer’s published data.</t>
  </si>
  <si>
    <t>7.4.A.7</t>
  </si>
  <si>
    <t>7.4.A.8</t>
  </si>
  <si>
    <t>7.4.A.9</t>
  </si>
  <si>
    <t>7.4.A.10</t>
  </si>
  <si>
    <t>Verify correct installation of joint shield.</t>
  </si>
  <si>
    <t>Verify ventilating openings are clean.</t>
  </si>
  <si>
    <t>End to End</t>
  </si>
  <si>
    <t>JP1</t>
  </si>
  <si>
    <t>JP2</t>
  </si>
  <si>
    <t>JP3</t>
  </si>
  <si>
    <t>JP4</t>
  </si>
  <si>
    <t>JP5</t>
  </si>
  <si>
    <t>JP6</t>
  </si>
  <si>
    <t>JP7</t>
  </si>
  <si>
    <t>JP8</t>
  </si>
  <si>
    <t>JP9</t>
  </si>
  <si>
    <t>JP10</t>
  </si>
  <si>
    <t>JP11</t>
  </si>
  <si>
    <t>JP12</t>
  </si>
  <si>
    <t>Electrical - Bus Resistance Tests</t>
  </si>
  <si>
    <t>Bus Resistance</t>
  </si>
  <si>
    <t>Verify tightness of accessible bolted electrical connections and bus joints by calibrated torque-wrench method or in accordance with 7.4.B.1.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</si>
</sst>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rgb="FF351D13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b/>
      <sz val="10"/>
      <color rgb="FF351D13"/>
      <name val="Calibri"/>
      <family val="2"/>
    </font>
    <font>
      <sz val="10"/>
      <color rgb="FF351D13"/>
      <name val="Calibri"/>
      <family val="2"/>
    </font>
    <font>
      <sz val="10"/>
      <color rgb="FF663300"/>
      <name val="Calibri"/>
      <family val="2"/>
    </font>
    <font>
      <b/>
      <sz val="10"/>
      <color rgb="FF6633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u/>
      <sz val="10"/>
      <color rgb="FF6633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/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5" fillId="2" borderId="8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8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49" fontId="10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49" fontId="10" fillId="3" borderId="9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10" fillId="3" borderId="9" xfId="0" applyFont="1" applyFill="1" applyBorder="1" applyAlignment="1">
      <alignment horizontal="left" vertical="center"/>
    </xf>
    <xf numFmtId="0" fontId="13" fillId="3" borderId="0" xfId="0" applyFont="1" applyFill="1" applyAlignment="1">
      <alignment vertical="center"/>
    </xf>
    <xf numFmtId="0" fontId="7" fillId="3" borderId="10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5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/>
    </xf>
    <xf numFmtId="0" fontId="11" fillId="3" borderId="11" xfId="0" applyFont="1" applyFill="1" applyBorder="1" applyAlignment="1" applyProtection="1">
      <alignment horizontal="right" vertical="center"/>
      <protection locked="0"/>
    </xf>
    <xf numFmtId="0" fontId="11" fillId="3" borderId="11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5" fillId="2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20" fillId="3" borderId="10" xfId="0" applyFont="1" applyFill="1" applyBorder="1" applyAlignment="1">
      <alignment vertical="center"/>
    </xf>
    <xf numFmtId="0" fontId="19" fillId="0" borderId="1" xfId="0" applyFont="1" applyBorder="1"/>
    <xf numFmtId="0" fontId="19" fillId="0" borderId="0" xfId="0" applyFont="1"/>
    <xf numFmtId="0" fontId="11" fillId="3" borderId="16" xfId="0" applyFont="1" applyFill="1" applyBorder="1" applyAlignment="1">
      <alignment horizontal="right" vertical="center"/>
    </xf>
    <xf numFmtId="0" fontId="11" fillId="3" borderId="16" xfId="0" applyFont="1" applyFill="1" applyBorder="1" applyAlignment="1" applyProtection="1">
      <alignment horizontal="right" vertical="center"/>
      <protection locked="0"/>
    </xf>
    <xf numFmtId="0" fontId="12" fillId="0" borderId="0" xfId="0" applyFont="1" applyAlignment="1">
      <alignment vertical="center"/>
    </xf>
    <xf numFmtId="0" fontId="11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1" fillId="3" borderId="0" xfId="0" applyFont="1" applyFill="1" applyAlignment="1">
      <alignment horizontal="right"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1" fillId="3" borderId="23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22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left"/>
      <protection locked="0"/>
    </xf>
    <xf numFmtId="0" fontId="18" fillId="0" borderId="13" xfId="0" applyFont="1" applyBorder="1" applyAlignment="1" applyProtection="1">
      <alignment horizontal="left"/>
      <protection locked="0"/>
    </xf>
    <xf numFmtId="0" fontId="18" fillId="3" borderId="2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right" vertical="center"/>
    </xf>
    <xf numFmtId="0" fontId="12" fillId="0" borderId="2" xfId="0" applyFont="1" applyBorder="1" applyAlignment="1">
      <alignment horizontal="right"/>
    </xf>
    <xf numFmtId="0" fontId="11" fillId="3" borderId="18" xfId="0" applyFont="1" applyFill="1" applyBorder="1" applyAlignment="1" applyProtection="1">
      <alignment horizontal="center" vertical="center"/>
      <protection locked="0"/>
    </xf>
    <xf numFmtId="0" fontId="11" fillId="3" borderId="19" xfId="0" applyFont="1" applyFill="1" applyBorder="1" applyAlignment="1" applyProtection="1">
      <alignment horizontal="center" vertical="center"/>
      <protection locked="0"/>
    </xf>
    <xf numFmtId="0" fontId="11" fillId="3" borderId="16" xfId="0" applyFont="1" applyFill="1" applyBorder="1" applyAlignment="1">
      <alignment horizontal="center" vertical="center"/>
    </xf>
    <xf numFmtId="0" fontId="18" fillId="0" borderId="14" xfId="0" applyFont="1" applyBorder="1"/>
    <xf numFmtId="0" fontId="18" fillId="0" borderId="17" xfId="0" applyFont="1" applyBorder="1"/>
    <xf numFmtId="0" fontId="11" fillId="3" borderId="0" xfId="0" applyFont="1" applyFill="1" applyAlignment="1">
      <alignment horizontal="right" vertical="center"/>
    </xf>
    <xf numFmtId="0" fontId="12" fillId="0" borderId="0" xfId="0" applyFont="1"/>
    <xf numFmtId="49" fontId="3" fillId="2" borderId="1" xfId="0" applyNumberFormat="1" applyFont="1" applyFill="1" applyBorder="1" applyAlignment="1" applyProtection="1">
      <alignment horizontal="center"/>
      <protection locked="0"/>
    </xf>
    <xf numFmtId="49" fontId="11" fillId="3" borderId="14" xfId="0" applyNumberFormat="1" applyFont="1" applyFill="1" applyBorder="1" applyAlignment="1" applyProtection="1">
      <alignment horizontal="center" vertical="center"/>
      <protection locked="0"/>
    </xf>
    <xf numFmtId="0" fontId="12" fillId="0" borderId="14" xfId="0" applyFont="1" applyBorder="1" applyProtection="1">
      <protection locked="0"/>
    </xf>
    <xf numFmtId="0" fontId="11" fillId="3" borderId="14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>
      <alignment horizontal="right" vertical="center" wrapText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8" fillId="0" borderId="5" xfId="0" applyFont="1" applyBorder="1"/>
    <xf numFmtId="0" fontId="11" fillId="3" borderId="11" xfId="0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1" fillId="3" borderId="11" xfId="0" applyFont="1" applyFill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10" fontId="11" fillId="3" borderId="5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right" vertical="center"/>
    </xf>
    <xf numFmtId="0" fontId="12" fillId="0" borderId="18" xfId="0" applyFont="1" applyBorder="1" applyAlignment="1">
      <alignment horizontal="right"/>
    </xf>
    <xf numFmtId="10" fontId="11" fillId="3" borderId="3" xfId="0" applyNumberFormat="1" applyFont="1" applyFill="1" applyBorder="1" applyAlignment="1">
      <alignment horizontal="center" vertical="center"/>
    </xf>
    <xf numFmtId="10" fontId="11" fillId="3" borderId="2" xfId="0" applyNumberFormat="1" applyFont="1" applyFill="1" applyBorder="1" applyAlignment="1">
      <alignment horizontal="center" vertical="center"/>
    </xf>
    <xf numFmtId="10" fontId="11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>
      <alignment vertical="center"/>
    </xf>
    <xf numFmtId="0" fontId="11" fillId="3" borderId="12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8" fillId="0" borderId="14" xfId="0" applyFont="1" applyBorder="1" applyAlignment="1" applyProtection="1">
      <alignment horizontal="left"/>
      <protection locked="0"/>
    </xf>
    <xf numFmtId="0" fontId="18" fillId="0" borderId="17" xfId="0" applyFont="1" applyBorder="1" applyAlignment="1" applyProtection="1">
      <alignment horizontal="left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1" fillId="3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Border="1"/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0" fontId="11" fillId="3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;;;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;;;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;;;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DAB56C"/>
      <color rgb="FF9C0006"/>
      <color rgb="FFFFC7CE"/>
      <color rgb="FFC6EFCE"/>
      <color rgb="FF006100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93"/>
  <sheetViews>
    <sheetView showGridLines="0" tabSelected="1" view="pageLayout" zoomScale="130" zoomScaleNormal="100" zoomScalePageLayoutView="130" workbookViewId="0">
      <selection activeCell="AJ67" sqref="AJ67"/>
    </sheetView>
  </sheetViews>
  <sheetFormatPr defaultColWidth="2.54296875" defaultRowHeight="11.5" customHeight="1" x14ac:dyDescent="0.35"/>
  <cols>
    <col min="1" max="19" width="2.54296875" style="2"/>
    <col min="20" max="20" width="2.54296875" style="2" customWidth="1"/>
    <col min="21" max="16384" width="2.54296875" style="2"/>
  </cols>
  <sheetData>
    <row r="1" spans="1:39" ht="5.5" customHeight="1" x14ac:dyDescent="0.3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</row>
    <row r="2" spans="1:39" ht="11.5" customHeight="1" x14ac:dyDescent="0.35">
      <c r="A2" s="127" t="s">
        <v>0</v>
      </c>
      <c r="B2" s="127"/>
      <c r="C2" s="127"/>
      <c r="D2" s="127"/>
      <c r="E2" s="127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3"/>
      <c r="Z2" s="127" t="s">
        <v>11</v>
      </c>
      <c r="AA2" s="127"/>
      <c r="AB2" s="127"/>
      <c r="AC2" s="127"/>
      <c r="AD2" s="127"/>
      <c r="AE2" s="129"/>
      <c r="AF2" s="129"/>
      <c r="AG2" s="129"/>
      <c r="AH2" s="129"/>
      <c r="AI2" s="4"/>
      <c r="AJ2" s="137" t="s">
        <v>14</v>
      </c>
      <c r="AK2" s="137"/>
      <c r="AL2" s="137"/>
      <c r="AM2" s="5"/>
    </row>
    <row r="3" spans="1:39" ht="11.5" customHeight="1" x14ac:dyDescent="0.35">
      <c r="A3" s="127" t="s">
        <v>1</v>
      </c>
      <c r="B3" s="127"/>
      <c r="C3" s="127"/>
      <c r="D3" s="127"/>
      <c r="E3" s="127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3"/>
      <c r="Z3" s="127" t="s">
        <v>2</v>
      </c>
      <c r="AA3" s="127"/>
      <c r="AB3" s="127"/>
      <c r="AC3" s="127"/>
      <c r="AD3" s="127"/>
      <c r="AE3" s="131"/>
      <c r="AF3" s="131"/>
      <c r="AG3" s="131"/>
      <c r="AH3" s="131"/>
      <c r="AI3" s="4"/>
      <c r="AJ3" s="137"/>
      <c r="AK3" s="137"/>
      <c r="AL3" s="137"/>
      <c r="AM3" s="5"/>
    </row>
    <row r="4" spans="1:39" ht="11.5" customHeight="1" x14ac:dyDescent="0.35">
      <c r="A4" s="127" t="s">
        <v>3</v>
      </c>
      <c r="B4" s="127"/>
      <c r="C4" s="127"/>
      <c r="D4" s="127"/>
      <c r="E4" s="127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137"/>
      <c r="AK4" s="137"/>
      <c r="AL4" s="137"/>
      <c r="AM4" s="5"/>
    </row>
    <row r="5" spans="1:39" ht="11.5" customHeight="1" x14ac:dyDescent="0.35">
      <c r="A5" s="127" t="s">
        <v>4</v>
      </c>
      <c r="B5" s="127"/>
      <c r="C5" s="127"/>
      <c r="D5" s="127"/>
      <c r="E5" s="127"/>
      <c r="F5" s="132"/>
      <c r="G5" s="132"/>
      <c r="H5" s="132"/>
      <c r="I5" s="132"/>
      <c r="J5" s="4"/>
      <c r="K5" s="128" t="s">
        <v>5</v>
      </c>
      <c r="L5" s="128"/>
      <c r="M5" s="129">
        <v>89</v>
      </c>
      <c r="N5" s="129"/>
      <c r="O5" s="4" t="s">
        <v>12</v>
      </c>
      <c r="P5" s="130">
        <f>ROUND((M5-32)*5/9,1)</f>
        <v>31.7</v>
      </c>
      <c r="Q5" s="130"/>
      <c r="R5" s="4" t="s">
        <v>6</v>
      </c>
      <c r="S5" s="128" t="s">
        <v>7</v>
      </c>
      <c r="T5" s="128"/>
      <c r="U5" s="128"/>
      <c r="V5" s="128"/>
      <c r="W5" s="1"/>
      <c r="X5" s="6" t="s">
        <v>8</v>
      </c>
      <c r="Y5" s="4"/>
      <c r="Z5" s="127" t="s">
        <v>18</v>
      </c>
      <c r="AA5" s="127"/>
      <c r="AB5" s="127"/>
      <c r="AC5" s="127"/>
      <c r="AD5" s="127"/>
      <c r="AE5" s="138"/>
      <c r="AF5" s="138"/>
      <c r="AG5" s="138"/>
      <c r="AH5" s="138"/>
      <c r="AI5" s="138"/>
      <c r="AJ5" s="138"/>
      <c r="AK5" s="138"/>
      <c r="AL5" s="138"/>
      <c r="AM5" s="4"/>
    </row>
    <row r="6" spans="1:39" ht="11.5" customHeight="1" x14ac:dyDescent="0.35">
      <c r="A6" s="127" t="s">
        <v>19</v>
      </c>
      <c r="B6" s="127"/>
      <c r="C6" s="127"/>
      <c r="D6" s="127"/>
      <c r="E6" s="127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4"/>
      <c r="Z6" s="127" t="s">
        <v>9</v>
      </c>
      <c r="AA6" s="127"/>
      <c r="AB6" s="127"/>
      <c r="AC6" s="127"/>
      <c r="AD6" s="127"/>
      <c r="AE6" s="133"/>
      <c r="AF6" s="133"/>
      <c r="AG6" s="133"/>
      <c r="AH6" s="133"/>
      <c r="AI6" s="133"/>
      <c r="AJ6" s="133"/>
      <c r="AK6" s="133"/>
      <c r="AL6" s="133"/>
      <c r="AM6" s="4"/>
    </row>
    <row r="7" spans="1:39" ht="11.5" customHeight="1" thickBot="1" x14ac:dyDescent="0.4">
      <c r="A7" s="36"/>
      <c r="B7" s="36"/>
      <c r="C7" s="36"/>
      <c r="D7" s="36"/>
      <c r="E7" s="36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8"/>
      <c r="Z7" s="36"/>
      <c r="AA7" s="36"/>
      <c r="AB7" s="36"/>
      <c r="AC7" s="36"/>
      <c r="AD7" s="36"/>
      <c r="AE7" s="37"/>
      <c r="AF7" s="37"/>
      <c r="AG7" s="37"/>
      <c r="AH7" s="37"/>
      <c r="AI7" s="37"/>
      <c r="AJ7" s="37"/>
      <c r="AK7" s="37"/>
      <c r="AL7" s="37"/>
      <c r="AM7" s="38"/>
    </row>
    <row r="8" spans="1:39" ht="11.5" customHeight="1" x14ac:dyDescent="0.35">
      <c r="A8" s="7" t="s">
        <v>44</v>
      </c>
      <c r="B8" s="8"/>
      <c r="C8" s="8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  <c r="X8" s="10"/>
      <c r="Y8" s="11"/>
      <c r="Z8" s="12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11.25" customHeight="1" x14ac:dyDescent="0.35">
      <c r="A9" s="7"/>
      <c r="B9" s="8"/>
      <c r="C9" s="8"/>
      <c r="D9" s="8"/>
      <c r="E9" s="8"/>
      <c r="F9" s="9"/>
      <c r="G9" s="134" t="s">
        <v>45</v>
      </c>
      <c r="H9" s="134"/>
      <c r="I9" s="134"/>
      <c r="J9" s="134"/>
      <c r="K9" s="134"/>
      <c r="L9" s="88"/>
      <c r="M9" s="88"/>
      <c r="N9" s="88"/>
      <c r="O9" s="88"/>
      <c r="P9" s="88"/>
      <c r="Q9" s="88"/>
      <c r="R9" s="88"/>
      <c r="S9" s="88"/>
      <c r="T9" s="88"/>
      <c r="V9" s="139" t="s">
        <v>48</v>
      </c>
      <c r="W9" s="139"/>
      <c r="X9" s="139"/>
      <c r="Y9" s="139"/>
      <c r="Z9" s="139"/>
      <c r="AA9" s="139"/>
      <c r="AB9" s="88">
        <v>480</v>
      </c>
      <c r="AC9" s="88"/>
      <c r="AD9" s="88"/>
      <c r="AE9" s="88"/>
      <c r="AF9" s="88"/>
      <c r="AG9" s="88"/>
      <c r="AH9" s="88"/>
      <c r="AI9" s="88"/>
      <c r="AJ9" s="88"/>
      <c r="AK9" s="11"/>
      <c r="AL9" s="11"/>
      <c r="AM9" s="11"/>
    </row>
    <row r="10" spans="1:39" ht="11.25" customHeight="1" x14ac:dyDescent="0.35">
      <c r="A10" s="16"/>
      <c r="B10" s="16"/>
      <c r="C10" s="16"/>
      <c r="D10" s="16"/>
      <c r="E10" s="16"/>
      <c r="F10" s="16"/>
      <c r="G10" s="134" t="s">
        <v>47</v>
      </c>
      <c r="H10" s="134"/>
      <c r="I10" s="134"/>
      <c r="J10" s="134"/>
      <c r="K10" s="134"/>
      <c r="L10" s="59"/>
      <c r="M10" s="59"/>
      <c r="N10" s="59"/>
      <c r="O10" s="59"/>
      <c r="P10" s="59"/>
      <c r="Q10" s="59"/>
      <c r="R10" s="59"/>
      <c r="S10" s="59"/>
      <c r="T10" s="59"/>
      <c r="V10" s="139" t="s">
        <v>46</v>
      </c>
      <c r="W10" s="139"/>
      <c r="X10" s="139"/>
      <c r="Y10" s="139"/>
      <c r="Z10" s="139"/>
      <c r="AA10" s="139"/>
      <c r="AB10" s="59"/>
      <c r="AC10" s="59"/>
      <c r="AD10" s="59"/>
      <c r="AE10" s="59"/>
      <c r="AF10" s="59"/>
      <c r="AG10" s="59"/>
      <c r="AH10" s="59"/>
      <c r="AI10" s="59"/>
      <c r="AJ10" s="59"/>
      <c r="AK10" s="11"/>
      <c r="AL10" s="11"/>
      <c r="AM10" s="11"/>
    </row>
    <row r="11" spans="1:39" ht="11.25" customHeight="1" x14ac:dyDescent="0.35">
      <c r="A11" s="16"/>
      <c r="B11" s="11"/>
      <c r="C11" s="11"/>
      <c r="D11" s="11"/>
      <c r="E11" s="11"/>
      <c r="F11" s="11"/>
      <c r="G11" s="134" t="s">
        <v>49</v>
      </c>
      <c r="H11" s="134"/>
      <c r="I11" s="134"/>
      <c r="J11" s="134"/>
      <c r="K11" s="134"/>
      <c r="L11" s="59"/>
      <c r="M11" s="59"/>
      <c r="N11" s="59"/>
      <c r="O11" s="59"/>
      <c r="P11" s="59"/>
      <c r="Q11" s="59"/>
      <c r="R11" s="59"/>
      <c r="S11" s="59"/>
      <c r="T11" s="59"/>
      <c r="V11" s="139" t="s">
        <v>50</v>
      </c>
      <c r="W11" s="139"/>
      <c r="X11" s="139"/>
      <c r="Y11" s="139"/>
      <c r="Z11" s="139"/>
      <c r="AA11" s="139"/>
      <c r="AB11" s="59"/>
      <c r="AC11" s="59"/>
      <c r="AD11" s="59"/>
      <c r="AE11" s="59"/>
      <c r="AF11" s="59"/>
      <c r="AG11" s="59"/>
      <c r="AH11" s="59"/>
      <c r="AI11" s="59"/>
      <c r="AJ11" s="59"/>
      <c r="AK11" s="11"/>
      <c r="AL11" s="11"/>
      <c r="AM11" s="11"/>
    </row>
    <row r="12" spans="1:39" ht="11.25" customHeight="1" x14ac:dyDescent="0.35">
      <c r="A12" s="16"/>
      <c r="B12" s="11"/>
      <c r="C12" s="11"/>
      <c r="D12" s="11"/>
      <c r="E12" s="11"/>
      <c r="F12" s="11"/>
      <c r="G12" s="134" t="s">
        <v>51</v>
      </c>
      <c r="H12" s="134"/>
      <c r="I12" s="134"/>
      <c r="J12" s="134"/>
      <c r="K12" s="134"/>
      <c r="L12" s="59"/>
      <c r="M12" s="59"/>
      <c r="N12" s="59"/>
      <c r="O12" s="59"/>
      <c r="P12" s="59"/>
      <c r="Q12" s="59"/>
      <c r="R12" s="59"/>
      <c r="S12" s="59"/>
      <c r="T12" s="59"/>
      <c r="V12" s="139" t="s">
        <v>52</v>
      </c>
      <c r="W12" s="139"/>
      <c r="X12" s="139"/>
      <c r="Y12" s="139"/>
      <c r="Z12" s="139"/>
      <c r="AA12" s="139"/>
      <c r="AB12" s="59"/>
      <c r="AC12" s="59"/>
      <c r="AD12" s="59"/>
      <c r="AE12" s="59"/>
      <c r="AF12" s="59"/>
      <c r="AG12" s="59"/>
      <c r="AH12" s="59"/>
      <c r="AI12" s="59"/>
      <c r="AJ12" s="59"/>
      <c r="AK12" s="11"/>
      <c r="AL12" s="11"/>
      <c r="AM12" s="11"/>
    </row>
    <row r="13" spans="1:39" ht="11.5" customHeight="1" x14ac:dyDescent="0.35">
      <c r="A13" s="16"/>
      <c r="B13" s="11"/>
      <c r="C13" s="11"/>
      <c r="D13" s="11"/>
      <c r="E13" s="11"/>
      <c r="F13" s="11"/>
      <c r="G13" s="134" t="s">
        <v>53</v>
      </c>
      <c r="H13" s="134"/>
      <c r="I13" s="134"/>
      <c r="J13" s="134"/>
      <c r="K13" s="134"/>
      <c r="L13" s="88"/>
      <c r="M13" s="88"/>
      <c r="N13" s="88"/>
      <c r="O13" s="88"/>
      <c r="P13" s="88"/>
      <c r="Q13" s="88"/>
      <c r="R13" s="88"/>
      <c r="S13" s="88"/>
      <c r="T13" s="88"/>
      <c r="V13" s="139" t="s">
        <v>54</v>
      </c>
      <c r="W13" s="139"/>
      <c r="X13" s="139"/>
      <c r="Y13" s="139"/>
      <c r="Z13" s="139"/>
      <c r="AA13" s="139"/>
      <c r="AB13" s="88"/>
      <c r="AC13" s="88"/>
      <c r="AD13" s="88"/>
      <c r="AE13" s="88"/>
      <c r="AF13" s="88"/>
      <c r="AG13" s="88"/>
      <c r="AH13" s="88"/>
      <c r="AI13" s="88"/>
      <c r="AJ13" s="88"/>
      <c r="AK13" s="11"/>
      <c r="AL13" s="11"/>
      <c r="AM13" s="11"/>
    </row>
    <row r="14" spans="1:39" ht="11.5" customHeight="1" thickBot="1" x14ac:dyDescent="0.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7"/>
      <c r="Y14" s="18"/>
      <c r="Z14" s="18"/>
      <c r="AA14" s="18"/>
      <c r="AB14" s="18"/>
      <c r="AC14" s="17"/>
      <c r="AD14" s="17"/>
      <c r="AE14" s="17"/>
      <c r="AF14" s="19"/>
      <c r="AG14" s="19"/>
      <c r="AH14" s="19"/>
      <c r="AI14" s="19"/>
      <c r="AJ14" s="19"/>
      <c r="AK14" s="19"/>
      <c r="AL14" s="19"/>
      <c r="AM14" s="19"/>
    </row>
    <row r="15" spans="1:39" ht="11.5" customHeight="1" x14ac:dyDescent="0.35">
      <c r="A15" s="7" t="s">
        <v>13</v>
      </c>
      <c r="B15" s="20"/>
      <c r="C15" s="20"/>
      <c r="D15" s="20"/>
      <c r="E15" s="20"/>
      <c r="F15" s="20"/>
      <c r="G15" s="20"/>
      <c r="H15" s="20"/>
      <c r="I15" s="20"/>
      <c r="J15" s="9"/>
      <c r="K15" s="9"/>
      <c r="L15" s="21"/>
      <c r="M15" s="11"/>
      <c r="N15" s="10"/>
      <c r="O15" s="10"/>
      <c r="P15" s="10"/>
      <c r="Q15" s="10"/>
      <c r="R15" s="10"/>
      <c r="S15" s="10"/>
      <c r="T15" s="10"/>
      <c r="U15" s="10"/>
      <c r="V15" s="22"/>
      <c r="W15" s="22"/>
      <c r="X15" s="22"/>
      <c r="Y15" s="21"/>
      <c r="Z15" s="2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 ht="11.5" customHeight="1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3"/>
    </row>
    <row r="17" spans="1:39" ht="11.5" customHeight="1" x14ac:dyDescent="0.35">
      <c r="A17" s="23"/>
      <c r="B17" s="13" t="s">
        <v>25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04" t="s">
        <v>24</v>
      </c>
      <c r="AI17" s="104"/>
      <c r="AJ17" s="104"/>
      <c r="AK17" s="104"/>
      <c r="AL17" s="104"/>
      <c r="AM17" s="23"/>
    </row>
    <row r="18" spans="1:39" ht="10.75" customHeight="1" x14ac:dyDescent="0.35">
      <c r="A18" s="23"/>
      <c r="B18" s="111" t="s">
        <v>77</v>
      </c>
      <c r="C18" s="112"/>
      <c r="D18" s="112"/>
      <c r="E18" s="113"/>
      <c r="F18" s="140" t="s">
        <v>59</v>
      </c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6"/>
      <c r="AH18" s="105"/>
      <c r="AI18" s="117"/>
      <c r="AJ18" s="117"/>
      <c r="AK18" s="117"/>
      <c r="AL18" s="118"/>
      <c r="AM18" s="11"/>
    </row>
    <row r="19" spans="1:39" ht="10.75" customHeight="1" x14ac:dyDescent="0.35">
      <c r="A19" s="23"/>
      <c r="B19" s="111" t="s">
        <v>78</v>
      </c>
      <c r="C19" s="112"/>
      <c r="D19" s="112"/>
      <c r="E19" s="113"/>
      <c r="F19" s="140" t="s">
        <v>60</v>
      </c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6"/>
      <c r="AH19" s="105"/>
      <c r="AI19" s="117"/>
      <c r="AJ19" s="117"/>
      <c r="AK19" s="117"/>
      <c r="AL19" s="118"/>
      <c r="AM19" s="11"/>
    </row>
    <row r="20" spans="1:39" ht="10.75" customHeight="1" x14ac:dyDescent="0.35">
      <c r="A20" s="23"/>
      <c r="B20" s="111" t="s">
        <v>79</v>
      </c>
      <c r="C20" s="112"/>
      <c r="D20" s="112"/>
      <c r="E20" s="113"/>
      <c r="F20" s="140" t="s">
        <v>26</v>
      </c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6"/>
      <c r="AH20" s="105"/>
      <c r="AI20" s="117"/>
      <c r="AJ20" s="117"/>
      <c r="AK20" s="117"/>
      <c r="AL20" s="118"/>
      <c r="AM20" s="11"/>
    </row>
    <row r="21" spans="1:39" ht="10.5" customHeight="1" x14ac:dyDescent="0.35">
      <c r="A21" s="23"/>
      <c r="B21" s="111" t="s">
        <v>80</v>
      </c>
      <c r="C21" s="112"/>
      <c r="D21" s="112"/>
      <c r="E21" s="113"/>
      <c r="F21" s="114" t="s">
        <v>76</v>
      </c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6"/>
      <c r="AH21" s="105"/>
      <c r="AI21" s="117"/>
      <c r="AJ21" s="117"/>
      <c r="AK21" s="117"/>
      <c r="AL21" s="118"/>
      <c r="AM21" s="11"/>
    </row>
    <row r="22" spans="1:39" ht="21.5" customHeight="1" x14ac:dyDescent="0.35">
      <c r="A22" s="23"/>
      <c r="B22" s="111" t="s">
        <v>81</v>
      </c>
      <c r="C22" s="112"/>
      <c r="D22" s="112"/>
      <c r="E22" s="113"/>
      <c r="F22" s="114" t="s">
        <v>106</v>
      </c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6"/>
      <c r="AH22" s="105"/>
      <c r="AI22" s="117"/>
      <c r="AJ22" s="117"/>
      <c r="AK22" s="117"/>
      <c r="AL22" s="118"/>
      <c r="AM22" s="11"/>
    </row>
    <row r="23" spans="1:39" ht="10.75" customHeight="1" x14ac:dyDescent="0.35">
      <c r="A23" s="23"/>
      <c r="B23" s="111" t="s">
        <v>82</v>
      </c>
      <c r="C23" s="112"/>
      <c r="D23" s="112"/>
      <c r="E23" s="113"/>
      <c r="F23" s="114" t="s">
        <v>83</v>
      </c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6"/>
      <c r="AH23" s="105"/>
      <c r="AI23" s="117"/>
      <c r="AJ23" s="117"/>
      <c r="AK23" s="117"/>
      <c r="AL23" s="118"/>
      <c r="AM23" s="11"/>
    </row>
    <row r="24" spans="1:39" ht="10.75" customHeight="1" x14ac:dyDescent="0.35">
      <c r="A24" s="23"/>
      <c r="B24" s="111" t="s">
        <v>85</v>
      </c>
      <c r="C24" s="112"/>
      <c r="D24" s="112"/>
      <c r="E24" s="113"/>
      <c r="F24" s="114" t="s">
        <v>84</v>
      </c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6"/>
      <c r="AH24" s="105"/>
      <c r="AI24" s="117"/>
      <c r="AJ24" s="117"/>
      <c r="AK24" s="117"/>
      <c r="AL24" s="118"/>
      <c r="AM24" s="13"/>
    </row>
    <row r="25" spans="1:39" ht="10.75" customHeight="1" x14ac:dyDescent="0.35">
      <c r="A25" s="23"/>
      <c r="B25" s="111" t="s">
        <v>86</v>
      </c>
      <c r="C25" s="112"/>
      <c r="D25" s="112"/>
      <c r="E25" s="113"/>
      <c r="F25" s="114" t="s">
        <v>89</v>
      </c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6"/>
      <c r="AH25" s="105"/>
      <c r="AI25" s="117"/>
      <c r="AJ25" s="117"/>
      <c r="AK25" s="117"/>
      <c r="AL25" s="118"/>
      <c r="AM25" s="13"/>
    </row>
    <row r="26" spans="1:39" ht="10.75" customHeight="1" x14ac:dyDescent="0.35">
      <c r="A26" s="23"/>
      <c r="B26" s="111" t="s">
        <v>87</v>
      </c>
      <c r="C26" s="112"/>
      <c r="D26" s="112"/>
      <c r="E26" s="113"/>
      <c r="F26" s="114" t="s">
        <v>90</v>
      </c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6"/>
      <c r="AH26" s="105"/>
      <c r="AI26" s="117"/>
      <c r="AJ26" s="117"/>
      <c r="AK26" s="117"/>
      <c r="AL26" s="118"/>
      <c r="AM26" s="13"/>
    </row>
    <row r="27" spans="1:39" ht="10.75" customHeight="1" x14ac:dyDescent="0.35">
      <c r="A27" s="23"/>
      <c r="B27" s="111" t="s">
        <v>88</v>
      </c>
      <c r="C27" s="112"/>
      <c r="D27" s="112"/>
      <c r="E27" s="113"/>
      <c r="F27" s="114" t="s">
        <v>61</v>
      </c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6"/>
      <c r="AH27" s="105"/>
      <c r="AI27" s="117"/>
      <c r="AJ27" s="117"/>
      <c r="AK27" s="117"/>
      <c r="AL27" s="118"/>
      <c r="AM27" s="13"/>
    </row>
    <row r="28" spans="1:39" ht="10.75" customHeight="1" x14ac:dyDescent="0.35">
      <c r="A28" s="23"/>
      <c r="B28" s="13"/>
      <c r="C28" s="44"/>
      <c r="D28" s="44"/>
      <c r="E28" s="44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14"/>
      <c r="AI28" s="56"/>
      <c r="AJ28" s="56"/>
      <c r="AK28" s="56"/>
      <c r="AL28" s="56"/>
      <c r="AM28" s="13"/>
    </row>
    <row r="29" spans="1:39" ht="11.5" customHeight="1" thickBot="1" x14ac:dyDescent="0.4">
      <c r="A29" s="24"/>
      <c r="B29" s="24"/>
      <c r="C29" s="24"/>
      <c r="D29" s="24"/>
      <c r="E29" s="24"/>
      <c r="F29" s="24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8"/>
      <c r="AL29" s="18"/>
      <c r="AM29" s="18"/>
    </row>
    <row r="30" spans="1:39" ht="11.5" customHeight="1" x14ac:dyDescent="0.35">
      <c r="A30" s="26" t="s">
        <v>104</v>
      </c>
      <c r="B30" s="27"/>
      <c r="C30" s="27"/>
      <c r="D30" s="27"/>
      <c r="E30" s="27"/>
      <c r="F30" s="27"/>
      <c r="G30" s="28"/>
      <c r="H30" s="28"/>
      <c r="I30" s="28"/>
      <c r="J30" s="28"/>
      <c r="K30" s="28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</row>
    <row r="31" spans="1:39" ht="11.5" customHeight="1" x14ac:dyDescent="0.35">
      <c r="A31" s="7"/>
      <c r="B31" s="33"/>
      <c r="C31" s="33"/>
      <c r="D31" s="33"/>
      <c r="E31" s="33"/>
      <c r="F31" s="33"/>
      <c r="G31" s="34"/>
      <c r="H31" s="34"/>
      <c r="I31" s="34"/>
      <c r="J31" s="34"/>
      <c r="K31" s="34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 spans="1:39" ht="11.5" customHeight="1" x14ac:dyDescent="0.35">
      <c r="A32" s="11"/>
      <c r="B32" s="73" t="s">
        <v>105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Z32" s="13"/>
      <c r="AA32" s="13"/>
      <c r="AB32" s="50"/>
      <c r="AC32" s="67" t="s">
        <v>62</v>
      </c>
      <c r="AD32" s="68"/>
      <c r="AE32" s="69"/>
      <c r="AF32" s="79" t="s">
        <v>68</v>
      </c>
      <c r="AG32" s="79"/>
      <c r="AH32" s="79"/>
      <c r="AI32" s="125" t="s">
        <v>24</v>
      </c>
      <c r="AJ32" s="125"/>
      <c r="AK32" s="125"/>
    </row>
    <row r="33" spans="1:37" ht="11.5" customHeight="1" x14ac:dyDescent="0.35">
      <c r="A33" s="11"/>
      <c r="B33" s="106" t="s">
        <v>28</v>
      </c>
      <c r="C33" s="106"/>
      <c r="D33" s="106"/>
      <c r="E33" s="106"/>
      <c r="F33" s="106"/>
      <c r="G33" s="106"/>
      <c r="H33" s="73" t="s">
        <v>38</v>
      </c>
      <c r="I33" s="73"/>
      <c r="J33" s="73"/>
      <c r="K33" s="73" t="s">
        <v>39</v>
      </c>
      <c r="L33" s="73"/>
      <c r="M33" s="73"/>
      <c r="N33" s="73" t="s">
        <v>40</v>
      </c>
      <c r="O33" s="73"/>
      <c r="P33" s="73"/>
      <c r="Q33" s="73" t="s">
        <v>41</v>
      </c>
      <c r="R33" s="73"/>
      <c r="S33" s="73"/>
      <c r="T33" s="73" t="s">
        <v>42</v>
      </c>
      <c r="U33" s="73"/>
      <c r="V33" s="73"/>
      <c r="W33" s="73" t="s">
        <v>15</v>
      </c>
      <c r="X33" s="73"/>
      <c r="Z33" s="51"/>
      <c r="AA33" s="51"/>
      <c r="AB33" s="52"/>
      <c r="AC33" s="70"/>
      <c r="AD33" s="71"/>
      <c r="AE33" s="72"/>
      <c r="AF33" s="79"/>
      <c r="AG33" s="79"/>
      <c r="AH33" s="79"/>
      <c r="AI33" s="125"/>
      <c r="AJ33" s="125"/>
      <c r="AK33" s="125"/>
    </row>
    <row r="34" spans="1:37" ht="11.5" customHeight="1" x14ac:dyDescent="0.35">
      <c r="A34" s="11"/>
      <c r="B34" s="74" t="s">
        <v>91</v>
      </c>
      <c r="C34" s="74"/>
      <c r="D34" s="74"/>
      <c r="E34" s="74"/>
      <c r="F34" s="74"/>
      <c r="G34" s="74"/>
      <c r="H34" s="74">
        <v>52</v>
      </c>
      <c r="I34" s="74"/>
      <c r="J34" s="74"/>
      <c r="K34" s="74">
        <v>48</v>
      </c>
      <c r="L34" s="74"/>
      <c r="M34" s="74"/>
      <c r="N34" s="74">
        <v>56</v>
      </c>
      <c r="O34" s="74"/>
      <c r="P34" s="74"/>
      <c r="Q34" s="74">
        <v>24</v>
      </c>
      <c r="R34" s="74"/>
      <c r="S34" s="74"/>
      <c r="T34" s="74">
        <v>34</v>
      </c>
      <c r="U34" s="74"/>
      <c r="V34" s="74"/>
      <c r="W34" s="75" t="s">
        <v>63</v>
      </c>
      <c r="X34" s="60"/>
      <c r="Z34" s="79" t="s">
        <v>67</v>
      </c>
      <c r="AA34" s="79"/>
      <c r="AB34" s="79"/>
      <c r="AC34" s="119">
        <f t="shared" ref="AC34:AC39" si="0">IF(OR(H34="",K34="",N34=""),"N/A",(MAX(H34,K34,N34)/MIN(H34,K34,N34)-1))</f>
        <v>0.16666666666666674</v>
      </c>
      <c r="AD34" s="119"/>
      <c r="AE34" s="119"/>
      <c r="AF34" s="84" t="s">
        <v>69</v>
      </c>
      <c r="AG34" s="85"/>
      <c r="AH34" s="86"/>
      <c r="AI34" s="87" t="str">
        <f>IF(AF34="N/A","N/A",IF(ISNUMBER(AC34)=FALSE,"-",IF(AC34&gt;0.5,"FAIL","PASS")))</f>
        <v>PASS</v>
      </c>
      <c r="AJ34" s="87"/>
      <c r="AK34" s="87"/>
    </row>
    <row r="35" spans="1:37" ht="11.5" customHeight="1" x14ac:dyDescent="0.35">
      <c r="A35" s="11"/>
      <c r="B35" s="74" t="s">
        <v>92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5"/>
      <c r="X35" s="60"/>
      <c r="Z35" s="79" t="s">
        <v>67</v>
      </c>
      <c r="AA35" s="79"/>
      <c r="AB35" s="79"/>
      <c r="AC35" s="122" t="str">
        <f t="shared" si="0"/>
        <v>N/A</v>
      </c>
      <c r="AD35" s="123"/>
      <c r="AE35" s="124"/>
      <c r="AF35" s="84" t="s">
        <v>70</v>
      </c>
      <c r="AG35" s="85"/>
      <c r="AH35" s="86"/>
      <c r="AI35" s="87" t="str">
        <f t="shared" ref="AI35:AI39" si="1">IF(AF35="N/A","N/A",IF(ISNUMBER(AC35)=FALSE,"-",IF(AC35&gt;0.5,"FAIL","PASS")))</f>
        <v>N/A</v>
      </c>
      <c r="AJ35" s="87"/>
      <c r="AK35" s="87"/>
    </row>
    <row r="36" spans="1:37" ht="11.5" customHeight="1" x14ac:dyDescent="0.35">
      <c r="A36" s="11"/>
      <c r="B36" s="74" t="s">
        <v>93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5"/>
      <c r="X36" s="60"/>
      <c r="Z36" s="79" t="s">
        <v>67</v>
      </c>
      <c r="AA36" s="79"/>
      <c r="AB36" s="79"/>
      <c r="AC36" s="122" t="str">
        <f t="shared" si="0"/>
        <v>N/A</v>
      </c>
      <c r="AD36" s="123"/>
      <c r="AE36" s="124"/>
      <c r="AF36" s="84" t="s">
        <v>70</v>
      </c>
      <c r="AG36" s="85"/>
      <c r="AH36" s="86"/>
      <c r="AI36" s="87" t="str">
        <f t="shared" si="1"/>
        <v>N/A</v>
      </c>
      <c r="AJ36" s="87"/>
      <c r="AK36" s="87"/>
    </row>
    <row r="37" spans="1:37" ht="11.5" customHeight="1" x14ac:dyDescent="0.35">
      <c r="A37" s="11"/>
      <c r="B37" s="74" t="s">
        <v>94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5"/>
      <c r="X37" s="60"/>
      <c r="Z37" s="79" t="s">
        <v>67</v>
      </c>
      <c r="AA37" s="79"/>
      <c r="AB37" s="79"/>
      <c r="AC37" s="122" t="str">
        <f t="shared" si="0"/>
        <v>N/A</v>
      </c>
      <c r="AD37" s="123"/>
      <c r="AE37" s="124"/>
      <c r="AF37" s="84" t="s">
        <v>70</v>
      </c>
      <c r="AG37" s="85"/>
      <c r="AH37" s="86"/>
      <c r="AI37" s="87" t="str">
        <f t="shared" si="1"/>
        <v>N/A</v>
      </c>
      <c r="AJ37" s="87"/>
      <c r="AK37" s="87"/>
    </row>
    <row r="38" spans="1:37" ht="11.5" customHeight="1" x14ac:dyDescent="0.35">
      <c r="A38" s="11"/>
      <c r="B38" s="74" t="s">
        <v>95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5"/>
      <c r="X38" s="60"/>
      <c r="Z38" s="79" t="s">
        <v>67</v>
      </c>
      <c r="AA38" s="79"/>
      <c r="AB38" s="79"/>
      <c r="AC38" s="119" t="str">
        <f t="shared" si="0"/>
        <v>N/A</v>
      </c>
      <c r="AD38" s="119"/>
      <c r="AE38" s="119"/>
      <c r="AF38" s="84" t="s">
        <v>70</v>
      </c>
      <c r="AG38" s="85"/>
      <c r="AH38" s="86"/>
      <c r="AI38" s="87" t="str">
        <f t="shared" si="1"/>
        <v>N/A</v>
      </c>
      <c r="AJ38" s="87"/>
      <c r="AK38" s="87"/>
    </row>
    <row r="39" spans="1:37" ht="11.5" customHeight="1" x14ac:dyDescent="0.35">
      <c r="A39" s="11"/>
      <c r="B39" s="74" t="s">
        <v>96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5"/>
      <c r="X39" s="60"/>
      <c r="Z39" s="79" t="s">
        <v>67</v>
      </c>
      <c r="AA39" s="79"/>
      <c r="AB39" s="79"/>
      <c r="AC39" s="122" t="str">
        <f t="shared" si="0"/>
        <v>N/A</v>
      </c>
      <c r="AD39" s="123"/>
      <c r="AE39" s="124"/>
      <c r="AF39" s="84" t="s">
        <v>70</v>
      </c>
      <c r="AG39" s="85"/>
      <c r="AH39" s="86"/>
      <c r="AI39" s="87" t="str">
        <f t="shared" si="1"/>
        <v>N/A</v>
      </c>
      <c r="AJ39" s="87"/>
      <c r="AK39" s="87"/>
    </row>
    <row r="40" spans="1:37" ht="11.5" customHeight="1" x14ac:dyDescent="0.35">
      <c r="A40" s="11"/>
      <c r="B40" s="74" t="s">
        <v>97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5"/>
      <c r="X40" s="60"/>
      <c r="Z40" s="79" t="s">
        <v>67</v>
      </c>
      <c r="AA40" s="79"/>
      <c r="AB40" s="79"/>
      <c r="AC40" s="122" t="str">
        <f t="shared" ref="AC40:AC48" si="2">IF(OR(H40="",K40="",N40=""),"N/A",(MAX(H40,K40,N40)/MIN(H40,K40,N40)-1))</f>
        <v>N/A</v>
      </c>
      <c r="AD40" s="123"/>
      <c r="AE40" s="124"/>
      <c r="AF40" s="84" t="s">
        <v>70</v>
      </c>
      <c r="AG40" s="85"/>
      <c r="AH40" s="86"/>
      <c r="AI40" s="87" t="str">
        <f t="shared" ref="AI40:AI48" si="3">IF(AF40="N/A","N/A",IF(ISNUMBER(AC40)=FALSE,"-",IF(AC40&gt;0.5,"FAIL","PASS")))</f>
        <v>N/A</v>
      </c>
      <c r="AJ40" s="87"/>
      <c r="AK40" s="87"/>
    </row>
    <row r="41" spans="1:37" ht="11.5" customHeight="1" x14ac:dyDescent="0.35">
      <c r="A41" s="11"/>
      <c r="B41" s="74" t="s">
        <v>98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5"/>
      <c r="X41" s="60"/>
      <c r="Z41" s="79" t="s">
        <v>67</v>
      </c>
      <c r="AA41" s="79"/>
      <c r="AB41" s="79"/>
      <c r="AC41" s="122" t="str">
        <f t="shared" si="2"/>
        <v>N/A</v>
      </c>
      <c r="AD41" s="123"/>
      <c r="AE41" s="124"/>
      <c r="AF41" s="84" t="s">
        <v>70</v>
      </c>
      <c r="AG41" s="85"/>
      <c r="AH41" s="86"/>
      <c r="AI41" s="87" t="str">
        <f t="shared" si="3"/>
        <v>N/A</v>
      </c>
      <c r="AJ41" s="87"/>
      <c r="AK41" s="87"/>
    </row>
    <row r="42" spans="1:37" ht="11.5" customHeight="1" x14ac:dyDescent="0.35">
      <c r="A42" s="11"/>
      <c r="B42" s="74" t="s">
        <v>99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5"/>
      <c r="X42" s="60"/>
      <c r="Z42" s="79" t="s">
        <v>67</v>
      </c>
      <c r="AA42" s="79"/>
      <c r="AB42" s="79"/>
      <c r="AC42" s="122" t="str">
        <f t="shared" si="2"/>
        <v>N/A</v>
      </c>
      <c r="AD42" s="123"/>
      <c r="AE42" s="124"/>
      <c r="AF42" s="84" t="s">
        <v>70</v>
      </c>
      <c r="AG42" s="85"/>
      <c r="AH42" s="86"/>
      <c r="AI42" s="87" t="str">
        <f t="shared" si="3"/>
        <v>N/A</v>
      </c>
      <c r="AJ42" s="87"/>
      <c r="AK42" s="87"/>
    </row>
    <row r="43" spans="1:37" ht="11.5" customHeight="1" x14ac:dyDescent="0.35">
      <c r="A43" s="11"/>
      <c r="B43" s="74" t="s">
        <v>100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5"/>
      <c r="X43" s="60"/>
      <c r="Z43" s="79" t="s">
        <v>67</v>
      </c>
      <c r="AA43" s="79"/>
      <c r="AB43" s="79"/>
      <c r="AC43" s="122" t="str">
        <f t="shared" si="2"/>
        <v>N/A</v>
      </c>
      <c r="AD43" s="123"/>
      <c r="AE43" s="124"/>
      <c r="AF43" s="84" t="s">
        <v>70</v>
      </c>
      <c r="AG43" s="85"/>
      <c r="AH43" s="86"/>
      <c r="AI43" s="87" t="str">
        <f t="shared" si="3"/>
        <v>N/A</v>
      </c>
      <c r="AJ43" s="87"/>
      <c r="AK43" s="87"/>
    </row>
    <row r="44" spans="1:37" ht="11.5" customHeight="1" x14ac:dyDescent="0.35">
      <c r="A44" s="11"/>
      <c r="B44" s="74" t="s">
        <v>101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5"/>
      <c r="X44" s="60"/>
      <c r="Z44" s="79" t="s">
        <v>67</v>
      </c>
      <c r="AA44" s="79"/>
      <c r="AB44" s="79"/>
      <c r="AC44" s="122" t="str">
        <f t="shared" si="2"/>
        <v>N/A</v>
      </c>
      <c r="AD44" s="123"/>
      <c r="AE44" s="124"/>
      <c r="AF44" s="84" t="s">
        <v>70</v>
      </c>
      <c r="AG44" s="85"/>
      <c r="AH44" s="86"/>
      <c r="AI44" s="87" t="str">
        <f t="shared" si="3"/>
        <v>N/A</v>
      </c>
      <c r="AJ44" s="87"/>
      <c r="AK44" s="87"/>
    </row>
    <row r="45" spans="1:37" ht="11.5" customHeight="1" x14ac:dyDescent="0.35">
      <c r="A45" s="11"/>
      <c r="B45" s="74" t="s">
        <v>102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5"/>
      <c r="X45" s="60"/>
      <c r="Z45" s="79" t="s">
        <v>67</v>
      </c>
      <c r="AA45" s="79"/>
      <c r="AB45" s="79"/>
      <c r="AC45" s="122" t="str">
        <f t="shared" si="2"/>
        <v>N/A</v>
      </c>
      <c r="AD45" s="123"/>
      <c r="AE45" s="124"/>
      <c r="AF45" s="84" t="s">
        <v>70</v>
      </c>
      <c r="AG45" s="85"/>
      <c r="AH45" s="86"/>
      <c r="AI45" s="87" t="str">
        <f t="shared" si="3"/>
        <v>N/A</v>
      </c>
      <c r="AJ45" s="87"/>
      <c r="AK45" s="87"/>
    </row>
    <row r="46" spans="1:37" ht="11.5" customHeight="1" x14ac:dyDescent="0.35">
      <c r="A46" s="11"/>
      <c r="B46" s="74" t="s">
        <v>103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5"/>
      <c r="X46" s="60"/>
      <c r="Z46" s="79" t="s">
        <v>67</v>
      </c>
      <c r="AA46" s="79"/>
      <c r="AB46" s="79"/>
      <c r="AC46" s="122" t="str">
        <f t="shared" si="2"/>
        <v>N/A</v>
      </c>
      <c r="AD46" s="123"/>
      <c r="AE46" s="124"/>
      <c r="AF46" s="84" t="s">
        <v>70</v>
      </c>
      <c r="AG46" s="85"/>
      <c r="AH46" s="86"/>
      <c r="AI46" s="87" t="str">
        <f t="shared" si="3"/>
        <v>N/A</v>
      </c>
      <c r="AJ46" s="87"/>
      <c r="AK46" s="87"/>
    </row>
    <row r="47" spans="1:37" ht="11.5" customHeight="1" x14ac:dyDescent="0.35">
      <c r="A47" s="11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5"/>
      <c r="X47" s="60"/>
      <c r="Z47" s="79" t="s">
        <v>67</v>
      </c>
      <c r="AA47" s="79"/>
      <c r="AB47" s="79"/>
      <c r="AC47" s="122" t="str">
        <f t="shared" si="2"/>
        <v>N/A</v>
      </c>
      <c r="AD47" s="123"/>
      <c r="AE47" s="124"/>
      <c r="AF47" s="84" t="s">
        <v>70</v>
      </c>
      <c r="AG47" s="85"/>
      <c r="AH47" s="86"/>
      <c r="AI47" s="87" t="str">
        <f t="shared" si="3"/>
        <v>N/A</v>
      </c>
      <c r="AJ47" s="87"/>
      <c r="AK47" s="87"/>
    </row>
    <row r="48" spans="1:37" ht="11.5" customHeight="1" x14ac:dyDescent="0.35">
      <c r="A48" s="11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5"/>
      <c r="X48" s="60"/>
      <c r="Z48" s="79" t="s">
        <v>67</v>
      </c>
      <c r="AA48" s="79"/>
      <c r="AB48" s="79"/>
      <c r="AC48" s="122" t="str">
        <f t="shared" si="2"/>
        <v>N/A</v>
      </c>
      <c r="AD48" s="123"/>
      <c r="AE48" s="124"/>
      <c r="AF48" s="84" t="s">
        <v>70</v>
      </c>
      <c r="AG48" s="85"/>
      <c r="AH48" s="86"/>
      <c r="AI48" s="87" t="str">
        <f t="shared" si="3"/>
        <v>N/A</v>
      </c>
      <c r="AJ48" s="87"/>
      <c r="AK48" s="87"/>
    </row>
    <row r="49" spans="1:39" ht="11.5" customHeight="1" x14ac:dyDescent="0.35">
      <c r="A49" s="11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5"/>
      <c r="X49" s="60"/>
      <c r="Z49" s="79" t="s">
        <v>67</v>
      </c>
      <c r="AA49" s="79"/>
      <c r="AB49" s="79"/>
      <c r="AC49" s="122" t="str">
        <f t="shared" ref="AC49:AC53" si="4">IF(OR(H49="",K49="",N49=""),"N/A",(MAX(H49,K49,N49)/MIN(H49,K49,N49)-1))</f>
        <v>N/A</v>
      </c>
      <c r="AD49" s="123"/>
      <c r="AE49" s="124"/>
      <c r="AF49" s="84" t="s">
        <v>70</v>
      </c>
      <c r="AG49" s="85"/>
      <c r="AH49" s="86"/>
      <c r="AI49" s="87" t="str">
        <f t="shared" ref="AI49:AI53" si="5">IF(AF49="N/A","N/A",IF(ISNUMBER(AC49)=FALSE,"-",IF(AC49&gt;0.5,"FAIL","PASS")))</f>
        <v>N/A</v>
      </c>
      <c r="AJ49" s="87"/>
      <c r="AK49" s="87"/>
    </row>
    <row r="50" spans="1:39" ht="11.5" customHeight="1" x14ac:dyDescent="0.35">
      <c r="A50" s="11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5"/>
      <c r="X50" s="60"/>
      <c r="Z50" s="79" t="s">
        <v>67</v>
      </c>
      <c r="AA50" s="79"/>
      <c r="AB50" s="79"/>
      <c r="AC50" s="122" t="str">
        <f t="shared" si="4"/>
        <v>N/A</v>
      </c>
      <c r="AD50" s="123"/>
      <c r="AE50" s="124"/>
      <c r="AF50" s="84" t="s">
        <v>70</v>
      </c>
      <c r="AG50" s="85"/>
      <c r="AH50" s="86"/>
      <c r="AI50" s="87" t="str">
        <f t="shared" si="5"/>
        <v>N/A</v>
      </c>
      <c r="AJ50" s="87"/>
      <c r="AK50" s="87"/>
    </row>
    <row r="51" spans="1:39" ht="11.5" customHeight="1" x14ac:dyDescent="0.35">
      <c r="A51" s="11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5"/>
      <c r="X51" s="60"/>
      <c r="Z51" s="79" t="s">
        <v>67</v>
      </c>
      <c r="AA51" s="79"/>
      <c r="AB51" s="79"/>
      <c r="AC51" s="122" t="str">
        <f t="shared" si="4"/>
        <v>N/A</v>
      </c>
      <c r="AD51" s="123"/>
      <c r="AE51" s="124"/>
      <c r="AF51" s="84" t="s">
        <v>70</v>
      </c>
      <c r="AG51" s="85"/>
      <c r="AH51" s="86"/>
      <c r="AI51" s="87" t="str">
        <f t="shared" si="5"/>
        <v>N/A</v>
      </c>
      <c r="AJ51" s="87"/>
      <c r="AK51" s="87"/>
    </row>
    <row r="52" spans="1:39" ht="11.5" customHeight="1" x14ac:dyDescent="0.35">
      <c r="A52" s="11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5"/>
      <c r="X52" s="60"/>
      <c r="Z52" s="79" t="s">
        <v>67</v>
      </c>
      <c r="AA52" s="79"/>
      <c r="AB52" s="79"/>
      <c r="AC52" s="122" t="str">
        <f t="shared" si="4"/>
        <v>N/A</v>
      </c>
      <c r="AD52" s="123"/>
      <c r="AE52" s="124"/>
      <c r="AF52" s="84" t="s">
        <v>70</v>
      </c>
      <c r="AG52" s="85"/>
      <c r="AH52" s="86"/>
      <c r="AI52" s="87" t="str">
        <f t="shared" si="5"/>
        <v>N/A</v>
      </c>
      <c r="AJ52" s="87"/>
      <c r="AK52" s="87"/>
    </row>
    <row r="53" spans="1:39" ht="11.5" customHeight="1" x14ac:dyDescent="0.35">
      <c r="A53" s="11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5"/>
      <c r="X53" s="60"/>
      <c r="Y53" s="11"/>
      <c r="Z53" s="79" t="s">
        <v>67</v>
      </c>
      <c r="AA53" s="79"/>
      <c r="AB53" s="79"/>
      <c r="AC53" s="122" t="str">
        <f t="shared" si="4"/>
        <v>N/A</v>
      </c>
      <c r="AD53" s="123"/>
      <c r="AE53" s="124"/>
      <c r="AF53" s="84" t="s">
        <v>70</v>
      </c>
      <c r="AG53" s="85"/>
      <c r="AH53" s="86"/>
      <c r="AI53" s="87" t="str">
        <f t="shared" si="5"/>
        <v>N/A</v>
      </c>
      <c r="AJ53" s="87"/>
      <c r="AK53" s="87"/>
    </row>
    <row r="54" spans="1:39" ht="11.5" customHeight="1" x14ac:dyDescent="0.35">
      <c r="A54" s="11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1"/>
      <c r="Z54" s="149"/>
      <c r="AA54" s="149"/>
      <c r="AB54" s="149"/>
      <c r="AC54" s="150"/>
      <c r="AD54" s="150"/>
      <c r="AE54" s="150"/>
      <c r="AF54" s="151"/>
      <c r="AG54" s="151"/>
      <c r="AH54" s="151"/>
      <c r="AI54" s="152"/>
      <c r="AJ54" s="152"/>
      <c r="AK54" s="152"/>
    </row>
    <row r="55" spans="1:39" ht="11.5" customHeight="1" x14ac:dyDescent="0.35">
      <c r="A55" s="11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1"/>
      <c r="Z55" s="149"/>
      <c r="AA55" s="149"/>
      <c r="AB55" s="149"/>
      <c r="AC55" s="150"/>
      <c r="AD55" s="150"/>
      <c r="AE55" s="150"/>
      <c r="AF55" s="151"/>
      <c r="AG55" s="151"/>
      <c r="AH55" s="151"/>
      <c r="AI55" s="152"/>
      <c r="AJ55" s="152"/>
      <c r="AK55" s="152"/>
    </row>
    <row r="56" spans="1:39" ht="11.5" customHeight="1" x14ac:dyDescent="0.35">
      <c r="A56" s="11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1"/>
      <c r="Z56" s="149"/>
      <c r="AA56" s="149"/>
      <c r="AB56" s="149"/>
      <c r="AC56" s="150"/>
      <c r="AD56" s="150"/>
      <c r="AE56" s="150"/>
      <c r="AF56" s="151"/>
      <c r="AG56" s="151"/>
      <c r="AH56" s="151"/>
      <c r="AI56" s="152"/>
      <c r="AJ56" s="152"/>
      <c r="AK56" s="152"/>
    </row>
    <row r="57" spans="1:39" ht="11.5" customHeight="1" x14ac:dyDescent="0.35">
      <c r="A57" s="11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1"/>
      <c r="Z57" s="149"/>
      <c r="AA57" s="149"/>
      <c r="AB57" s="149"/>
      <c r="AC57" s="150"/>
      <c r="AD57" s="150"/>
      <c r="AE57" s="150"/>
      <c r="AF57" s="151"/>
      <c r="AG57" s="151"/>
      <c r="AH57" s="151"/>
      <c r="AI57" s="152"/>
      <c r="AJ57" s="152"/>
      <c r="AK57" s="152"/>
    </row>
    <row r="58" spans="1:39" ht="11.5" customHeight="1" x14ac:dyDescent="0.35">
      <c r="A58" s="11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1"/>
      <c r="Z58" s="149"/>
      <c r="AA58" s="149"/>
      <c r="AB58" s="149"/>
      <c r="AC58" s="150"/>
      <c r="AD58" s="150"/>
      <c r="AE58" s="150"/>
      <c r="AF58" s="151"/>
      <c r="AG58" s="151"/>
      <c r="AH58" s="151"/>
      <c r="AI58" s="152"/>
      <c r="AJ58" s="152"/>
      <c r="AK58" s="152"/>
    </row>
    <row r="59" spans="1:39" ht="11.5" customHeight="1" x14ac:dyDescent="0.35">
      <c r="A59" s="11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1"/>
      <c r="Z59" s="149"/>
      <c r="AA59" s="149"/>
      <c r="AB59" s="149"/>
      <c r="AC59" s="150"/>
      <c r="AD59" s="150"/>
      <c r="AE59" s="150"/>
      <c r="AF59" s="151"/>
      <c r="AG59" s="151"/>
      <c r="AH59" s="151"/>
      <c r="AI59" s="152"/>
      <c r="AJ59" s="152"/>
      <c r="AK59" s="152"/>
    </row>
    <row r="60" spans="1:39" ht="11.5" customHeight="1" x14ac:dyDescent="0.35">
      <c r="A60" s="11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1"/>
      <c r="Z60" s="149"/>
      <c r="AA60" s="149"/>
      <c r="AB60" s="149"/>
      <c r="AC60" s="150"/>
      <c r="AD60" s="150"/>
      <c r="AE60" s="150"/>
      <c r="AF60" s="151"/>
      <c r="AG60" s="151"/>
      <c r="AH60" s="151"/>
      <c r="AI60" s="152"/>
      <c r="AJ60" s="152"/>
      <c r="AK60" s="152"/>
    </row>
    <row r="61" spans="1:39" ht="11.5" customHeight="1" x14ac:dyDescent="0.35">
      <c r="A61" s="11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1"/>
      <c r="Z61" s="149"/>
      <c r="AA61" s="149"/>
      <c r="AB61" s="149"/>
      <c r="AC61" s="150"/>
      <c r="AD61" s="150"/>
      <c r="AE61" s="150"/>
      <c r="AF61" s="151"/>
      <c r="AG61" s="151"/>
      <c r="AH61" s="151"/>
      <c r="AI61" s="152"/>
      <c r="AJ61" s="152"/>
      <c r="AK61" s="152"/>
    </row>
    <row r="62" spans="1:39" ht="11.5" customHeight="1" thickBot="1" x14ac:dyDescent="0.4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 spans="1:39" ht="11.5" customHeight="1" x14ac:dyDescent="0.35">
      <c r="A63" s="39" t="s">
        <v>57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</row>
    <row r="64" spans="1:39" ht="11.5" customHeight="1" x14ac:dyDescent="0.35">
      <c r="A64" s="11"/>
      <c r="R64" s="81" t="s">
        <v>66</v>
      </c>
      <c r="S64" s="82"/>
      <c r="T64" s="82"/>
      <c r="U64" s="82"/>
      <c r="V64" s="82"/>
      <c r="W64" s="82"/>
      <c r="X64" s="82"/>
      <c r="Y64" s="83"/>
      <c r="Z64" s="107">
        <v>80</v>
      </c>
      <c r="AA64" s="107"/>
      <c r="AB64" s="107"/>
      <c r="AC64" s="11"/>
      <c r="AD64" s="120" t="s">
        <v>27</v>
      </c>
      <c r="AE64" s="121"/>
      <c r="AF64" s="121"/>
      <c r="AG64" s="121"/>
      <c r="AH64" s="91" t="s">
        <v>17</v>
      </c>
      <c r="AI64" s="91"/>
      <c r="AJ64" s="92"/>
    </row>
    <row r="65" spans="1:39" ht="11.5" customHeight="1" x14ac:dyDescent="0.35">
      <c r="A65" s="11"/>
      <c r="H65" s="55"/>
      <c r="I65" s="55"/>
      <c r="J65" s="55"/>
      <c r="K65" s="55"/>
      <c r="L65" s="55"/>
      <c r="M65" s="55"/>
      <c r="N65" s="55"/>
      <c r="O65" s="55"/>
      <c r="P65" s="53"/>
      <c r="Q65" s="53"/>
      <c r="R65" s="81" t="s">
        <v>71</v>
      </c>
      <c r="S65" s="82"/>
      <c r="T65" s="82"/>
      <c r="U65" s="82"/>
      <c r="V65" s="82"/>
      <c r="W65" s="82"/>
      <c r="X65" s="82"/>
      <c r="Y65" s="83"/>
      <c r="Z65" s="108">
        <f>ROUND(0.1758*EXP(0.0256*Z64),3)</f>
        <v>1.363</v>
      </c>
      <c r="AA65" s="108"/>
      <c r="AB65" s="109"/>
      <c r="AC65" s="13"/>
      <c r="AD65" s="89" t="s">
        <v>64</v>
      </c>
      <c r="AE65" s="90"/>
      <c r="AF65" s="90"/>
      <c r="AG65" s="90"/>
      <c r="AH65" s="59" t="s">
        <v>65</v>
      </c>
      <c r="AI65" s="59"/>
      <c r="AJ65" s="60"/>
    </row>
    <row r="66" spans="1:39" ht="11.5" customHeight="1" x14ac:dyDescent="0.3">
      <c r="A66" s="11"/>
      <c r="B66" s="8" t="s">
        <v>56</v>
      </c>
      <c r="I66" s="41"/>
      <c r="J66" s="41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147"/>
      <c r="AF66" s="147"/>
      <c r="AG66" s="147"/>
      <c r="AH66" s="147"/>
      <c r="AI66" s="13"/>
      <c r="AJ66" s="13"/>
      <c r="AK66" s="13"/>
      <c r="AL66" s="13"/>
    </row>
    <row r="67" spans="1:39" ht="11.5" customHeight="1" x14ac:dyDescent="0.3">
      <c r="A67" s="11"/>
      <c r="B67" s="73" t="s">
        <v>29</v>
      </c>
      <c r="C67" s="110"/>
      <c r="D67" s="110"/>
      <c r="E67" s="73" t="s">
        <v>30</v>
      </c>
      <c r="F67" s="110"/>
      <c r="G67" s="110"/>
      <c r="H67" s="73" t="s">
        <v>31</v>
      </c>
      <c r="I67" s="110"/>
      <c r="J67" s="110"/>
      <c r="K67" s="104" t="s">
        <v>32</v>
      </c>
      <c r="L67" s="94"/>
      <c r="M67" s="95"/>
      <c r="N67" s="93" t="s">
        <v>33</v>
      </c>
      <c r="O67" s="94"/>
      <c r="P67" s="95"/>
      <c r="Q67" s="93" t="s">
        <v>34</v>
      </c>
      <c r="R67" s="94"/>
      <c r="S67" s="95"/>
      <c r="T67" s="93" t="s">
        <v>35</v>
      </c>
      <c r="U67" s="94"/>
      <c r="V67" s="95"/>
      <c r="W67" s="93" t="s">
        <v>36</v>
      </c>
      <c r="X67" s="94"/>
      <c r="Y67" s="95"/>
      <c r="Z67" s="93" t="s">
        <v>37</v>
      </c>
      <c r="AA67" s="94"/>
      <c r="AB67" s="94"/>
      <c r="AC67" s="73" t="s">
        <v>15</v>
      </c>
      <c r="AD67" s="73"/>
      <c r="AE67" s="148"/>
      <c r="AF67" s="148"/>
      <c r="AG67" s="148"/>
      <c r="AH67" s="148"/>
      <c r="AK67" s="13"/>
      <c r="AM67" s="32"/>
    </row>
    <row r="68" spans="1:39" ht="11.5" customHeight="1" x14ac:dyDescent="0.3">
      <c r="A68" s="11"/>
      <c r="B68" s="43" t="s">
        <v>58</v>
      </c>
      <c r="C68" s="141">
        <v>2200</v>
      </c>
      <c r="D68" s="142"/>
      <c r="E68" s="43" t="s">
        <v>58</v>
      </c>
      <c r="F68" s="141">
        <v>2300</v>
      </c>
      <c r="G68" s="142"/>
      <c r="H68" s="43" t="s">
        <v>58</v>
      </c>
      <c r="I68" s="141">
        <v>2400</v>
      </c>
      <c r="J68" s="142"/>
      <c r="K68" s="30" t="s">
        <v>58</v>
      </c>
      <c r="L68" s="76">
        <v>2500</v>
      </c>
      <c r="M68" s="77"/>
      <c r="N68" s="30" t="s">
        <v>58</v>
      </c>
      <c r="O68" s="76">
        <v>2600</v>
      </c>
      <c r="P68" s="77"/>
      <c r="Q68" s="30" t="s">
        <v>58</v>
      </c>
      <c r="R68" s="76">
        <v>2700</v>
      </c>
      <c r="S68" s="77"/>
      <c r="T68" s="30" t="s">
        <v>58</v>
      </c>
      <c r="U68" s="76">
        <v>2800</v>
      </c>
      <c r="V68" s="77"/>
      <c r="W68" s="30" t="s">
        <v>58</v>
      </c>
      <c r="X68" s="76">
        <v>2900</v>
      </c>
      <c r="Y68" s="77"/>
      <c r="Z68" s="30" t="s">
        <v>58</v>
      </c>
      <c r="AA68" s="76">
        <v>3000</v>
      </c>
      <c r="AB68" s="76"/>
      <c r="AC68" s="74" t="s">
        <v>16</v>
      </c>
      <c r="AD68" s="74"/>
      <c r="AK68" s="13"/>
      <c r="AL68" s="13"/>
      <c r="AM68" s="32"/>
    </row>
    <row r="69" spans="1:39" ht="11.5" customHeight="1" x14ac:dyDescent="0.35">
      <c r="A69" s="21"/>
      <c r="B69" s="15"/>
      <c r="C69" s="15"/>
      <c r="D69" s="15"/>
      <c r="E69" s="15"/>
      <c r="F69" s="1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3"/>
      <c r="AL69" s="13"/>
      <c r="AM69" s="32"/>
    </row>
    <row r="70" spans="1:39" ht="11.5" customHeight="1" x14ac:dyDescent="0.3">
      <c r="A70" s="11"/>
      <c r="B70" s="8" t="s">
        <v>55</v>
      </c>
      <c r="C70" s="13"/>
      <c r="D70" s="13"/>
      <c r="E70" s="13"/>
      <c r="F70" s="13"/>
      <c r="G70" s="25"/>
      <c r="I70" s="41"/>
      <c r="J70" s="41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147"/>
      <c r="AF70" s="147"/>
      <c r="AG70" s="147"/>
      <c r="AH70" s="147"/>
      <c r="AI70" s="13"/>
      <c r="AJ70" s="13"/>
      <c r="AK70" s="13"/>
      <c r="AL70" s="13"/>
      <c r="AM70" s="32"/>
    </row>
    <row r="71" spans="1:39" ht="11.5" customHeight="1" x14ac:dyDescent="0.3">
      <c r="A71" s="11"/>
      <c r="B71" s="73" t="s">
        <v>29</v>
      </c>
      <c r="C71" s="110"/>
      <c r="D71" s="110"/>
      <c r="E71" s="73" t="s">
        <v>30</v>
      </c>
      <c r="F71" s="110"/>
      <c r="G71" s="110"/>
      <c r="H71" s="73" t="s">
        <v>31</v>
      </c>
      <c r="I71" s="110"/>
      <c r="J71" s="110"/>
      <c r="K71" s="104" t="s">
        <v>32</v>
      </c>
      <c r="L71" s="94"/>
      <c r="M71" s="95"/>
      <c r="N71" s="93" t="s">
        <v>33</v>
      </c>
      <c r="O71" s="94"/>
      <c r="P71" s="95"/>
      <c r="Q71" s="93" t="s">
        <v>34</v>
      </c>
      <c r="R71" s="94"/>
      <c r="S71" s="95"/>
      <c r="T71" s="93" t="s">
        <v>35</v>
      </c>
      <c r="U71" s="94"/>
      <c r="V71" s="95"/>
      <c r="W71" s="93" t="s">
        <v>36</v>
      </c>
      <c r="X71" s="94"/>
      <c r="Y71" s="95"/>
      <c r="Z71" s="93" t="s">
        <v>37</v>
      </c>
      <c r="AA71" s="94"/>
      <c r="AB71" s="94"/>
      <c r="AC71" s="73" t="s">
        <v>15</v>
      </c>
      <c r="AD71" s="73"/>
      <c r="AE71" s="148"/>
      <c r="AF71" s="148"/>
      <c r="AG71" s="148"/>
      <c r="AH71" s="148"/>
      <c r="AK71" s="13"/>
      <c r="AL71" s="13"/>
      <c r="AM71" s="32"/>
    </row>
    <row r="72" spans="1:39" ht="11.5" customHeight="1" x14ac:dyDescent="0.3">
      <c r="A72" s="11"/>
      <c r="B72" s="42" t="str">
        <f>IF(B68="","",IF(ISNUMBER(B68)=FALSE,B68,ROUND(B68*#REF!,0)))</f>
        <v>&gt;</v>
      </c>
      <c r="C72" s="65">
        <f>IF(C68="","",IF(ISNUMBER(C68)=FALSE,C68,ROUND(C68*$Z$65,2)))</f>
        <v>2998.6</v>
      </c>
      <c r="D72" s="66"/>
      <c r="E72" s="42" t="str">
        <f>IF(E68="","",IF(ISNUMBER(E68)=FALSE,E68,ROUND(E68*#REF!,0)))</f>
        <v>&gt;</v>
      </c>
      <c r="F72" s="65">
        <f>IF(F68="","",IF(ISNUMBER(F68)=FALSE,F68,ROUND(F68*$Z$65,2)))</f>
        <v>3134.9</v>
      </c>
      <c r="G72" s="66"/>
      <c r="H72" s="42" t="str">
        <f>IF(H68="","",IF(ISNUMBER(H68)=FALSE,H68,ROUND(H68*#REF!,0)))</f>
        <v>&gt;</v>
      </c>
      <c r="I72" s="65">
        <f>IF(I68="","",IF(ISNUMBER(I68)=FALSE,I68,ROUND(I68*$Z$65,2)))</f>
        <v>3271.2</v>
      </c>
      <c r="J72" s="66"/>
      <c r="K72" s="31" t="str">
        <f>IF(K68="","",IF(ISNUMBER(K68)=FALSE,K68,ROUND(K68*#REF!,0)))</f>
        <v>&gt;</v>
      </c>
      <c r="L72" s="65">
        <f>IF(L68="","",IF(ISNUMBER(L68)=FALSE,L68,ROUND(L68*$Z$65,2)))</f>
        <v>3407.5</v>
      </c>
      <c r="M72" s="66"/>
      <c r="N72" s="31" t="str">
        <f>IF(N68="","",IF(ISNUMBER(N68)=FALSE,N68,ROUND(N68*#REF!,0)))</f>
        <v>&gt;</v>
      </c>
      <c r="O72" s="65">
        <f>IF(O68="","",IF(ISNUMBER(O68)=FALSE,O68,ROUND(O68*$Z$65,2)))</f>
        <v>3543.8</v>
      </c>
      <c r="P72" s="66"/>
      <c r="Q72" s="31" t="str">
        <f>IF(Q68="","",IF(ISNUMBER(Q68)=FALSE,Q68,ROUND(Q68*#REF!,0)))</f>
        <v>&gt;</v>
      </c>
      <c r="R72" s="65">
        <f>IF(R68="","",IF(ISNUMBER(R68)=FALSE,R68,ROUND(R68*$Z$65,2)))</f>
        <v>3680.1</v>
      </c>
      <c r="S72" s="66"/>
      <c r="T72" s="31" t="str">
        <f>IF(T68="","",IF(ISNUMBER(T68)=FALSE,T68,ROUND(T68*#REF!,0)))</f>
        <v>&gt;</v>
      </c>
      <c r="U72" s="65">
        <f>IF(U68="","",IF(ISNUMBER(U68)=FALSE,U68,ROUND(U68*$Z$65,2)))</f>
        <v>3816.4</v>
      </c>
      <c r="V72" s="66"/>
      <c r="W72" s="31" t="str">
        <f>IF(W68="","",IF(ISNUMBER(W68)=FALSE,W68,ROUND(W68*#REF!,0)))</f>
        <v>&gt;</v>
      </c>
      <c r="X72" s="65">
        <f>IF(X68="","",IF(ISNUMBER(X68)=FALSE,X68,ROUND(X68*$Z$65,2)))</f>
        <v>3952.7</v>
      </c>
      <c r="Y72" s="66"/>
      <c r="Z72" s="31" t="str">
        <f>IF(Z68="","",IF(ISNUMBER(Z68)=FALSE,Z68,ROUND(Z68*#REF!,0)))</f>
        <v>&gt;</v>
      </c>
      <c r="AA72" s="65">
        <f>IF(AA68="","",IF(ISNUMBER(AA68)=FALSE,AA68,ROUND(AA68*$Z$65,2)))</f>
        <v>4089</v>
      </c>
      <c r="AB72" s="65"/>
      <c r="AC72" s="73" t="str">
        <f>IF(AC68="","",IF(OR(COUNTIF(AC68,"*&gt;*"),COUNTIF(AC68,"*&lt;*"),ISNUMBER(AC68)=FALSE),AC68,AC68*#REF!))</f>
        <v>MΩ</v>
      </c>
      <c r="AD72" s="73"/>
      <c r="AK72" s="13"/>
      <c r="AL72" s="13"/>
      <c r="AM72" s="32"/>
    </row>
    <row r="73" spans="1:39" ht="11.5" customHeight="1" x14ac:dyDescent="0.3">
      <c r="A73" s="11"/>
      <c r="B73" s="14"/>
      <c r="C73" s="48"/>
      <c r="D73" s="48"/>
      <c r="E73" s="48"/>
      <c r="F73" s="48"/>
      <c r="G73" s="48"/>
      <c r="H73" s="47"/>
      <c r="I73" s="49"/>
      <c r="J73" s="49"/>
      <c r="K73" s="47"/>
      <c r="L73" s="49"/>
      <c r="M73" s="49"/>
      <c r="N73" s="47"/>
      <c r="O73" s="49"/>
      <c r="P73" s="49"/>
      <c r="Q73" s="47"/>
      <c r="R73" s="49"/>
      <c r="S73" s="49"/>
      <c r="T73" s="47"/>
      <c r="U73" s="49"/>
      <c r="V73" s="49"/>
      <c r="W73" s="47"/>
      <c r="X73" s="49"/>
      <c r="Y73" s="49"/>
      <c r="Z73" s="47"/>
      <c r="AA73" s="49"/>
      <c r="AB73" s="49"/>
      <c r="AC73" s="47"/>
      <c r="AD73" s="49"/>
      <c r="AE73" s="49"/>
      <c r="AF73" s="47"/>
      <c r="AG73" s="49"/>
      <c r="AH73" s="49"/>
      <c r="AI73" s="14"/>
      <c r="AJ73" s="14"/>
      <c r="AK73" s="13"/>
      <c r="AL73" s="13"/>
      <c r="AM73" s="32"/>
    </row>
    <row r="74" spans="1:39" ht="11.5" customHeight="1" x14ac:dyDescent="0.3">
      <c r="A74" s="11"/>
      <c r="B74" s="49"/>
      <c r="C74" s="35"/>
      <c r="D74" s="35"/>
      <c r="E74" s="35"/>
      <c r="F74" s="35"/>
      <c r="G74" s="35"/>
      <c r="H74" s="78" t="s">
        <v>73</v>
      </c>
      <c r="I74" s="78"/>
      <c r="J74" s="78"/>
      <c r="K74" s="78"/>
      <c r="L74" s="57" t="s">
        <v>15</v>
      </c>
      <c r="M74" s="58"/>
      <c r="N74" s="47"/>
      <c r="O74" s="49"/>
      <c r="AK74" s="13"/>
      <c r="AL74" s="13"/>
      <c r="AM74" s="32"/>
    </row>
    <row r="75" spans="1:39" ht="11.5" customHeight="1" x14ac:dyDescent="0.3">
      <c r="A75" s="11"/>
      <c r="B75" s="79" t="s">
        <v>74</v>
      </c>
      <c r="C75" s="79"/>
      <c r="D75" s="79"/>
      <c r="E75" s="79"/>
      <c r="F75" s="79"/>
      <c r="G75" s="80"/>
      <c r="H75" s="54" t="s">
        <v>72</v>
      </c>
      <c r="I75" s="144">
        <f>IF(AB9="","",
IF(AND(AB9&lt;=250,L75="MΩ"),25,
IF(AND(AB9&lt;=250,L75="GΩ"),0.025,
IF(AND(AB9&lt;=1000,L75="MΩ"),100,
IF(AND(AB9&lt;=1000,L75="GΩ"),0.1,
IF(AND(AB9&lt;=2500,L75="MΩ"),500,
IF(AND(AB9&lt;=2500,L75="GΩ"),0.5,
IF(AND(AB9&lt;=5000,L75="MΩ"),1500,
IF(AND(AB9&lt;=5000,L75="GΩ"),1.5,
IF(AND(AB9&lt;=8000,L75="MΩ"),2500,
IF(AND(AB9&lt;=8000,L75="GΩ"),2.5,
IF(AND(AB9&lt;=15000,L75="MΩ"),5000,
IF(AND(AB9&lt;=15000,L75="GΩ"),5,
IF(AND(AB9&lt;=25000,L75="MΩ"),10000,
IF(AND(AB9&lt;=25000,L75="GΩ"),10,
IF(AND(AB9&gt;25000,L75="MΩ"),100000,
IF(AND(AB9&gt;25000,L75="GΩ"),100
)))))))))))))))))</f>
        <v>100</v>
      </c>
      <c r="J75" s="144"/>
      <c r="K75" s="145"/>
      <c r="L75" s="59" t="s">
        <v>16</v>
      </c>
      <c r="M75" s="60"/>
      <c r="N75" s="47"/>
      <c r="O75" s="49"/>
      <c r="P75" s="62" t="s">
        <v>75</v>
      </c>
      <c r="Q75" s="63"/>
      <c r="R75" s="63"/>
      <c r="S75" s="63"/>
      <c r="T75" s="64"/>
      <c r="U75" s="61" t="s">
        <v>14</v>
      </c>
      <c r="V75" s="61"/>
      <c r="W75" s="61"/>
      <c r="AK75" s="13"/>
      <c r="AL75" s="13"/>
      <c r="AM75" s="32"/>
    </row>
    <row r="76" spans="1:39" ht="11.5" customHeight="1" thickBot="1" x14ac:dyDescent="0.4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</row>
    <row r="77" spans="1:39" ht="11.5" customHeight="1" x14ac:dyDescent="0.35">
      <c r="A77" s="7" t="s">
        <v>20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</row>
    <row r="78" spans="1:39" ht="11.5" customHeight="1" x14ac:dyDescent="0.35">
      <c r="A78" s="7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 spans="1:39" ht="11.5" customHeight="1" x14ac:dyDescent="0.35">
      <c r="A79" s="11"/>
      <c r="B79" s="11"/>
      <c r="C79" s="102" t="s">
        <v>43</v>
      </c>
      <c r="D79" s="97"/>
      <c r="E79" s="97"/>
      <c r="F79" s="97"/>
      <c r="G79" s="97"/>
      <c r="H79" s="97"/>
      <c r="I79" s="97"/>
      <c r="J79" s="97"/>
      <c r="K79" s="103"/>
      <c r="L79" s="103"/>
      <c r="M79" s="103"/>
      <c r="N79" s="103"/>
      <c r="O79" s="103"/>
      <c r="P79" s="103"/>
      <c r="Q79" s="103"/>
      <c r="R79" s="96" t="s">
        <v>23</v>
      </c>
      <c r="S79" s="97"/>
      <c r="T79" s="97"/>
      <c r="U79" s="97"/>
      <c r="V79" s="97"/>
      <c r="W79" s="99"/>
      <c r="X79" s="99"/>
      <c r="Y79" s="99"/>
      <c r="Z79" s="99"/>
      <c r="AA79" s="99"/>
      <c r="AB79" s="99"/>
      <c r="AC79" s="13"/>
      <c r="AD79" s="96" t="s">
        <v>21</v>
      </c>
      <c r="AE79" s="97"/>
      <c r="AF79" s="97"/>
      <c r="AG79" s="101"/>
      <c r="AH79" s="100"/>
      <c r="AI79" s="100"/>
      <c r="AJ79" s="100"/>
      <c r="AM79" s="11"/>
    </row>
    <row r="80" spans="1:39" ht="11.5" customHeight="1" x14ac:dyDescent="0.35">
      <c r="A80" s="11"/>
      <c r="C80" s="96" t="s">
        <v>22</v>
      </c>
      <c r="D80" s="97"/>
      <c r="E80" s="97"/>
      <c r="F80" s="97"/>
      <c r="G80" s="97"/>
      <c r="H80" s="97"/>
      <c r="I80" s="97"/>
      <c r="J80" s="97"/>
      <c r="K80" s="98"/>
      <c r="L80" s="98"/>
      <c r="M80" s="98"/>
      <c r="N80" s="98"/>
      <c r="O80" s="98"/>
      <c r="P80" s="98"/>
      <c r="Q80" s="98"/>
      <c r="R80" s="96" t="s">
        <v>23</v>
      </c>
      <c r="S80" s="97"/>
      <c r="T80" s="97"/>
      <c r="U80" s="97"/>
      <c r="V80" s="97"/>
      <c r="W80" s="99"/>
      <c r="X80" s="100"/>
      <c r="Y80" s="100"/>
      <c r="Z80" s="100"/>
      <c r="AA80" s="100"/>
      <c r="AB80" s="100"/>
      <c r="AC80" s="13"/>
      <c r="AD80" s="96" t="s">
        <v>21</v>
      </c>
      <c r="AE80" s="97"/>
      <c r="AF80" s="97"/>
      <c r="AG80" s="101"/>
      <c r="AH80" s="100"/>
      <c r="AI80" s="100"/>
      <c r="AJ80" s="100"/>
      <c r="AM80" s="11"/>
    </row>
    <row r="81" spans="1:39" ht="11.5" customHeight="1" thickBot="1" x14ac:dyDescent="0.4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</row>
    <row r="82" spans="1:39" ht="11.5" customHeight="1" x14ac:dyDescent="0.35">
      <c r="A82" s="7" t="s">
        <v>10</v>
      </c>
      <c r="B82" s="23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 spans="1:39" ht="11.5" customHeight="1" x14ac:dyDescent="0.35">
      <c r="A83" s="20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1"/>
    </row>
    <row r="84" spans="1:39" ht="11.5" customHeight="1" x14ac:dyDescent="0.35">
      <c r="A84" s="20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1"/>
    </row>
    <row r="85" spans="1:39" ht="11.5" customHeight="1" x14ac:dyDescent="0.35">
      <c r="A85" s="20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1"/>
    </row>
    <row r="86" spans="1:39" ht="11.5" customHeight="1" x14ac:dyDescent="0.35">
      <c r="A86" s="20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1"/>
    </row>
    <row r="87" spans="1:39" ht="11.5" customHeight="1" x14ac:dyDescent="0.35">
      <c r="A87" s="20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1"/>
    </row>
    <row r="88" spans="1:39" ht="11.5" customHeight="1" x14ac:dyDescent="0.35">
      <c r="A88" s="20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1"/>
    </row>
    <row r="89" spans="1:39" ht="11.5" customHeight="1" x14ac:dyDescent="0.35">
      <c r="A89" s="20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1"/>
    </row>
    <row r="90" spans="1:39" ht="11.5" customHeight="1" x14ac:dyDescent="0.35">
      <c r="A90" s="20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1"/>
    </row>
    <row r="91" spans="1:39" ht="11.5" customHeight="1" x14ac:dyDescent="0.35">
      <c r="A91" s="20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1"/>
    </row>
    <row r="92" spans="1:39" ht="11.5" customHeight="1" x14ac:dyDescent="0.35">
      <c r="A92" s="20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1"/>
    </row>
    <row r="93" spans="1:39" ht="11.5" customHeight="1" thickBot="1" x14ac:dyDescent="0.4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</row>
  </sheetData>
  <sheetProtection formatCells="0" selectLockedCells="1"/>
  <dataConsolidate/>
  <mergeCells count="374">
    <mergeCell ref="Z52:AB52"/>
    <mergeCell ref="AC52:AE52"/>
    <mergeCell ref="AF52:AH52"/>
    <mergeCell ref="AI52:AK52"/>
    <mergeCell ref="Z53:AB53"/>
    <mergeCell ref="AC53:AE53"/>
    <mergeCell ref="AF53:AH53"/>
    <mergeCell ref="AI53:AK53"/>
    <mergeCell ref="Z49:AB49"/>
    <mergeCell ref="AC49:AE49"/>
    <mergeCell ref="AF49:AH49"/>
    <mergeCell ref="AI49:AK49"/>
    <mergeCell ref="Z50:AB50"/>
    <mergeCell ref="AC50:AE50"/>
    <mergeCell ref="AF50:AH50"/>
    <mergeCell ref="AI50:AK50"/>
    <mergeCell ref="Z51:AB51"/>
    <mergeCell ref="AC51:AE51"/>
    <mergeCell ref="AF51:AH51"/>
    <mergeCell ref="AI51:AK51"/>
    <mergeCell ref="Z46:AB46"/>
    <mergeCell ref="AC46:AE46"/>
    <mergeCell ref="AF46:AH46"/>
    <mergeCell ref="AI46:AK46"/>
    <mergeCell ref="Z47:AB47"/>
    <mergeCell ref="AC47:AE47"/>
    <mergeCell ref="AF47:AH47"/>
    <mergeCell ref="AI47:AK47"/>
    <mergeCell ref="Z48:AB48"/>
    <mergeCell ref="AC48:AE48"/>
    <mergeCell ref="AF48:AH48"/>
    <mergeCell ref="AI48:AK48"/>
    <mergeCell ref="Z43:AB43"/>
    <mergeCell ref="AC43:AE43"/>
    <mergeCell ref="AF43:AH43"/>
    <mergeCell ref="AI43:AK43"/>
    <mergeCell ref="Z44:AB44"/>
    <mergeCell ref="AC44:AE44"/>
    <mergeCell ref="AF44:AH44"/>
    <mergeCell ref="AI44:AK44"/>
    <mergeCell ref="Z45:AB45"/>
    <mergeCell ref="AC45:AE45"/>
    <mergeCell ref="AF45:AH45"/>
    <mergeCell ref="AI45:AK45"/>
    <mergeCell ref="Z40:AB40"/>
    <mergeCell ref="AC40:AE40"/>
    <mergeCell ref="AF40:AH40"/>
    <mergeCell ref="AI40:AK40"/>
    <mergeCell ref="Z41:AB41"/>
    <mergeCell ref="AC41:AE41"/>
    <mergeCell ref="AF41:AH41"/>
    <mergeCell ref="AI41:AK41"/>
    <mergeCell ref="Z42:AB42"/>
    <mergeCell ref="AC42:AE42"/>
    <mergeCell ref="AF42:AH42"/>
    <mergeCell ref="AI42:AK42"/>
    <mergeCell ref="H52:J52"/>
    <mergeCell ref="K52:M52"/>
    <mergeCell ref="N52:P52"/>
    <mergeCell ref="Q52:S52"/>
    <mergeCell ref="T52:V52"/>
    <mergeCell ref="W52:X52"/>
    <mergeCell ref="H53:J53"/>
    <mergeCell ref="K53:M53"/>
    <mergeCell ref="N53:P53"/>
    <mergeCell ref="Q53:S53"/>
    <mergeCell ref="T53:V53"/>
    <mergeCell ref="W53:X53"/>
    <mergeCell ref="H50:J50"/>
    <mergeCell ref="K50:M50"/>
    <mergeCell ref="N50:P50"/>
    <mergeCell ref="Q50:S50"/>
    <mergeCell ref="T50:V50"/>
    <mergeCell ref="W50:X50"/>
    <mergeCell ref="H51:J51"/>
    <mergeCell ref="K51:M51"/>
    <mergeCell ref="N51:P51"/>
    <mergeCell ref="Q51:S51"/>
    <mergeCell ref="T51:V51"/>
    <mergeCell ref="W51:X51"/>
    <mergeCell ref="H48:J48"/>
    <mergeCell ref="K48:M48"/>
    <mergeCell ref="N48:P48"/>
    <mergeCell ref="Q48:S48"/>
    <mergeCell ref="T48:V48"/>
    <mergeCell ref="W48:X48"/>
    <mergeCell ref="H49:J49"/>
    <mergeCell ref="K49:M49"/>
    <mergeCell ref="N49:P49"/>
    <mergeCell ref="Q49:S49"/>
    <mergeCell ref="T49:V49"/>
    <mergeCell ref="W49:X49"/>
    <mergeCell ref="H46:J46"/>
    <mergeCell ref="K46:M46"/>
    <mergeCell ref="N46:P46"/>
    <mergeCell ref="Q46:S46"/>
    <mergeCell ref="T46:V46"/>
    <mergeCell ref="W46:X46"/>
    <mergeCell ref="H47:J47"/>
    <mergeCell ref="K47:M47"/>
    <mergeCell ref="N47:P47"/>
    <mergeCell ref="Q47:S47"/>
    <mergeCell ref="T47:V47"/>
    <mergeCell ref="W47:X47"/>
    <mergeCell ref="H44:J44"/>
    <mergeCell ref="K44:M44"/>
    <mergeCell ref="N44:P44"/>
    <mergeCell ref="Q44:S44"/>
    <mergeCell ref="T44:V44"/>
    <mergeCell ref="W44:X44"/>
    <mergeCell ref="H45:J45"/>
    <mergeCell ref="K45:M45"/>
    <mergeCell ref="N45:P45"/>
    <mergeCell ref="Q45:S45"/>
    <mergeCell ref="T45:V45"/>
    <mergeCell ref="W45:X45"/>
    <mergeCell ref="H42:J42"/>
    <mergeCell ref="K42:M42"/>
    <mergeCell ref="N42:P42"/>
    <mergeCell ref="Q42:S42"/>
    <mergeCell ref="T42:V42"/>
    <mergeCell ref="W42:X42"/>
    <mergeCell ref="H43:J43"/>
    <mergeCell ref="K43:M43"/>
    <mergeCell ref="N43:P43"/>
    <mergeCell ref="Q43:S43"/>
    <mergeCell ref="T43:V43"/>
    <mergeCell ref="W43:X43"/>
    <mergeCell ref="H40:J40"/>
    <mergeCell ref="K40:M40"/>
    <mergeCell ref="N40:P40"/>
    <mergeCell ref="Q40:S40"/>
    <mergeCell ref="T40:V40"/>
    <mergeCell ref="W40:X40"/>
    <mergeCell ref="H41:J41"/>
    <mergeCell ref="K41:M41"/>
    <mergeCell ref="N41:P41"/>
    <mergeCell ref="Q41:S41"/>
    <mergeCell ref="T41:V41"/>
    <mergeCell ref="W41:X41"/>
    <mergeCell ref="B40:G40"/>
    <mergeCell ref="B51:G51"/>
    <mergeCell ref="B52:G52"/>
    <mergeCell ref="B53:G53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V13:AA13"/>
    <mergeCell ref="L13:T13"/>
    <mergeCell ref="G13:K13"/>
    <mergeCell ref="AB9:AJ9"/>
    <mergeCell ref="G9:K9"/>
    <mergeCell ref="V12:AA12"/>
    <mergeCell ref="L12:T12"/>
    <mergeCell ref="L11:T11"/>
    <mergeCell ref="L10:T10"/>
    <mergeCell ref="G12:K12"/>
    <mergeCell ref="V11:AA11"/>
    <mergeCell ref="G11:K11"/>
    <mergeCell ref="G10:K10"/>
    <mergeCell ref="V10:AA10"/>
    <mergeCell ref="B83:AL92"/>
    <mergeCell ref="AC36:AE36"/>
    <mergeCell ref="AC37:AE37"/>
    <mergeCell ref="AC38:AE38"/>
    <mergeCell ref="AC39:AE39"/>
    <mergeCell ref="T37:V37"/>
    <mergeCell ref="T38:V38"/>
    <mergeCell ref="T39:V39"/>
    <mergeCell ref="I72:J72"/>
    <mergeCell ref="U72:V72"/>
    <mergeCell ref="X72:Y72"/>
    <mergeCell ref="AC67:AD67"/>
    <mergeCell ref="C68:D68"/>
    <mergeCell ref="F68:G68"/>
    <mergeCell ref="I68:J68"/>
    <mergeCell ref="L68:M68"/>
    <mergeCell ref="AC71:AD71"/>
    <mergeCell ref="AC72:AD72"/>
    <mergeCell ref="Z71:AB71"/>
    <mergeCell ref="B18:E18"/>
    <mergeCell ref="F18:AG18"/>
    <mergeCell ref="AH18:AL18"/>
    <mergeCell ref="B19:E19"/>
    <mergeCell ref="F19:AG19"/>
    <mergeCell ref="AH19:AL19"/>
    <mergeCell ref="B20:E20"/>
    <mergeCell ref="F20:AG20"/>
    <mergeCell ref="B22:E22"/>
    <mergeCell ref="B24:E24"/>
    <mergeCell ref="B23:E23"/>
    <mergeCell ref="B25:E25"/>
    <mergeCell ref="B26:E26"/>
    <mergeCell ref="F24:AG24"/>
    <mergeCell ref="B21:E21"/>
    <mergeCell ref="F21:AG21"/>
    <mergeCell ref="F2:X2"/>
    <mergeCell ref="AJ2:AL4"/>
    <mergeCell ref="AE3:AH3"/>
    <mergeCell ref="Z5:AD5"/>
    <mergeCell ref="AE5:AL5"/>
    <mergeCell ref="V9:AA9"/>
    <mergeCell ref="L9:T9"/>
    <mergeCell ref="F3:X3"/>
    <mergeCell ref="F22:AG22"/>
    <mergeCell ref="AH22:AL22"/>
    <mergeCell ref="AH24:AL24"/>
    <mergeCell ref="AB10:AJ10"/>
    <mergeCell ref="AB11:AJ11"/>
    <mergeCell ref="AB12:AJ12"/>
    <mergeCell ref="AB13:AJ13"/>
    <mergeCell ref="AH20:AL20"/>
    <mergeCell ref="F23:AG23"/>
    <mergeCell ref="AH21:AL21"/>
    <mergeCell ref="AH23:AL23"/>
    <mergeCell ref="AH17:AL17"/>
    <mergeCell ref="AI36:AK36"/>
    <mergeCell ref="AI37:AK37"/>
    <mergeCell ref="AI38:AK38"/>
    <mergeCell ref="AI39:AK39"/>
    <mergeCell ref="A1:AM1"/>
    <mergeCell ref="A5:E5"/>
    <mergeCell ref="A6:E6"/>
    <mergeCell ref="K5:L5"/>
    <mergeCell ref="S5:V5"/>
    <mergeCell ref="Z6:AD6"/>
    <mergeCell ref="Z2:AD2"/>
    <mergeCell ref="AE2:AH2"/>
    <mergeCell ref="M5:N5"/>
    <mergeCell ref="P5:Q5"/>
    <mergeCell ref="A2:E2"/>
    <mergeCell ref="A3:E3"/>
    <mergeCell ref="Z3:AD3"/>
    <mergeCell ref="A4:E4"/>
    <mergeCell ref="F4:X4"/>
    <mergeCell ref="F5:I5"/>
    <mergeCell ref="F6:X6"/>
    <mergeCell ref="F25:AG25"/>
    <mergeCell ref="AH25:AL25"/>
    <mergeCell ref="AE6:AL6"/>
    <mergeCell ref="AH27:AL27"/>
    <mergeCell ref="W33:X33"/>
    <mergeCell ref="AC35:AE35"/>
    <mergeCell ref="W35:X35"/>
    <mergeCell ref="Q35:S35"/>
    <mergeCell ref="AI32:AK33"/>
    <mergeCell ref="AI34:AK34"/>
    <mergeCell ref="AI35:AK35"/>
    <mergeCell ref="F26:AG26"/>
    <mergeCell ref="AH26:AL26"/>
    <mergeCell ref="Z67:AB67"/>
    <mergeCell ref="B67:D67"/>
    <mergeCell ref="E67:G67"/>
    <mergeCell ref="H67:J67"/>
    <mergeCell ref="K67:M67"/>
    <mergeCell ref="N67:P67"/>
    <mergeCell ref="Q67:S67"/>
    <mergeCell ref="T67:V67"/>
    <mergeCell ref="W67:Y67"/>
    <mergeCell ref="O68:P68"/>
    <mergeCell ref="AA68:AB68"/>
    <mergeCell ref="B32:X32"/>
    <mergeCell ref="AC34:AE34"/>
    <mergeCell ref="W34:X34"/>
    <mergeCell ref="H33:J33"/>
    <mergeCell ref="AD64:AG64"/>
    <mergeCell ref="B27:E27"/>
    <mergeCell ref="F27:AG27"/>
    <mergeCell ref="Q34:S34"/>
    <mergeCell ref="B36:G36"/>
    <mergeCell ref="U68:V68"/>
    <mergeCell ref="Q36:S36"/>
    <mergeCell ref="Q33:S33"/>
    <mergeCell ref="Q39:S39"/>
    <mergeCell ref="C72:D72"/>
    <mergeCell ref="F72:G72"/>
    <mergeCell ref="L72:M72"/>
    <mergeCell ref="Z64:AB64"/>
    <mergeCell ref="Z65:AB65"/>
    <mergeCell ref="H36:J36"/>
    <mergeCell ref="K36:M36"/>
    <mergeCell ref="N36:P36"/>
    <mergeCell ref="Z34:AB34"/>
    <mergeCell ref="Z35:AB35"/>
    <mergeCell ref="Z36:AB36"/>
    <mergeCell ref="Z37:AB37"/>
    <mergeCell ref="Z38:AB38"/>
    <mergeCell ref="Z39:AB39"/>
    <mergeCell ref="R72:S72"/>
    <mergeCell ref="B39:G39"/>
    <mergeCell ref="B71:D71"/>
    <mergeCell ref="H37:J37"/>
    <mergeCell ref="H38:J38"/>
    <mergeCell ref="K37:M37"/>
    <mergeCell ref="K38:M38"/>
    <mergeCell ref="N37:P37"/>
    <mergeCell ref="N38:P38"/>
    <mergeCell ref="Q37:S37"/>
    <mergeCell ref="Q38:S38"/>
    <mergeCell ref="B37:G37"/>
    <mergeCell ref="B38:G38"/>
    <mergeCell ref="B33:G33"/>
    <mergeCell ref="B34:G34"/>
    <mergeCell ref="K33:M33"/>
    <mergeCell ref="K34:M34"/>
    <mergeCell ref="K35:M35"/>
    <mergeCell ref="N33:P33"/>
    <mergeCell ref="N34:P34"/>
    <mergeCell ref="N35:P35"/>
    <mergeCell ref="B35:G35"/>
    <mergeCell ref="H35:J35"/>
    <mergeCell ref="H34:J34"/>
    <mergeCell ref="H39:J39"/>
    <mergeCell ref="K39:M39"/>
    <mergeCell ref="N39:P39"/>
    <mergeCell ref="E71:G71"/>
    <mergeCell ref="H71:J71"/>
    <mergeCell ref="K71:M71"/>
    <mergeCell ref="N71:P71"/>
    <mergeCell ref="Q71:S71"/>
    <mergeCell ref="AG79:AJ79"/>
    <mergeCell ref="C79:J79"/>
    <mergeCell ref="K79:Q79"/>
    <mergeCell ref="R79:V79"/>
    <mergeCell ref="W79:AB79"/>
    <mergeCell ref="C80:J80"/>
    <mergeCell ref="K80:Q80"/>
    <mergeCell ref="R80:V80"/>
    <mergeCell ref="W80:AB80"/>
    <mergeCell ref="AD80:AF80"/>
    <mergeCell ref="AG80:AJ80"/>
    <mergeCell ref="W71:Y71"/>
    <mergeCell ref="AD79:AF79"/>
    <mergeCell ref="AD65:AG65"/>
    <mergeCell ref="AH64:AJ64"/>
    <mergeCell ref="AH65:AJ65"/>
    <mergeCell ref="AC68:AD68"/>
    <mergeCell ref="R68:S68"/>
    <mergeCell ref="X68:Y68"/>
    <mergeCell ref="T71:V71"/>
    <mergeCell ref="AA72:AB72"/>
    <mergeCell ref="AF32:AH33"/>
    <mergeCell ref="AF34:AH34"/>
    <mergeCell ref="AF35:AH35"/>
    <mergeCell ref="AF36:AH36"/>
    <mergeCell ref="AF37:AH37"/>
    <mergeCell ref="AF38:AH38"/>
    <mergeCell ref="AF39:AH39"/>
    <mergeCell ref="AC32:AE33"/>
    <mergeCell ref="T33:V33"/>
    <mergeCell ref="T34:V34"/>
    <mergeCell ref="T35:V35"/>
    <mergeCell ref="W36:X36"/>
    <mergeCell ref="T36:V36"/>
    <mergeCell ref="W37:X37"/>
    <mergeCell ref="W38:X38"/>
    <mergeCell ref="W39:X39"/>
    <mergeCell ref="O72:P72"/>
    <mergeCell ref="H74:K74"/>
    <mergeCell ref="B75:G75"/>
    <mergeCell ref="R64:Y64"/>
    <mergeCell ref="R65:Y65"/>
    <mergeCell ref="L74:M74"/>
    <mergeCell ref="L75:M75"/>
    <mergeCell ref="U75:W75"/>
    <mergeCell ref="P75:T75"/>
    <mergeCell ref="I75:K75"/>
  </mergeCells>
  <phoneticPr fontId="2" type="noConversion"/>
  <conditionalFormatting sqref="AF34:AF61">
    <cfRule type="expression" dxfId="20" priority="31">
      <formula>($AJ$32="No")</formula>
    </cfRule>
  </conditionalFormatting>
  <conditionalFormatting sqref="U75">
    <cfRule type="cellIs" dxfId="18" priority="2" operator="equal">
      <formula>"LIMITED SERVICE"</formula>
    </cfRule>
    <cfRule type="cellIs" dxfId="17" priority="3" operator="equal">
      <formula>"FAIL"</formula>
    </cfRule>
    <cfRule type="cellIs" dxfId="16" priority="4" operator="equal">
      <formula>"PASS"</formula>
    </cfRule>
    <cfRule type="cellIs" dxfId="15" priority="5" operator="equal">
      <formula>"""PASS"""</formula>
    </cfRule>
  </conditionalFormatting>
  <conditionalFormatting sqref="U75:W75">
    <cfRule type="expression" dxfId="14" priority="1">
      <formula>($AJ$32="No")</formula>
    </cfRule>
  </conditionalFormatting>
  <conditionalFormatting sqref="AI34:AI61">
    <cfRule type="cellIs" dxfId="13" priority="27" operator="equal">
      <formula>"LIMITED SERVICE"</formula>
    </cfRule>
    <cfRule type="cellIs" dxfId="12" priority="28" operator="equal">
      <formula>"FAIL"</formula>
    </cfRule>
    <cfRule type="cellIs" dxfId="11" priority="29" operator="equal">
      <formula>"PASS"</formula>
    </cfRule>
    <cfRule type="cellIs" dxfId="10" priority="30" operator="equal">
      <formula>"""PASS"""</formula>
    </cfRule>
  </conditionalFormatting>
  <conditionalFormatting sqref="AI34:AK61">
    <cfRule type="expression" dxfId="5" priority="26">
      <formula>($AJ$32="No")</formula>
    </cfRule>
  </conditionalFormatting>
  <conditionalFormatting sqref="AJ2">
    <cfRule type="cellIs" dxfId="3" priority="33" operator="equal">
      <formula>"LIMITED SERVICE"</formula>
    </cfRule>
    <cfRule type="cellIs" dxfId="2" priority="34" operator="equal">
      <formula>"FAIL"</formula>
    </cfRule>
    <cfRule type="cellIs" dxfId="1" priority="35" operator="equal">
      <formula>"PASS"</formula>
    </cfRule>
    <cfRule type="cellIs" dxfId="0" priority="36" operator="equal">
      <formula>"""PASS"""</formula>
    </cfRule>
  </conditionalFormatting>
  <dataValidations count="11">
    <dataValidation type="list" allowBlank="1" showInputMessage="1" showErrorMessage="1" sqref="AJ2:AL4" xr:uid="{943D82CC-FB7D-44FF-9F07-F6CD8F970628}">
      <formula1>"PASS, FAIL, LIMITED SERVICE"</formula1>
    </dataValidation>
    <dataValidation type="list" allowBlank="1" showInputMessage="1" showErrorMessage="1" sqref="W34:X61" xr:uid="{ED8DE4B8-B3DC-4ECF-AEEE-60D7ADA74210}">
      <formula1>"µΩ,mΩ,Ω"</formula1>
    </dataValidation>
    <dataValidation type="list" allowBlank="1" showInputMessage="1" showErrorMessage="1" sqref="AH64:AJ64" xr:uid="{C3F9E0CA-C002-4010-97AE-EC017BCB7F60}">
      <formula1>"250V, 500V, 1000V, 2500V, 5000V"</formula1>
    </dataValidation>
    <dataValidation type="list" allowBlank="1" showInputMessage="1" showErrorMessage="1" sqref="AM2:AM4" xr:uid="{FD88D42F-4C2C-4489-B3FE-AA52572567EE}">
      <formula1>#REF!</formula1>
    </dataValidation>
    <dataValidation type="list" allowBlank="1" showInputMessage="1" showErrorMessage="1" sqref="AF34:AF61" xr:uid="{C1EE6595-BC45-42FC-BBE3-49A4A6862C7E}">
      <formula1>"&lt;50%,N/A"</formula1>
    </dataValidation>
    <dataValidation type="list" allowBlank="1" showInputMessage="1" showErrorMessage="1" sqref="U75:W75" xr:uid="{B4069106-E9DC-4B8E-8292-32C548E36B69}">
      <formula1>"N/A,PASS,FAIL"</formula1>
    </dataValidation>
    <dataValidation type="list" errorStyle="information" allowBlank="1" showInputMessage="1" promptTitle="Used in Formula" prompt="Please put a NUMBER here as it is used in formulas for the sheet" sqref="AB9:AJ9" xr:uid="{4F97A446-2060-45B0-81F0-7A2672B79915}">
      <formula1>"250,480,600,1000,2500,5000,8000,15000,25000,34500,46000"</formula1>
    </dataValidation>
    <dataValidation type="list" allowBlank="1" showInputMessage="1" showErrorMessage="1" sqref="L75:M75" xr:uid="{7684BD4C-F30F-432B-9B8A-B23C10D57BF6}">
      <formula1>"MΩ,GΩ"</formula1>
    </dataValidation>
    <dataValidation type="list" errorStyle="warning" allowBlank="1" showInputMessage="1" showErrorMessage="1" sqref="AH18:AL28" xr:uid="{E15D404C-AA51-4631-ADA9-94F30F90E8E7}">
      <formula1>",Satisfactory, Unsatisfactory,Cleaned,See Comments,Not Applicable, By Others"</formula1>
    </dataValidation>
    <dataValidation type="list" allowBlank="1" showInputMessage="1" showErrorMessage="1" sqref="AC68:AD68" xr:uid="{0CB8BCC2-9758-4CB0-9851-1E3527E32942}">
      <formula1>"kΩ,MΩ,GΩ"</formula1>
    </dataValidation>
    <dataValidation type="list" allowBlank="1" showInputMessage="1" showErrorMessage="1" sqref="B68 E68 H68 K68 N68 Q68 T68 W68 Z68" xr:uid="{B902CC23-B790-4486-BABD-1D30E6BEB216}">
      <formula1>"&gt;,&lt;"</formula1>
    </dataValidation>
  </dataValidations>
  <printOptions horizontalCentered="1"/>
  <pageMargins left="0.5" right="0.5" top="1" bottom="0.5" header="0.3" footer="0.3"/>
  <pageSetup scale="96" fitToHeight="0" orientation="portrait" r:id="rId1"/>
  <headerFooter>
    <oddHeader xml:space="preserve">&amp;L  &amp;G
                &amp;C&amp;"-,Bold"&amp;13Metal-Enclosed Busway
Inspection and Test Report&amp;R&amp;"-,Bold"&amp;12&amp;K000000&amp;G
ATS 7.4
2025 Edition      
&amp;14 </oddHeader>
    <oddFooter>&amp;L&amp;8&amp;K00-040AMPQES.COM&amp;C&amp;"Arial,Regular"&amp;9Sheet &amp;P of &amp;N&amp;R&amp;8 &amp;K00-040256-513-8255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Sheet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Ryan Marthaler</cp:lastModifiedBy>
  <cp:lastPrinted>2024-06-21T17:29:52Z</cp:lastPrinted>
  <dcterms:created xsi:type="dcterms:W3CDTF">2009-06-02T15:38:13Z</dcterms:created>
  <dcterms:modified xsi:type="dcterms:W3CDTF">2026-05-28T09:50:35Z</dcterms:modified>
</cp:coreProperties>
</file>
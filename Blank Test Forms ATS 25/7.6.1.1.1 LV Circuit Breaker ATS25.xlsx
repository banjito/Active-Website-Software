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heet" sheetId="1" r:id="rId4"/>
  </sheets>
  <definedNames/>
  <calcPr/>
  <extLst>
    <ext uri="GoogleSheetsCustomDataVersion2">
      <go:sheetsCustomData xmlns:go="http://customooxmlschemas.google.com/" r:id="rId5" roundtripDataChecksum="WE9b+KjopKeKXEomrDbz30+R1edrEJ55fLPrm+ra7wY="/>
    </ext>
  </extLst>
</workbook>
</file>

<file path=xl/sharedStrings.xml><?xml version="1.0" encoding="utf-8"?>
<sst xmlns="http://schemas.openxmlformats.org/spreadsheetml/2006/main" count="228" uniqueCount="172">
  <si>
    <t>Customer</t>
  </si>
  <si>
    <t>Job #</t>
  </si>
  <si>
    <t>PASS</t>
  </si>
  <si>
    <t>Address</t>
  </si>
  <si>
    <t>Technicians</t>
  </si>
  <si>
    <t>User</t>
  </si>
  <si>
    <t>Substation</t>
  </si>
  <si>
    <t>Date</t>
  </si>
  <si>
    <t>Temp.</t>
  </si>
  <si>
    <t>°F</t>
  </si>
  <si>
    <t>°C</t>
  </si>
  <si>
    <t>Humidity</t>
  </si>
  <si>
    <t>%</t>
  </si>
  <si>
    <t>Eqpt. Identifer</t>
  </si>
  <si>
    <t>Breaker Identifier</t>
  </si>
  <si>
    <t>Circuit / Cell No.</t>
  </si>
  <si>
    <t>Nameplate Data</t>
  </si>
  <si>
    <t>Manufacturer</t>
  </si>
  <si>
    <t>Frame Size (A)</t>
  </si>
  <si>
    <t>Curve No.</t>
  </si>
  <si>
    <t>Catalog Number</t>
  </si>
  <si>
    <t>Rating Plug (A)</t>
  </si>
  <si>
    <t>Operation</t>
  </si>
  <si>
    <t>Serial Number</t>
  </si>
  <si>
    <t>Rated Voltage (V)</t>
  </si>
  <si>
    <t>Mounting</t>
  </si>
  <si>
    <t>Breaker Type</t>
  </si>
  <si>
    <t>Operating Voltage (V)</t>
  </si>
  <si>
    <t>Zone Interlock</t>
  </si>
  <si>
    <t>Trip Unit Type</t>
  </si>
  <si>
    <t>I.C. Rating (kA)</t>
  </si>
  <si>
    <t>Thermal Memory</t>
  </si>
  <si>
    <t>Visual and Mechanical Inspection</t>
  </si>
  <si>
    <t>NETA Section</t>
  </si>
  <si>
    <t>Results</t>
  </si>
  <si>
    <t>7.6.1.1.1.A.1</t>
  </si>
  <si>
    <t>Compare equipment nameplate data with drawings.</t>
  </si>
  <si>
    <t>7.6.1.1.1.A.2</t>
  </si>
  <si>
    <t>Inspect physical and mechanical condition.</t>
  </si>
  <si>
    <t>7.6.1.1.1.A.3</t>
  </si>
  <si>
    <t>Verify the unit is clean.</t>
  </si>
  <si>
    <t>7.6.1.1.1.A.4</t>
  </si>
  <si>
    <t>Operate the circuit breaker to ensure smooth operation.</t>
  </si>
  <si>
    <t>7.6.1.1.1.A.5</t>
  </si>
  <si>
    <t>Verify tightness of accessible bolted electrical connections by calibrated torque-wrench method. Torque values shall be in accordance with manufacturer’s published data. In the absence of manufacturer’s data, use Table 100.12.</t>
  </si>
  <si>
    <t>7.6.1.1.1.A.6</t>
  </si>
  <si>
    <t>Perform adjustments for final protective device settings in accordance with the coordination study.</t>
  </si>
  <si>
    <t>7.6.1.1.1.A.7</t>
  </si>
  <si>
    <t>*Perform thermographic survey in accordance with Section 9.</t>
  </si>
  <si>
    <t>Device Settings</t>
  </si>
  <si>
    <t>Trip Type:</t>
  </si>
  <si>
    <t>MA</t>
  </si>
  <si>
    <t>Settings As Found</t>
  </si>
  <si>
    <t>Settings As Left</t>
  </si>
  <si>
    <t>Function</t>
  </si>
  <si>
    <t>Setting</t>
  </si>
  <si>
    <t>Delay</t>
  </si>
  <si>
    <r>
      <rPr>
        <rFont val="Calibri"/>
        <color theme="1"/>
        <sz val="10.0"/>
      </rPr>
      <t>I</t>
    </r>
    <r>
      <rPr>
        <rFont val="Calibri"/>
        <color theme="1"/>
        <sz val="10.0"/>
        <vertAlign val="superscript"/>
      </rPr>
      <t>2</t>
    </r>
    <r>
      <rPr>
        <rFont val="Calibri"/>
        <color theme="1"/>
        <sz val="10.0"/>
      </rPr>
      <t>t</t>
    </r>
  </si>
  <si>
    <r>
      <rPr>
        <rFont val="Calibri"/>
        <color theme="1"/>
        <sz val="10.0"/>
      </rPr>
      <t>I</t>
    </r>
    <r>
      <rPr>
        <rFont val="Calibri"/>
        <color theme="1"/>
        <sz val="10.0"/>
        <vertAlign val="superscript"/>
      </rPr>
      <t>2</t>
    </r>
    <r>
      <rPr>
        <rFont val="Calibri"/>
        <color theme="1"/>
        <sz val="10.0"/>
      </rPr>
      <t>t</t>
    </r>
  </si>
  <si>
    <t>Coordination Study</t>
  </si>
  <si>
    <t>No./ID.</t>
  </si>
  <si>
    <t>Rev.</t>
  </si>
  <si>
    <t>Instantaneous</t>
  </si>
  <si>
    <t>Ground Fault</t>
  </si>
  <si>
    <t>Electrical Tests - Contact/Pole Resistance</t>
  </si>
  <si>
    <t>Resistance Measurements</t>
  </si>
  <si>
    <t>Value Deviation</t>
  </si>
  <si>
    <t>Result</t>
  </si>
  <si>
    <t>Pole 1</t>
  </si>
  <si>
    <t>Pole 2</t>
  </si>
  <si>
    <t>Pole 3</t>
  </si>
  <si>
    <t>Units</t>
  </si>
  <si>
    <t>Measured</t>
  </si>
  <si>
    <t>Criteria</t>
  </si>
  <si>
    <t>µΩ</t>
  </si>
  <si>
    <t>&lt;50%</t>
  </si>
  <si>
    <t>Electrical Tests - Insulation Resistance</t>
  </si>
  <si>
    <t>Insulation Temperature (°F):</t>
  </si>
  <si>
    <t>Test Voltage (V):</t>
  </si>
  <si>
    <t>Temperature Correction Factor:</t>
  </si>
  <si>
    <t>Test Duration:</t>
  </si>
  <si>
    <t>1 min</t>
  </si>
  <si>
    <t>Test Points</t>
  </si>
  <si>
    <t>Breaker Position</t>
  </si>
  <si>
    <t>Measured Values</t>
  </si>
  <si>
    <t>Temperature Corrected</t>
  </si>
  <si>
    <t>Table 100.1 Criteria</t>
  </si>
  <si>
    <t>P1 (P1-P2)</t>
  </si>
  <si>
    <t>P2 (P2-P3)</t>
  </si>
  <si>
    <t>P3 (P3-P1)</t>
  </si>
  <si>
    <t>Value</t>
  </si>
  <si>
    <t>Pole to Pole</t>
  </si>
  <si>
    <t>Closed</t>
  </si>
  <si>
    <t>MΩ</t>
  </si>
  <si>
    <t>≥</t>
  </si>
  <si>
    <t>Pole to Frame</t>
  </si>
  <si>
    <t>Line to Load</t>
  </si>
  <si>
    <t>Open</t>
  </si>
  <si>
    <t>&gt;</t>
  </si>
  <si>
    <t>Electrical Tests - Current Sensing</t>
  </si>
  <si>
    <t>Tested Settings</t>
  </si>
  <si>
    <t>Test Type</t>
  </si>
  <si>
    <r>
      <rPr>
        <rFont val="Calibri"/>
        <color theme="1"/>
        <sz val="10.0"/>
      </rPr>
      <t>I</t>
    </r>
    <r>
      <rPr>
        <rFont val="Calibri"/>
        <color theme="1"/>
        <sz val="10.0"/>
        <vertAlign val="superscript"/>
      </rPr>
      <t>2</t>
    </r>
    <r>
      <rPr>
        <rFont val="Calibri"/>
        <color theme="1"/>
        <sz val="10.0"/>
      </rPr>
      <t>t</t>
    </r>
  </si>
  <si>
    <t>LTPU Indicator?</t>
  </si>
  <si>
    <t>Secondary Injection</t>
  </si>
  <si>
    <t>Fixed</t>
  </si>
  <si>
    <t>No</t>
  </si>
  <si>
    <t>21</t>
  </si>
  <si>
    <t>N/a</t>
  </si>
  <si>
    <t>Setting Amperes</t>
  </si>
  <si>
    <t>Multiplier %</t>
  </si>
  <si>
    <t>Test Amperes</t>
  </si>
  <si>
    <t>Tolerance</t>
  </si>
  <si>
    <t>Min</t>
  </si>
  <si>
    <t>Max</t>
  </si>
  <si>
    <t>sec.</t>
  </si>
  <si>
    <t>A</t>
  </si>
  <si>
    <t>STD</t>
  </si>
  <si>
    <t>STPU</t>
  </si>
  <si>
    <t>INST-D</t>
  </si>
  <si>
    <t>INST-PU</t>
  </si>
  <si>
    <t>GFD</t>
  </si>
  <si>
    <t>GFPU</t>
  </si>
  <si>
    <t>Test Equipment Used</t>
  </si>
  <si>
    <t>Digital Low-Resistance Ohmmeter:</t>
  </si>
  <si>
    <t>Serial Number:</t>
  </si>
  <si>
    <t>AMP ID:</t>
  </si>
  <si>
    <t>Megohmmeter:</t>
  </si>
  <si>
    <t>Primary Injection Test Set:</t>
  </si>
  <si>
    <t>Comments:</t>
  </si>
  <si>
    <t>Function Legend:</t>
  </si>
  <si>
    <t>LTD</t>
  </si>
  <si>
    <t>Long Time Delay</t>
  </si>
  <si>
    <t>Instantaneous Delay</t>
  </si>
  <si>
    <t>Thermal</t>
  </si>
  <si>
    <t xml:space="preserve">Overload protection element </t>
  </si>
  <si>
    <t>LTPU</t>
  </si>
  <si>
    <t>Long Time Pick-up</t>
  </si>
  <si>
    <t>Instantaneous Pick-up</t>
  </si>
  <si>
    <t>Magnetic</t>
  </si>
  <si>
    <t>Short circuit protection element</t>
  </si>
  <si>
    <t>Short Time Delay</t>
  </si>
  <si>
    <t>Ground Fault Delay</t>
  </si>
  <si>
    <t>Short Time Pick-up</t>
  </si>
  <si>
    <t>Ground Fault Pick-up</t>
  </si>
  <si>
    <t>Trip Type Legend:</t>
  </si>
  <si>
    <t>LI</t>
  </si>
  <si>
    <t>Long-Time, Instantaneous</t>
  </si>
  <si>
    <t>TMF</t>
  </si>
  <si>
    <t>Fixed Thermal, Fixed Magnetic</t>
  </si>
  <si>
    <t>LS</t>
  </si>
  <si>
    <t>Long Time, Short Time</t>
  </si>
  <si>
    <t>TMD</t>
  </si>
  <si>
    <t>AdjustableThermal, Fixed Magnetic</t>
  </si>
  <si>
    <t>LSI</t>
  </si>
  <si>
    <t xml:space="preserve">Long Time, Short Time, </t>
  </si>
  <si>
    <t>TMA</t>
  </si>
  <si>
    <t>Fixed Thermal, Adjustable Magnetic</t>
  </si>
  <si>
    <t>LIG</t>
  </si>
  <si>
    <t>Long Time, Instantaneous, Ground Fault</t>
  </si>
  <si>
    <t>TF</t>
  </si>
  <si>
    <t>Fixed Thermal</t>
  </si>
  <si>
    <t>LSG</t>
  </si>
  <si>
    <t>Long Time, Short Time, Ground Fault</t>
  </si>
  <si>
    <t>TA</t>
  </si>
  <si>
    <t>Adjustable Thermal</t>
  </si>
  <si>
    <t>LSIG</t>
  </si>
  <si>
    <t>Long Time, Short Time, Instantaneous, Ground Fault</t>
  </si>
  <si>
    <t>MF</t>
  </si>
  <si>
    <t>Fixed Magnetic</t>
  </si>
  <si>
    <t>G</t>
  </si>
  <si>
    <t>Adjustable Magnetic</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</si>
</sst>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4">
    <font>
      <sz val="11.0"/>
      <color theme="1"/>
      <name val="Calibri"/>
      <scheme val="minor"/>
    </font>
    <font>
      <sz val="10.0"/>
      <color theme="1"/>
      <name val="Calibri"/>
    </font>
    <font/>
    <font>
      <sz val="9.0"/>
      <color theme="1"/>
      <name val="Calibri"/>
    </font>
    <font>
      <b/>
      <sz val="9.0"/>
      <color theme="1"/>
      <name val="Calibri"/>
    </font>
    <font>
      <b/>
      <sz val="11.0"/>
      <color theme="1"/>
      <name val="Calibri"/>
    </font>
    <font>
      <b/>
      <u/>
      <sz val="10.0"/>
      <color rgb="FF351D13"/>
      <name val="Calibri"/>
    </font>
    <font>
      <b/>
      <sz val="10.0"/>
      <color rgb="FF663300"/>
      <name val="Calibri"/>
    </font>
    <font>
      <b/>
      <sz val="10.0"/>
      <color theme="1"/>
      <name val="Calibri"/>
    </font>
    <font>
      <b/>
      <u/>
      <sz val="10.0"/>
      <color theme="1"/>
      <name val="Calibri"/>
    </font>
    <font>
      <sz val="11.0"/>
      <color theme="1"/>
      <name val="Calibri"/>
    </font>
    <font>
      <sz val="8.0"/>
      <color theme="1"/>
      <name val="Calibri"/>
    </font>
    <font>
      <b/>
      <u/>
      <sz val="10.0"/>
      <color rgb="FF351D13"/>
      <name val="Calibri"/>
    </font>
    <font>
      <b/>
      <u/>
      <sz val="9.0"/>
      <color rgb="FF351D13"/>
      <name val="Calibri"/>
    </font>
  </fonts>
  <fills count="4">
    <fill>
      <patternFill patternType="none"/>
    </fill>
    <fill>
      <patternFill patternType="lightGray"/>
    </fill>
    <fill>
      <patternFill patternType="solid">
        <fgColor theme="0"/>
        <bgColor theme="0"/>
      </patternFill>
    </fill>
    <fill>
      <patternFill patternType="solid">
        <fgColor rgb="FFD8D8D8"/>
        <bgColor rgb="FFD8D8D8"/>
      </patternFill>
    </fill>
  </fills>
  <borders count="46">
    <border/>
    <border>
      <left/>
      <top style="medium">
        <color rgb="FFDAB56C"/>
      </top>
      <bottom/>
    </border>
    <border>
      <top style="medium">
        <color rgb="FFDAB56C"/>
      </top>
      <bottom/>
    </border>
    <border>
      <right/>
      <top style="medium">
        <color rgb="FFDAB56C"/>
      </top>
      <bottom/>
    </border>
    <border>
      <left/>
      <top/>
      <bottom/>
    </border>
    <border>
      <top/>
      <bottom/>
    </border>
    <border>
      <right/>
      <top/>
      <bottom/>
    </border>
    <border>
      <left/>
      <top/>
      <bottom style="thin">
        <color rgb="FF000000"/>
      </bottom>
    </border>
    <border>
      <top/>
      <bottom style="thin">
        <color rgb="FF000000"/>
      </bottom>
    </border>
    <border>
      <right/>
      <top/>
      <bottom style="thin">
        <color rgb="FF000000"/>
      </bottom>
    </border>
    <border>
      <left/>
      <right/>
      <top/>
      <bottom/>
    </border>
    <border>
      <left/>
      <top/>
    </border>
    <border>
      <top/>
    </border>
    <border>
      <right/>
      <top/>
    </border>
    <border>
      <lef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left/>
    </border>
    <border>
      <right/>
    </border>
    <border>
      <left/>
      <bottom/>
    </border>
    <border>
      <bottom/>
    </border>
    <border>
      <right/>
      <bottom/>
    </border>
    <border>
      <left/>
      <top/>
      <bottom style="thin">
        <color theme="1"/>
      </bottom>
    </border>
    <border>
      <right/>
      <top/>
      <bottom style="thin">
        <color theme="1"/>
      </bottom>
    </border>
    <border>
      <left/>
      <right/>
      <top style="thin">
        <color rgb="FF000000"/>
      </top>
      <bottom style="thin">
        <color theme="1"/>
      </bottom>
    </border>
    <border>
      <top/>
      <bottom style="thin">
        <color theme="1"/>
      </bottom>
    </border>
    <border>
      <left/>
      <top style="thin">
        <color theme="1"/>
      </top>
      <bottom style="thin">
        <color theme="1"/>
      </bottom>
    </border>
    <border>
      <top style="thin">
        <color theme="1"/>
      </top>
      <bottom style="thin">
        <color theme="1"/>
      </bottom>
    </border>
    <border>
      <right/>
      <top style="thin">
        <color theme="1"/>
      </top>
      <bottom style="thin">
        <color theme="1"/>
      </bottom>
    </border>
    <border>
      <left/>
      <right/>
      <top/>
      <bottom style="medium">
        <color rgb="FFDAB56C"/>
      </bottom>
    </border>
    <border>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bottom style="medium">
        <color rgb="FFDAB56C"/>
      </bottom>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right/>
      <top style="medium">
        <color rgb="FFDAB56C"/>
      </top>
      <bottom/>
    </border>
    <border>
      <left/>
      <right/>
      <top/>
      <bottom style="thin">
        <color rgb="FF000000"/>
      </bottom>
    </border>
    <border>
      <right/>
      <top style="thin">
        <color rgb="FF000000"/>
      </top>
    </border>
    <border>
      <left style="thin">
        <color rgb="FF000000"/>
      </left>
      <right/>
      <top style="thin">
        <color rgb="FF000000"/>
      </top>
      <bottom style="thin">
        <color rgb="FF000000"/>
      </bottom>
    </border>
    <border>
      <right/>
      <bottom style="thin">
        <color rgb="FF000000"/>
      </bottom>
    </border>
    <border>
      <left style="thin">
        <color rgb="FF000000"/>
      </left>
      <right/>
      <top/>
      <bottom style="thin">
        <color rgb="FF000000"/>
      </bottom>
    </border>
    <border>
      <left style="thin">
        <color rgb="FF000000"/>
      </left>
    </border>
  </borders>
  <cellStyleXfs count="1">
    <xf borderId="0" fillId="0" fontId="0" numFmtId="0" applyAlignment="1" applyFont="1"/>
  </cellStyleXfs>
  <cellXfs count="136">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0" fillId="0" fontId="1" numFmtId="0" xfId="0" applyAlignment="1" applyFont="1">
      <alignment vertical="center"/>
    </xf>
    <xf borderId="4" fillId="2" fontId="3" numFmtId="0" xfId="0" applyAlignment="1" applyBorder="1" applyFont="1">
      <alignment vertical="center"/>
    </xf>
    <xf borderId="5" fillId="0" fontId="2" numFmtId="0" xfId="0" applyBorder="1" applyFont="1"/>
    <xf borderId="6" fillId="0" fontId="2" numFmtId="0" xfId="0" applyBorder="1" applyFont="1"/>
    <xf borderId="7" fillId="2" fontId="3" numFmtId="49" xfId="0" applyAlignment="1" applyBorder="1" applyFont="1" applyNumberFormat="1">
      <alignment horizontal="center" vertical="center"/>
    </xf>
    <xf borderId="8" fillId="0" fontId="2" numFmtId="0" xfId="0" applyBorder="1" applyFont="1"/>
    <xf borderId="9" fillId="0" fontId="2" numFmtId="0" xfId="0" applyBorder="1" applyFont="1"/>
    <xf borderId="10" fillId="2" fontId="4" numFmtId="0" xfId="0" applyAlignment="1" applyBorder="1" applyFont="1">
      <alignment vertical="center"/>
    </xf>
    <xf borderId="4" fillId="2" fontId="3" numFmtId="0" xfId="0" applyAlignment="1" applyBorder="1" applyFont="1">
      <alignment horizontal="left" vertical="center"/>
    </xf>
    <xf borderId="10" fillId="2" fontId="3" numFmtId="0" xfId="0" applyAlignment="1" applyBorder="1" applyFont="1">
      <alignment vertical="center"/>
    </xf>
    <xf borderId="11" fillId="2" fontId="5" numFmtId="0" xfId="0" applyAlignment="1" applyBorder="1" applyFont="1">
      <alignment horizontal="center" shrinkToFit="0" vertical="center" wrapText="1"/>
    </xf>
    <xf borderId="12" fillId="0" fontId="2" numFmtId="0" xfId="0" applyBorder="1" applyFont="1"/>
    <xf borderId="13" fillId="0" fontId="2" numFmtId="0" xfId="0" applyBorder="1" applyFont="1"/>
    <xf borderId="14" fillId="2" fontId="3" numFmtId="49" xfId="0" applyAlignment="1" applyBorder="1" applyFont="1" applyNumberFormat="1">
      <alignment vertical="center"/>
    </xf>
    <xf borderId="15" fillId="0" fontId="2" numFmtId="0" xfId="0" applyBorder="1" applyFont="1"/>
    <xf borderId="16" fillId="0" fontId="2" numFmtId="0" xfId="0" applyBorder="1" applyFont="1"/>
    <xf borderId="14" fillId="2" fontId="3" numFmtId="49" xfId="0" applyAlignment="1" applyBorder="1" applyFont="1" applyNumberFormat="1">
      <alignment horizontal="center" vertical="center"/>
    </xf>
    <xf borderId="17" fillId="0" fontId="2" numFmtId="0" xfId="0" applyBorder="1" applyFont="1"/>
    <xf borderId="18" fillId="0" fontId="2" numFmtId="0" xfId="0" applyBorder="1" applyFont="1"/>
    <xf borderId="19" fillId="0" fontId="2" numFmtId="0" xfId="0" applyBorder="1" applyFont="1"/>
    <xf borderId="20" fillId="0" fontId="2" numFmtId="0" xfId="0" applyBorder="1" applyFont="1"/>
    <xf borderId="21" fillId="0" fontId="2" numFmtId="0" xfId="0" applyBorder="1" applyFont="1"/>
    <xf borderId="7" fillId="2" fontId="3" numFmtId="14" xfId="0" applyAlignment="1" applyBorder="1" applyFont="1" applyNumberFormat="1">
      <alignment horizontal="center" vertical="center"/>
    </xf>
    <xf borderId="4" fillId="2" fontId="3" numFmtId="0" xfId="0" applyAlignment="1" applyBorder="1" applyFont="1">
      <alignment horizontal="center" vertical="center"/>
    </xf>
    <xf borderId="7" fillId="2" fontId="3" numFmtId="0" xfId="0" applyAlignment="1" applyBorder="1" applyFont="1">
      <alignment horizontal="center" vertical="center"/>
    </xf>
    <xf borderId="22" fillId="2" fontId="3" numFmtId="0" xfId="0" applyAlignment="1" applyBorder="1" applyFont="1">
      <alignment horizontal="center" vertical="center"/>
    </xf>
    <xf borderId="23" fillId="0" fontId="2" numFmtId="0" xfId="0" applyBorder="1" applyFont="1"/>
    <xf borderId="4" fillId="2" fontId="3" numFmtId="0" xfId="0" applyAlignment="1" applyBorder="1" applyFont="1">
      <alignment horizontal="right" vertical="center"/>
    </xf>
    <xf borderId="24" fillId="2" fontId="3" numFmtId="49" xfId="0" applyAlignment="1" applyBorder="1" applyFont="1" applyNumberFormat="1">
      <alignment horizontal="center" vertical="center"/>
    </xf>
    <xf borderId="24" fillId="2" fontId="3" numFmtId="0" xfId="0" applyAlignment="1" applyBorder="1" applyFont="1">
      <alignment horizontal="center" vertical="center"/>
    </xf>
    <xf borderId="22" fillId="2" fontId="3" numFmtId="49" xfId="0" applyAlignment="1" applyBorder="1" applyFont="1" applyNumberFormat="1">
      <alignment horizontal="center" vertical="center"/>
    </xf>
    <xf borderId="25" fillId="0" fontId="2" numFmtId="0" xfId="0" applyBorder="1" applyFont="1"/>
    <xf borderId="26" fillId="2" fontId="3" numFmtId="49" xfId="0" applyAlignment="1" applyBorder="1" applyFont="1" applyNumberFormat="1">
      <alignment horizontal="center" vertical="center"/>
    </xf>
    <xf borderId="27" fillId="0" fontId="2" numFmtId="0" xfId="0" applyBorder="1" applyFont="1"/>
    <xf borderId="28" fillId="0" fontId="2" numFmtId="0" xfId="0" applyBorder="1" applyFont="1"/>
    <xf borderId="29" fillId="2" fontId="1" numFmtId="0" xfId="0" applyAlignment="1" applyBorder="1" applyFont="1">
      <alignment vertical="center"/>
    </xf>
    <xf borderId="10" fillId="2" fontId="6" numFmtId="0" xfId="0" applyAlignment="1" applyBorder="1" applyFont="1">
      <alignment vertical="center"/>
    </xf>
    <xf borderId="10" fillId="2" fontId="7" numFmtId="0" xfId="0" applyAlignment="1" applyBorder="1" applyFont="1">
      <alignment vertical="center"/>
    </xf>
    <xf borderId="10" fillId="2" fontId="8" numFmtId="0" xfId="0" applyAlignment="1" applyBorder="1" applyFont="1">
      <alignment vertical="center"/>
    </xf>
    <xf borderId="10" fillId="2" fontId="1" numFmtId="0" xfId="0" applyAlignment="1" applyBorder="1" applyFont="1">
      <alignment horizontal="center" vertical="center"/>
    </xf>
    <xf borderId="10" fillId="2" fontId="1" numFmtId="0" xfId="0" applyAlignment="1" applyBorder="1" applyFont="1">
      <alignment vertical="center"/>
    </xf>
    <xf borderId="10" fillId="2" fontId="1" numFmtId="49" xfId="0" applyAlignment="1" applyBorder="1" applyFont="1" applyNumberFormat="1">
      <alignment horizontal="center" vertical="center"/>
    </xf>
    <xf borderId="10" fillId="2" fontId="8" numFmtId="0" xfId="0" applyAlignment="1" applyBorder="1" applyFont="1">
      <alignment horizontal="left" vertical="center"/>
    </xf>
    <xf borderId="7" fillId="2" fontId="3" numFmtId="49" xfId="0" applyAlignment="1" applyBorder="1" applyFont="1" applyNumberFormat="1">
      <alignment vertical="center"/>
    </xf>
    <xf borderId="0" fillId="0" fontId="3" numFmtId="0" xfId="0" applyAlignment="1" applyFont="1">
      <alignment vertical="center"/>
    </xf>
    <xf borderId="30" fillId="0" fontId="3" numFmtId="49" xfId="0" applyAlignment="1" applyBorder="1" applyFont="1" applyNumberFormat="1">
      <alignment horizontal="center" vertical="center"/>
    </xf>
    <xf borderId="30" fillId="0" fontId="2" numFmtId="0" xfId="0" applyBorder="1" applyFont="1"/>
    <xf borderId="15" fillId="0" fontId="3" numFmtId="0" xfId="0" applyAlignment="1" applyBorder="1" applyFont="1">
      <alignment horizontal="center" vertical="center"/>
    </xf>
    <xf borderId="15" fillId="0" fontId="3" numFmtId="0" xfId="0" applyAlignment="1" applyBorder="1" applyFont="1">
      <alignment vertical="center"/>
    </xf>
    <xf borderId="15" fillId="0" fontId="1" numFmtId="0" xfId="0" applyAlignment="1" applyBorder="1" applyFont="1">
      <alignment horizontal="center"/>
    </xf>
    <xf borderId="10" fillId="2" fontId="3" numFmtId="49" xfId="0" applyAlignment="1" applyBorder="1" applyFont="1" applyNumberFormat="1">
      <alignment vertical="center"/>
    </xf>
    <xf borderId="10" fillId="2" fontId="3" numFmtId="0" xfId="0" applyAlignment="1" applyBorder="1" applyFont="1">
      <alignment horizontal="left" vertical="center"/>
    </xf>
    <xf borderId="0" fillId="0" fontId="1" numFmtId="0" xfId="0" applyAlignment="1" applyFont="1">
      <alignment horizontal="center"/>
    </xf>
    <xf borderId="10" fillId="2" fontId="9" numFmtId="0" xfId="0" applyAlignment="1" applyBorder="1" applyFont="1">
      <alignment vertical="center"/>
    </xf>
    <xf borderId="10" fillId="2" fontId="1" numFmtId="0" xfId="0" applyAlignment="1" applyBorder="1" applyFont="1">
      <alignment horizontal="left" vertical="center"/>
    </xf>
    <xf borderId="10" fillId="2" fontId="1" numFmtId="0" xfId="0" applyAlignment="1" applyBorder="1" applyFont="1">
      <alignment horizontal="right" vertical="center"/>
    </xf>
    <xf borderId="31" fillId="2" fontId="3" numFmtId="0" xfId="0" applyAlignment="1" applyBorder="1" applyFont="1">
      <alignment vertical="center"/>
    </xf>
    <xf borderId="32" fillId="0" fontId="2" numFmtId="0" xfId="0" applyBorder="1" applyFont="1"/>
    <xf borderId="31" fillId="2" fontId="3" numFmtId="0" xfId="0" applyAlignment="1" applyBorder="1" applyFont="1">
      <alignment horizontal="center" vertical="center"/>
    </xf>
    <xf borderId="31" fillId="2" fontId="3" numFmtId="0" xfId="0" applyAlignment="1" applyBorder="1" applyFont="1">
      <alignment shrinkToFit="0" vertical="center" wrapText="1"/>
    </xf>
    <xf borderId="10" fillId="2" fontId="3" numFmtId="0" xfId="0" applyAlignment="1" applyBorder="1" applyFont="1">
      <alignment shrinkToFit="0" vertical="center" wrapText="1"/>
    </xf>
    <xf borderId="10" fillId="2" fontId="3" numFmtId="0" xfId="0" applyAlignment="1" applyBorder="1" applyFont="1">
      <alignment horizontal="center" vertical="center"/>
    </xf>
    <xf borderId="0" fillId="0" fontId="10" numFmtId="0" xfId="0" applyAlignment="1" applyFont="1">
      <alignment horizontal="center" vertical="center"/>
    </xf>
    <xf borderId="33" fillId="0" fontId="1" numFmtId="0" xfId="0" applyAlignment="1" applyBorder="1" applyFont="1">
      <alignment vertical="center"/>
    </xf>
    <xf borderId="29" fillId="2" fontId="1" numFmtId="0" xfId="0" applyAlignment="1" applyBorder="1" applyFont="1">
      <alignment horizontal="left" vertical="center"/>
    </xf>
    <xf borderId="29" fillId="2" fontId="3" numFmtId="0" xfId="0" applyAlignment="1" applyBorder="1" applyFont="1">
      <alignment horizontal="left" shrinkToFit="0" vertical="center" wrapText="1"/>
    </xf>
    <xf borderId="29" fillId="2" fontId="3" numFmtId="0" xfId="0" applyAlignment="1" applyBorder="1" applyFont="1">
      <alignment vertical="center"/>
    </xf>
    <xf borderId="31" fillId="0" fontId="1" numFmtId="0" xfId="0" applyAlignment="1" applyBorder="1" applyFont="1">
      <alignment horizontal="center" vertical="center"/>
    </xf>
    <xf borderId="31" fillId="0" fontId="1" numFmtId="0" xfId="0" applyAlignment="1" applyBorder="1" applyFont="1">
      <alignment horizontal="center" readingOrder="0" vertical="center"/>
    </xf>
    <xf borderId="31" fillId="0" fontId="1" numFmtId="0" xfId="0" applyAlignment="1" applyBorder="1" applyFont="1">
      <alignment horizontal="center"/>
    </xf>
    <xf borderId="31" fillId="0" fontId="1" numFmtId="49" xfId="0" applyAlignment="1" applyBorder="1" applyFont="1" applyNumberFormat="1">
      <alignment horizontal="center" vertical="center"/>
    </xf>
    <xf borderId="31" fillId="3" fontId="1" numFmtId="49" xfId="0" applyAlignment="1" applyBorder="1" applyFill="1" applyFont="1" applyNumberFormat="1">
      <alignment horizontal="center" vertical="center"/>
    </xf>
    <xf borderId="34" fillId="0" fontId="1" numFmtId="0" xfId="0" applyAlignment="1" applyBorder="1" applyFont="1">
      <alignment horizontal="center" vertical="center"/>
    </xf>
    <xf borderId="35" fillId="0" fontId="2" numFmtId="0" xfId="0" applyBorder="1" applyFont="1"/>
    <xf borderId="10" fillId="2" fontId="1" numFmtId="0" xfId="0" applyAlignment="1" applyBorder="1" applyFont="1">
      <alignment shrinkToFit="0" vertical="center" wrapText="1"/>
    </xf>
    <xf borderId="31" fillId="2" fontId="1" numFmtId="0" xfId="0" applyAlignment="1" applyBorder="1" applyFont="1">
      <alignment horizontal="center" vertical="center"/>
    </xf>
    <xf borderId="29" fillId="2" fontId="1" numFmtId="0" xfId="0" applyAlignment="1" applyBorder="1" applyFont="1">
      <alignment horizontal="center" vertical="center"/>
    </xf>
    <xf borderId="31" fillId="0" fontId="1" numFmtId="0" xfId="0" applyAlignment="1" applyBorder="1" applyFont="1">
      <alignment horizontal="center" shrinkToFit="0" vertical="center" wrapText="1"/>
    </xf>
    <xf borderId="0" fillId="0" fontId="1" numFmtId="0" xfId="0" applyAlignment="1" applyFont="1">
      <alignment horizontal="center" vertical="center"/>
    </xf>
    <xf borderId="36" fillId="2" fontId="1" numFmtId="0" xfId="0" applyAlignment="1" applyBorder="1" applyFont="1">
      <alignment horizontal="center" shrinkToFit="0" vertical="center" wrapText="1"/>
    </xf>
    <xf borderId="37" fillId="0" fontId="2" numFmtId="0" xfId="0" applyBorder="1" applyFont="1"/>
    <xf borderId="38" fillId="0" fontId="2" numFmtId="0" xfId="0" applyBorder="1" applyFont="1"/>
    <xf borderId="31" fillId="2" fontId="1" numFmtId="10" xfId="0" applyAlignment="1" applyBorder="1" applyFont="1" applyNumberFormat="1">
      <alignment horizontal="center" vertical="center"/>
    </xf>
    <xf borderId="34" fillId="0" fontId="2" numFmtId="0" xfId="0" applyBorder="1" applyFont="1"/>
    <xf borderId="10" fillId="2" fontId="1" numFmtId="10" xfId="0" applyAlignment="1" applyBorder="1" applyFont="1" applyNumberFormat="1">
      <alignment horizontal="center" vertical="center"/>
    </xf>
    <xf borderId="10" fillId="2" fontId="1" numFmtId="0" xfId="0" applyAlignment="1" applyBorder="1" applyFont="1">
      <alignment horizontal="center" shrinkToFit="0" vertical="center" wrapText="1"/>
    </xf>
    <xf borderId="39" fillId="2" fontId="1" numFmtId="0" xfId="0" applyAlignment="1" applyBorder="1" applyFont="1">
      <alignment vertical="center"/>
    </xf>
    <xf borderId="31" fillId="0" fontId="3" numFmtId="0" xfId="0" applyAlignment="1" applyBorder="1" applyFont="1">
      <alignment horizontal="right" vertical="center"/>
    </xf>
    <xf borderId="31" fillId="0" fontId="3" numFmtId="0" xfId="0" applyAlignment="1" applyBorder="1" applyFont="1">
      <alignment horizontal="center" vertical="center"/>
    </xf>
    <xf borderId="31" fillId="2" fontId="3" numFmtId="0" xfId="0" applyAlignment="1" applyBorder="1" applyFont="1">
      <alignment horizontal="right" vertical="center"/>
    </xf>
    <xf borderId="36" fillId="0" fontId="3" numFmtId="0" xfId="0" applyAlignment="1" applyBorder="1" applyFont="1">
      <alignment horizontal="center" vertical="center"/>
    </xf>
    <xf borderId="36" fillId="0" fontId="3" numFmtId="0" xfId="0" applyAlignment="1" applyBorder="1" applyFont="1">
      <alignment horizontal="center" shrinkToFit="0" vertical="center" wrapText="1"/>
    </xf>
    <xf borderId="40" fillId="2" fontId="3" numFmtId="0" xfId="0" applyAlignment="1" applyBorder="1" applyFont="1">
      <alignment vertical="center"/>
    </xf>
    <xf borderId="31" fillId="0" fontId="11" numFmtId="0" xfId="0" applyAlignment="1" applyBorder="1" applyFont="1">
      <alignment horizontal="center" vertical="center"/>
    </xf>
    <xf borderId="36" fillId="0" fontId="3" numFmtId="49" xfId="0" applyAlignment="1" applyBorder="1" applyFont="1" applyNumberFormat="1">
      <alignment horizontal="center" vertical="center"/>
    </xf>
    <xf borderId="34" fillId="0" fontId="3" numFmtId="0" xfId="0" applyAlignment="1" applyBorder="1" applyFont="1">
      <alignment horizontal="center" vertical="center"/>
    </xf>
    <xf borderId="36" fillId="2" fontId="3" numFmtId="0" xfId="0" applyAlignment="1" applyBorder="1" applyFont="1">
      <alignment horizontal="center" vertical="center"/>
    </xf>
    <xf borderId="41" fillId="0" fontId="2" numFmtId="0" xfId="0" applyBorder="1" applyFont="1"/>
    <xf borderId="42" fillId="2" fontId="3" numFmtId="49" xfId="0" applyAlignment="1" applyBorder="1" applyFont="1" applyNumberFormat="1">
      <alignment horizontal="right" vertical="center"/>
    </xf>
    <xf borderId="14" fillId="2" fontId="3" numFmtId="0" xfId="0" applyAlignment="1" applyBorder="1" applyFont="1">
      <alignment horizontal="left" vertical="center"/>
    </xf>
    <xf borderId="42" fillId="2" fontId="3" numFmtId="164" xfId="0" applyAlignment="1" applyBorder="1" applyFont="1" applyNumberFormat="1">
      <alignment horizontal="right" vertical="center"/>
    </xf>
    <xf borderId="14" fillId="2" fontId="3" numFmtId="1" xfId="0" applyAlignment="1" applyBorder="1" applyFont="1" applyNumberFormat="1">
      <alignment horizontal="left" vertical="center"/>
    </xf>
    <xf borderId="14" fillId="2" fontId="3" numFmtId="0" xfId="0" applyAlignment="1" applyBorder="1" applyFont="1">
      <alignment horizontal="center" vertical="center"/>
    </xf>
    <xf borderId="15" fillId="0" fontId="3" numFmtId="0" xfId="0" applyAlignment="1" applyBorder="1" applyFont="1">
      <alignment horizontal="left" vertical="center"/>
    </xf>
    <xf borderId="31" fillId="2" fontId="3" numFmtId="0" xfId="0" applyAlignment="1" applyBorder="1" applyFont="1">
      <alignment horizontal="center" shrinkToFit="0" vertical="center" wrapText="1"/>
    </xf>
    <xf borderId="43" fillId="0" fontId="2" numFmtId="0" xfId="0" applyBorder="1" applyFont="1"/>
    <xf borderId="44" fillId="2" fontId="3" numFmtId="164" xfId="0" applyAlignment="1" applyBorder="1" applyFont="1" applyNumberFormat="1">
      <alignment horizontal="right" vertical="center"/>
    </xf>
    <xf borderId="39" fillId="2" fontId="12" numFmtId="0" xfId="0" applyAlignment="1" applyBorder="1" applyFont="1">
      <alignment vertical="center"/>
    </xf>
    <xf borderId="39" fillId="2" fontId="8" numFmtId="0" xfId="0" applyAlignment="1" applyBorder="1" applyFont="1">
      <alignment vertical="center"/>
    </xf>
    <xf borderId="4" fillId="2" fontId="1" numFmtId="0" xfId="0" applyAlignment="1" applyBorder="1" applyFont="1">
      <alignment horizontal="center" vertical="center"/>
    </xf>
    <xf borderId="36" fillId="0" fontId="1" numFmtId="0" xfId="0" applyAlignment="1" applyBorder="1" applyFont="1">
      <alignment horizontal="center" vertical="center"/>
    </xf>
    <xf borderId="36" fillId="0" fontId="1" numFmtId="0" xfId="0" applyAlignment="1" applyBorder="1" applyFont="1">
      <alignment horizontal="center" shrinkToFit="0" vertical="center" wrapText="1"/>
    </xf>
    <xf borderId="31" fillId="0" fontId="1" numFmtId="9" xfId="0" applyAlignment="1" applyBorder="1" applyFont="1" applyNumberFormat="1">
      <alignment horizontal="center"/>
    </xf>
    <xf borderId="31" fillId="2" fontId="1" numFmtId="0" xfId="0" applyAlignment="1" applyBorder="1" applyFont="1">
      <alignment horizontal="center" shrinkToFit="0" vertical="center" wrapText="1"/>
    </xf>
    <xf borderId="45" fillId="0" fontId="1" numFmtId="0" xfId="0" applyAlignment="1" applyBorder="1" applyFont="1">
      <alignment vertical="center"/>
    </xf>
    <xf borderId="31" fillId="2" fontId="1" numFmtId="0" xfId="0" applyAlignment="1" applyBorder="1" applyFont="1">
      <alignment horizontal="center"/>
    </xf>
    <xf borderId="31" fillId="2" fontId="1" numFmtId="9" xfId="0" applyAlignment="1" applyBorder="1" applyFont="1" applyNumberFormat="1">
      <alignment horizontal="center"/>
    </xf>
    <xf borderId="4" fillId="2" fontId="1" numFmtId="0" xfId="0" applyAlignment="1" applyBorder="1" applyFont="1">
      <alignment horizontal="right" vertical="center"/>
    </xf>
    <xf borderId="7" fillId="2" fontId="1" numFmtId="49" xfId="0" applyAlignment="1" applyBorder="1" applyFont="1" applyNumberFormat="1">
      <alignment horizontal="center" vertical="center"/>
    </xf>
    <xf borderId="0" fillId="0" fontId="1" numFmtId="49" xfId="0" applyAlignment="1" applyFont="1" applyNumberFormat="1">
      <alignment vertical="center"/>
    </xf>
    <xf borderId="7" fillId="2" fontId="1" numFmtId="49" xfId="0" applyAlignment="1" applyBorder="1" applyFont="1" applyNumberFormat="1">
      <alignment horizontal="center"/>
    </xf>
    <xf borderId="10" fillId="2" fontId="1" numFmtId="0" xfId="0" applyAlignment="1" applyBorder="1" applyFont="1">
      <alignment horizontal="right" shrinkToFit="0" vertical="center" wrapText="1"/>
    </xf>
    <xf borderId="10" fillId="2" fontId="1" numFmtId="49" xfId="0" applyAlignment="1" applyBorder="1" applyFont="1" applyNumberFormat="1">
      <alignment horizontal="center"/>
    </xf>
    <xf borderId="0" fillId="0" fontId="1" numFmtId="0" xfId="0" applyAlignment="1" applyFont="1">
      <alignment horizontal="left" vertical="top"/>
    </xf>
    <xf borderId="10" fillId="2" fontId="13" numFmtId="0" xfId="0" applyAlignment="1" applyBorder="1" applyFont="1">
      <alignment vertical="center"/>
    </xf>
    <xf borderId="31" fillId="0" fontId="3" numFmtId="0" xfId="0" applyAlignment="1" applyBorder="1" applyFont="1">
      <alignment horizontal="center" shrinkToFit="0" vertical="center" wrapText="1"/>
    </xf>
    <xf borderId="31" fillId="0" fontId="3" numFmtId="0" xfId="0" applyAlignment="1" applyBorder="1" applyFont="1">
      <alignment vertical="center"/>
    </xf>
    <xf borderId="31" fillId="0" fontId="3" numFmtId="49" xfId="0" applyAlignment="1" applyBorder="1" applyFont="1" applyNumberFormat="1">
      <alignment shrinkToFit="0" vertical="center" wrapText="1"/>
    </xf>
    <xf borderId="0" fillId="0" fontId="3" numFmtId="49" xfId="0" applyAlignment="1" applyFont="1" applyNumberFormat="1">
      <alignment horizontal="left" shrinkToFit="0" vertical="center" wrapText="1"/>
    </xf>
    <xf borderId="0" fillId="0" fontId="1" numFmtId="49" xfId="0" applyAlignment="1" applyFont="1" applyNumberFormat="1">
      <alignment horizontal="left" shrinkToFit="0" vertical="top" wrapText="1"/>
    </xf>
    <xf borderId="31" fillId="0" fontId="3" numFmtId="49" xfId="0" applyAlignment="1" applyBorder="1" applyFont="1" applyNumberFormat="1">
      <alignment horizontal="center" shrinkToFit="0" vertical="top" wrapText="1"/>
    </xf>
    <xf borderId="31" fillId="0" fontId="3" numFmtId="49" xfId="0" applyAlignment="1" applyBorder="1" applyFont="1" applyNumberFormat="1">
      <alignment shrinkToFit="0" vertical="top" wrapText="1"/>
    </xf>
  </cellXfs>
  <cellStyles count="1">
    <cellStyle xfId="0" name="Normal" builtinId="0"/>
  </cellStyles>
  <dxfs count="15">
    <dxf>
      <font/>
      <fill>
        <patternFill patternType="none"/>
      </fill>
      <border>
        <bottom style="thin">
          <color rgb="FF000000"/>
        </bottom>
      </border>
    </dxf>
    <dxf>
      <font/>
      <fill>
        <patternFill patternType="none"/>
      </fill>
      <border>
        <top style="thin">
          <color rgb="FF000000"/>
        </top>
      </border>
    </dxf>
    <dxf>
      <font/>
      <numFmt numFmtId="0" formatCode=";;;"/>
      <fill>
        <patternFill patternType="solid">
          <fgColor theme="0"/>
          <bgColor theme="0"/>
        </patternFill>
      </fill>
      <border/>
    </dxf>
    <dxf>
      <font/>
      <fill>
        <patternFill patternType="none"/>
      </fill>
      <border>
        <left style="thin">
          <color rgb="FF000000"/>
        </left>
      </border>
    </dxf>
    <dxf>
      <font/>
      <fill>
        <patternFill patternType="none"/>
      </fill>
      <border>
        <top style="thin">
          <color rgb="FF000000"/>
        </top>
        <bottom style="thin">
          <color rgb="FF000000"/>
        </bottom>
      </border>
    </dxf>
    <dxf>
      <font/>
      <numFmt numFmtId="0" formatCode=";;;"/>
      <fill>
        <patternFill patternType="solid">
          <fgColor rgb="FFD8D8D8"/>
          <bgColor rgb="FFD8D8D8"/>
        </patternFill>
      </fill>
      <border/>
    </dxf>
    <dxf>
      <font/>
      <fill>
        <patternFill patternType="solid">
          <fgColor rgb="FFD8D8D8"/>
          <bgColor rgb="FFD8D8D8"/>
        </patternFill>
      </fill>
      <border>
        <left style="thin">
          <color rgb="FF000000"/>
        </left>
        <right style="thin">
          <color rgb="FF000000"/>
        </right>
        <top style="thin">
          <color rgb="FF000000"/>
        </top>
        <bottom style="thin">
          <color rgb="FF000000"/>
        </bottom>
      </border>
    </dxf>
    <dxf>
      <font/>
      <fill>
        <patternFill patternType="solid">
          <fgColor rgb="FFFFFF00"/>
          <bgColor rgb="FFFFFF00"/>
        </patternFill>
      </fill>
      <border/>
    </dxf>
    <dxf>
      <font>
        <color rgb="FF9C5700"/>
      </font>
      <fill>
        <patternFill patternType="solid">
          <fgColor rgb="FFFFEB9C"/>
          <bgColor rgb="FFFFEB9C"/>
        </patternFill>
      </fill>
      <border/>
    </dxf>
    <dxf>
      <font>
        <color rgb="FF9C0006"/>
      </font>
      <fill>
        <patternFill patternType="solid">
          <fgColor rgb="FFFFC7CE"/>
          <bgColor rgb="FFFFC7CE"/>
        </patternFill>
      </fill>
      <border/>
    </dxf>
    <dxf>
      <font>
        <color rgb="FF006100"/>
      </font>
      <fill>
        <patternFill patternType="solid">
          <fgColor rgb="FFC6EFCE"/>
          <bgColor rgb="FFC6EFCE"/>
        </patternFill>
      </fill>
      <border/>
    </dxf>
    <dxf>
      <font/>
      <numFmt numFmtId="0" formatCode=";;;"/>
      <fill>
        <patternFill patternType="none"/>
      </fill>
      <border/>
    </dxf>
    <dxf>
      <font>
        <color rgb="FF9C0006"/>
      </font>
      <numFmt numFmtId="0" formatCode=""/>
      <fill>
        <patternFill patternType="solid">
          <fgColor rgb="FFFFC7CE"/>
          <bgColor rgb="FFFFC7CE"/>
        </patternFill>
      </fill>
      <border/>
    </dxf>
    <dxf>
      <font>
        <color rgb="FF006100"/>
      </font>
      <numFmt numFmtId="0" formatCode=""/>
      <fill>
        <patternFill patternType="solid">
          <fgColor rgb="FFC6EFCE"/>
          <bgColor rgb="FFC6EFCE"/>
        </patternFill>
      </fill>
      <border/>
    </dxf>
    <dxf>
      <font/>
      <fill>
        <patternFill patternType="none"/>
      </fill>
      <border>
        <right style="thin">
          <color rgb="FF000000"/>
        </right>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39" width="2.43"/>
  </cols>
  <sheetData>
    <row r="1" ht="5.25" customHeight="1">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3"/>
    </row>
    <row r="2" ht="11.25" customHeight="1">
      <c r="A2" s="4"/>
      <c r="B2" s="5" t="s">
        <v>0</v>
      </c>
      <c r="C2" s="6"/>
      <c r="D2" s="6"/>
      <c r="E2" s="7"/>
      <c r="F2" s="4"/>
      <c r="G2" s="8"/>
      <c r="H2" s="9"/>
      <c r="I2" s="9"/>
      <c r="J2" s="9"/>
      <c r="K2" s="9"/>
      <c r="L2" s="9"/>
      <c r="M2" s="9"/>
      <c r="N2" s="9"/>
      <c r="O2" s="9"/>
      <c r="P2" s="9"/>
      <c r="Q2" s="9"/>
      <c r="R2" s="9"/>
      <c r="S2" s="9"/>
      <c r="T2" s="9"/>
      <c r="U2" s="9"/>
      <c r="V2" s="9"/>
      <c r="W2" s="9"/>
      <c r="X2" s="10"/>
      <c r="Y2" s="11"/>
      <c r="Z2" s="12" t="s">
        <v>1</v>
      </c>
      <c r="AA2" s="6"/>
      <c r="AB2" s="6"/>
      <c r="AC2" s="6"/>
      <c r="AD2" s="7"/>
      <c r="AE2" s="8"/>
      <c r="AF2" s="9"/>
      <c r="AG2" s="9"/>
      <c r="AH2" s="10"/>
      <c r="AI2" s="13"/>
      <c r="AJ2" s="14" t="s">
        <v>2</v>
      </c>
      <c r="AK2" s="15"/>
      <c r="AL2" s="16"/>
      <c r="AM2" s="4"/>
    </row>
    <row r="3" ht="11.25" customHeight="1">
      <c r="A3" s="4"/>
      <c r="B3" s="5" t="s">
        <v>3</v>
      </c>
      <c r="C3" s="6"/>
      <c r="D3" s="6"/>
      <c r="E3" s="7"/>
      <c r="F3" s="4"/>
      <c r="G3" s="17"/>
      <c r="H3" s="18"/>
      <c r="I3" s="18"/>
      <c r="J3" s="18"/>
      <c r="K3" s="18"/>
      <c r="L3" s="18"/>
      <c r="M3" s="18"/>
      <c r="N3" s="18"/>
      <c r="O3" s="18"/>
      <c r="P3" s="18"/>
      <c r="Q3" s="18"/>
      <c r="R3" s="18"/>
      <c r="S3" s="18"/>
      <c r="T3" s="18"/>
      <c r="U3" s="18"/>
      <c r="V3" s="18"/>
      <c r="W3" s="18"/>
      <c r="X3" s="19"/>
      <c r="Y3" s="11"/>
      <c r="Z3" s="12" t="s">
        <v>4</v>
      </c>
      <c r="AA3" s="6"/>
      <c r="AB3" s="6"/>
      <c r="AC3" s="6"/>
      <c r="AD3" s="7"/>
      <c r="AE3" s="20"/>
      <c r="AF3" s="18"/>
      <c r="AG3" s="18"/>
      <c r="AH3" s="19"/>
      <c r="AI3" s="13"/>
      <c r="AJ3" s="21"/>
      <c r="AL3" s="22"/>
      <c r="AM3" s="4"/>
    </row>
    <row r="4" ht="11.25" customHeight="1">
      <c r="A4" s="4"/>
      <c r="B4" s="5" t="s">
        <v>5</v>
      </c>
      <c r="C4" s="6"/>
      <c r="D4" s="6"/>
      <c r="E4" s="7"/>
      <c r="F4" s="4"/>
      <c r="G4" s="17"/>
      <c r="H4" s="18"/>
      <c r="I4" s="18"/>
      <c r="J4" s="18"/>
      <c r="K4" s="18"/>
      <c r="L4" s="18"/>
      <c r="M4" s="18"/>
      <c r="N4" s="18"/>
      <c r="O4" s="18"/>
      <c r="P4" s="18"/>
      <c r="Q4" s="18"/>
      <c r="R4" s="18"/>
      <c r="S4" s="18"/>
      <c r="T4" s="18"/>
      <c r="U4" s="18"/>
      <c r="V4" s="18"/>
      <c r="W4" s="18"/>
      <c r="X4" s="19"/>
      <c r="Y4" s="13"/>
      <c r="Z4" s="12" t="s">
        <v>6</v>
      </c>
      <c r="AA4" s="6"/>
      <c r="AB4" s="6"/>
      <c r="AC4" s="6"/>
      <c r="AD4" s="7"/>
      <c r="AE4" s="20"/>
      <c r="AF4" s="18"/>
      <c r="AG4" s="18"/>
      <c r="AH4" s="19"/>
      <c r="AI4" s="13"/>
      <c r="AJ4" s="23"/>
      <c r="AK4" s="24"/>
      <c r="AL4" s="25"/>
      <c r="AM4" s="4"/>
    </row>
    <row r="5" ht="11.25" customHeight="1">
      <c r="A5" s="4"/>
      <c r="B5" s="5" t="s">
        <v>7</v>
      </c>
      <c r="C5" s="6"/>
      <c r="D5" s="6"/>
      <c r="E5" s="7"/>
      <c r="F5" s="4"/>
      <c r="G5" s="26"/>
      <c r="H5" s="9"/>
      <c r="I5" s="9"/>
      <c r="J5" s="10"/>
      <c r="K5" s="13"/>
      <c r="L5" s="27" t="s">
        <v>8</v>
      </c>
      <c r="M5" s="7"/>
      <c r="N5" s="28"/>
      <c r="O5" s="10"/>
      <c r="P5" s="13" t="s">
        <v>9</v>
      </c>
      <c r="Q5" s="29">
        <f>ROUND((N5-32)*5/9,1)</f>
        <v>-17.8</v>
      </c>
      <c r="R5" s="30"/>
      <c r="S5" s="13" t="s">
        <v>10</v>
      </c>
      <c r="T5" s="31" t="s">
        <v>11</v>
      </c>
      <c r="U5" s="6"/>
      <c r="V5" s="7"/>
      <c r="W5" s="32"/>
      <c r="X5" s="33" t="s">
        <v>12</v>
      </c>
      <c r="Y5" s="13"/>
      <c r="Z5" s="12" t="s">
        <v>13</v>
      </c>
      <c r="AA5" s="6"/>
      <c r="AB5" s="6"/>
      <c r="AC5" s="6"/>
      <c r="AD5" s="7"/>
      <c r="AE5" s="34"/>
      <c r="AF5" s="35"/>
      <c r="AG5" s="35"/>
      <c r="AH5" s="35"/>
      <c r="AI5" s="35"/>
      <c r="AJ5" s="35"/>
      <c r="AK5" s="35"/>
      <c r="AL5" s="30"/>
      <c r="AM5" s="4"/>
    </row>
    <row r="6" ht="11.25" customHeight="1">
      <c r="A6" s="4"/>
      <c r="B6" s="12" t="s">
        <v>14</v>
      </c>
      <c r="C6" s="6"/>
      <c r="D6" s="6"/>
      <c r="E6" s="6"/>
      <c r="F6" s="7"/>
      <c r="G6" s="8"/>
      <c r="H6" s="9"/>
      <c r="I6" s="9"/>
      <c r="J6" s="9"/>
      <c r="K6" s="9"/>
      <c r="L6" s="9"/>
      <c r="M6" s="9"/>
      <c r="N6" s="9"/>
      <c r="O6" s="9"/>
      <c r="P6" s="9"/>
      <c r="Q6" s="9"/>
      <c r="R6" s="9"/>
      <c r="S6" s="9"/>
      <c r="T6" s="9"/>
      <c r="U6" s="9"/>
      <c r="V6" s="9"/>
      <c r="W6" s="9"/>
      <c r="X6" s="10"/>
      <c r="Y6" s="13"/>
      <c r="Z6" s="12" t="s">
        <v>15</v>
      </c>
      <c r="AA6" s="6"/>
      <c r="AB6" s="6"/>
      <c r="AC6" s="6"/>
      <c r="AD6" s="7"/>
      <c r="AE6" s="36"/>
      <c r="AF6" s="37"/>
      <c r="AG6" s="37"/>
      <c r="AH6" s="37"/>
      <c r="AI6" s="37"/>
      <c r="AJ6" s="37"/>
      <c r="AK6" s="37"/>
      <c r="AL6" s="38"/>
      <c r="AM6" s="4"/>
    </row>
    <row r="7" ht="11.2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row>
    <row r="8" ht="11.25" customHeight="1">
      <c r="A8" s="40" t="s">
        <v>16</v>
      </c>
      <c r="B8" s="41"/>
      <c r="C8" s="41"/>
      <c r="D8" s="41"/>
      <c r="E8" s="41"/>
      <c r="F8" s="42"/>
      <c r="G8" s="43"/>
      <c r="H8" s="43"/>
      <c r="I8" s="43"/>
      <c r="J8" s="43"/>
      <c r="K8" s="43"/>
      <c r="L8" s="43"/>
      <c r="M8" s="43"/>
      <c r="N8" s="43"/>
      <c r="O8" s="43"/>
      <c r="P8" s="43"/>
      <c r="Q8" s="43"/>
      <c r="R8" s="43"/>
      <c r="S8" s="43"/>
      <c r="T8" s="43"/>
      <c r="U8" s="43"/>
      <c r="V8" s="43"/>
      <c r="W8" s="44"/>
      <c r="X8" s="43"/>
      <c r="Y8" s="44"/>
      <c r="Z8" s="45"/>
      <c r="AA8" s="44"/>
      <c r="AB8" s="44"/>
      <c r="AC8" s="44"/>
      <c r="AD8" s="44"/>
      <c r="AE8" s="44"/>
      <c r="AF8" s="44"/>
      <c r="AG8" s="44"/>
      <c r="AH8" s="4"/>
      <c r="AI8" s="4"/>
      <c r="AJ8" s="4"/>
      <c r="AK8" s="4"/>
      <c r="AL8" s="4"/>
      <c r="AM8" s="44"/>
    </row>
    <row r="9" ht="11.25" customHeight="1">
      <c r="A9" s="40"/>
      <c r="B9" s="41"/>
      <c r="C9" s="41"/>
      <c r="D9" s="41"/>
      <c r="E9" s="41"/>
      <c r="F9" s="42"/>
      <c r="G9" s="43"/>
      <c r="H9" s="43"/>
      <c r="I9" s="43"/>
      <c r="J9" s="43"/>
      <c r="K9" s="43"/>
      <c r="L9" s="43"/>
      <c r="M9" s="43"/>
      <c r="N9" s="43"/>
      <c r="O9" s="43"/>
      <c r="P9" s="43"/>
      <c r="Q9" s="43"/>
      <c r="R9" s="43"/>
      <c r="S9" s="43"/>
      <c r="T9" s="43"/>
      <c r="U9" s="4"/>
      <c r="V9" s="4"/>
      <c r="W9" s="4"/>
      <c r="X9" s="4"/>
      <c r="Y9" s="4"/>
      <c r="Z9" s="45"/>
      <c r="AA9" s="44"/>
      <c r="AB9" s="44"/>
      <c r="AC9" s="44"/>
      <c r="AD9" s="44"/>
      <c r="AE9" s="44"/>
      <c r="AF9" s="44"/>
      <c r="AG9" s="44"/>
      <c r="AH9" s="4"/>
      <c r="AI9" s="4"/>
      <c r="AJ9" s="4"/>
      <c r="AK9" s="4"/>
      <c r="AL9" s="4"/>
      <c r="AM9" s="44"/>
    </row>
    <row r="10" ht="11.25" customHeight="1">
      <c r="A10" s="46"/>
      <c r="B10" s="5" t="s">
        <v>17</v>
      </c>
      <c r="C10" s="6"/>
      <c r="D10" s="6"/>
      <c r="E10" s="6"/>
      <c r="F10" s="7"/>
      <c r="G10" s="47"/>
      <c r="H10" s="9"/>
      <c r="I10" s="9"/>
      <c r="J10" s="9"/>
      <c r="K10" s="9"/>
      <c r="L10" s="9"/>
      <c r="M10" s="10"/>
      <c r="N10" s="4"/>
      <c r="O10" s="5" t="s">
        <v>18</v>
      </c>
      <c r="P10" s="6"/>
      <c r="Q10" s="6"/>
      <c r="R10" s="6"/>
      <c r="S10" s="6"/>
      <c r="T10" s="7"/>
      <c r="U10" s="8"/>
      <c r="V10" s="9"/>
      <c r="W10" s="9"/>
      <c r="X10" s="9"/>
      <c r="Y10" s="10"/>
      <c r="Z10" s="4"/>
      <c r="AA10" s="5" t="s">
        <v>19</v>
      </c>
      <c r="AB10" s="6"/>
      <c r="AC10" s="6"/>
      <c r="AD10" s="6"/>
      <c r="AE10" s="7"/>
      <c r="AF10" s="47"/>
      <c r="AG10" s="9"/>
      <c r="AH10" s="9"/>
      <c r="AI10" s="9"/>
      <c r="AJ10" s="9"/>
      <c r="AK10" s="9"/>
      <c r="AL10" s="10"/>
      <c r="AM10" s="44"/>
    </row>
    <row r="11" ht="11.25" customHeight="1">
      <c r="A11" s="46"/>
      <c r="B11" s="5" t="s">
        <v>20</v>
      </c>
      <c r="C11" s="6"/>
      <c r="D11" s="6"/>
      <c r="E11" s="6"/>
      <c r="F11" s="7"/>
      <c r="G11" s="17"/>
      <c r="H11" s="18"/>
      <c r="I11" s="18"/>
      <c r="J11" s="18"/>
      <c r="K11" s="18"/>
      <c r="L11" s="18"/>
      <c r="M11" s="19"/>
      <c r="N11" s="4"/>
      <c r="O11" s="5" t="s">
        <v>21</v>
      </c>
      <c r="P11" s="6"/>
      <c r="Q11" s="6"/>
      <c r="R11" s="6"/>
      <c r="S11" s="6"/>
      <c r="T11" s="7"/>
      <c r="U11" s="20"/>
      <c r="V11" s="18"/>
      <c r="W11" s="18"/>
      <c r="X11" s="18"/>
      <c r="Y11" s="19"/>
      <c r="Z11" s="4"/>
      <c r="AA11" s="48" t="s">
        <v>22</v>
      </c>
      <c r="AF11" s="49"/>
      <c r="AG11" s="50"/>
      <c r="AH11" s="50"/>
      <c r="AI11" s="50"/>
      <c r="AJ11" s="50"/>
      <c r="AK11" s="50"/>
      <c r="AL11" s="50"/>
      <c r="AM11" s="44"/>
    </row>
    <row r="12" ht="11.25" customHeight="1">
      <c r="A12" s="46"/>
      <c r="B12" s="5" t="s">
        <v>23</v>
      </c>
      <c r="C12" s="6"/>
      <c r="D12" s="6"/>
      <c r="E12" s="6"/>
      <c r="F12" s="7"/>
      <c r="G12" s="17"/>
      <c r="H12" s="18"/>
      <c r="I12" s="18"/>
      <c r="J12" s="18"/>
      <c r="K12" s="18"/>
      <c r="L12" s="18"/>
      <c r="M12" s="19"/>
      <c r="N12" s="4"/>
      <c r="O12" s="48" t="s">
        <v>24</v>
      </c>
      <c r="U12" s="51"/>
      <c r="V12" s="18"/>
      <c r="W12" s="18"/>
      <c r="X12" s="18"/>
      <c r="Y12" s="18"/>
      <c r="Z12" s="48"/>
      <c r="AA12" s="48" t="s">
        <v>25</v>
      </c>
      <c r="AF12" s="52"/>
      <c r="AG12" s="18"/>
      <c r="AH12" s="18"/>
      <c r="AI12" s="18"/>
      <c r="AJ12" s="18"/>
      <c r="AK12" s="18"/>
      <c r="AL12" s="18"/>
      <c r="AM12" s="44"/>
    </row>
    <row r="13" ht="11.25" customHeight="1">
      <c r="A13" s="46"/>
      <c r="B13" s="5" t="s">
        <v>26</v>
      </c>
      <c r="C13" s="6"/>
      <c r="D13" s="6"/>
      <c r="E13" s="6"/>
      <c r="F13" s="7"/>
      <c r="G13" s="17"/>
      <c r="H13" s="18"/>
      <c r="I13" s="18"/>
      <c r="J13" s="18"/>
      <c r="K13" s="18"/>
      <c r="L13" s="18"/>
      <c r="M13" s="19"/>
      <c r="N13" s="4"/>
      <c r="O13" s="48" t="s">
        <v>27</v>
      </c>
      <c r="U13" s="51"/>
      <c r="V13" s="18"/>
      <c r="W13" s="18"/>
      <c r="X13" s="18"/>
      <c r="Y13" s="18"/>
      <c r="Z13" s="4"/>
      <c r="AA13" s="48" t="s">
        <v>28</v>
      </c>
      <c r="AF13" s="52"/>
      <c r="AG13" s="18"/>
      <c r="AH13" s="18"/>
      <c r="AI13" s="18"/>
      <c r="AJ13" s="18"/>
      <c r="AK13" s="18"/>
      <c r="AL13" s="18"/>
      <c r="AM13" s="44"/>
    </row>
    <row r="14" ht="11.25" customHeight="1">
      <c r="A14" s="46"/>
      <c r="B14" s="5" t="s">
        <v>29</v>
      </c>
      <c r="C14" s="6"/>
      <c r="D14" s="6"/>
      <c r="E14" s="6"/>
      <c r="F14" s="7"/>
      <c r="G14" s="17"/>
      <c r="H14" s="18"/>
      <c r="I14" s="18"/>
      <c r="J14" s="18"/>
      <c r="K14" s="18"/>
      <c r="L14" s="18"/>
      <c r="M14" s="19"/>
      <c r="N14" s="4"/>
      <c r="O14" s="12" t="s">
        <v>30</v>
      </c>
      <c r="P14" s="6"/>
      <c r="Q14" s="6"/>
      <c r="R14" s="6"/>
      <c r="S14" s="6"/>
      <c r="T14" s="7"/>
      <c r="U14" s="53"/>
      <c r="V14" s="18"/>
      <c r="W14" s="18"/>
      <c r="X14" s="18"/>
      <c r="Y14" s="18"/>
      <c r="Z14" s="4"/>
      <c r="AA14" s="48" t="s">
        <v>31</v>
      </c>
      <c r="AF14" s="52"/>
      <c r="AG14" s="18"/>
      <c r="AH14" s="18"/>
      <c r="AI14" s="18"/>
      <c r="AJ14" s="18"/>
      <c r="AK14" s="18"/>
      <c r="AL14" s="18"/>
      <c r="AM14" s="44"/>
    </row>
    <row r="15" ht="11.25" customHeight="1">
      <c r="A15" s="46"/>
      <c r="B15" s="13"/>
      <c r="C15" s="13"/>
      <c r="D15" s="13"/>
      <c r="E15" s="13"/>
      <c r="F15" s="13"/>
      <c r="G15" s="54"/>
      <c r="H15" s="54"/>
      <c r="I15" s="54"/>
      <c r="J15" s="54"/>
      <c r="K15" s="54"/>
      <c r="L15" s="54"/>
      <c r="M15" s="54"/>
      <c r="N15" s="4"/>
      <c r="O15" s="55"/>
      <c r="P15" s="55"/>
      <c r="Q15" s="55"/>
      <c r="R15" s="55"/>
      <c r="S15" s="55"/>
      <c r="T15" s="55"/>
      <c r="U15" s="56"/>
      <c r="V15" s="56"/>
      <c r="W15" s="56"/>
      <c r="X15" s="56"/>
      <c r="Y15" s="56"/>
      <c r="Z15" s="4"/>
      <c r="AA15" s="48"/>
      <c r="AB15" s="48"/>
      <c r="AC15" s="48"/>
      <c r="AD15" s="48"/>
      <c r="AE15" s="48"/>
      <c r="AF15" s="48"/>
      <c r="AG15" s="48"/>
      <c r="AH15" s="48"/>
      <c r="AI15" s="48"/>
      <c r="AJ15" s="48"/>
      <c r="AK15" s="48"/>
      <c r="AL15" s="48"/>
      <c r="AM15" s="44"/>
    </row>
    <row r="16" ht="11.25" customHeight="1">
      <c r="A16" s="39"/>
      <c r="B16" s="39"/>
      <c r="C16" s="39"/>
      <c r="D16" s="39"/>
      <c r="E16" s="39"/>
      <c r="F16" s="39"/>
      <c r="G16" s="39"/>
      <c r="H16" s="39"/>
      <c r="I16" s="39"/>
      <c r="J16" s="39"/>
      <c r="K16" s="39"/>
      <c r="L16" s="39"/>
      <c r="M16" s="39"/>
      <c r="N16" s="39"/>
      <c r="O16" s="39"/>
      <c r="P16" s="39"/>
      <c r="Q16" s="39"/>
      <c r="R16" s="39"/>
      <c r="S16" s="39"/>
      <c r="T16" s="39"/>
      <c r="U16" s="39"/>
      <c r="V16" s="39"/>
      <c r="W16" s="39"/>
      <c r="X16" s="39"/>
      <c r="Y16" s="39"/>
      <c r="Z16" s="39"/>
      <c r="AA16" s="39"/>
      <c r="AB16" s="39"/>
      <c r="AC16" s="39"/>
      <c r="AD16" s="39"/>
      <c r="AE16" s="39"/>
      <c r="AF16" s="39"/>
      <c r="AG16" s="39"/>
      <c r="AH16" s="39"/>
      <c r="AI16" s="39"/>
      <c r="AJ16" s="39"/>
      <c r="AK16" s="39"/>
      <c r="AL16" s="39"/>
      <c r="AM16" s="39"/>
    </row>
    <row r="17" ht="11.25" customHeight="1">
      <c r="A17" s="40" t="s">
        <v>32</v>
      </c>
      <c r="B17" s="57"/>
      <c r="C17" s="57"/>
      <c r="D17" s="57"/>
      <c r="E17" s="57"/>
      <c r="F17" s="57"/>
      <c r="G17" s="57"/>
      <c r="H17" s="57"/>
      <c r="I17" s="57"/>
      <c r="J17" s="42"/>
      <c r="K17" s="42"/>
      <c r="L17" s="58"/>
      <c r="M17" s="44"/>
      <c r="N17" s="43"/>
      <c r="O17" s="43"/>
      <c r="P17" s="43"/>
      <c r="Q17" s="43"/>
      <c r="R17" s="43"/>
      <c r="S17" s="43"/>
      <c r="T17" s="43"/>
      <c r="U17" s="43"/>
      <c r="V17" s="59"/>
      <c r="W17" s="59"/>
      <c r="X17" s="59"/>
      <c r="Y17" s="58"/>
      <c r="Z17" s="58"/>
      <c r="AA17" s="44"/>
      <c r="AB17" s="44"/>
      <c r="AC17" s="44"/>
      <c r="AD17" s="44"/>
      <c r="AE17" s="44"/>
      <c r="AF17" s="44"/>
      <c r="AG17" s="44"/>
      <c r="AH17" s="44"/>
      <c r="AI17" s="44"/>
      <c r="AJ17" s="44"/>
      <c r="AK17" s="44"/>
      <c r="AL17" s="44"/>
      <c r="AM17" s="44"/>
    </row>
    <row r="18" ht="11.25" customHeight="1">
      <c r="A18" s="44"/>
      <c r="B18" s="44"/>
      <c r="C18" s="44"/>
      <c r="D18" s="44"/>
      <c r="E18" s="44"/>
      <c r="F18" s="44"/>
      <c r="G18" s="44"/>
      <c r="H18" s="44"/>
      <c r="I18" s="44"/>
      <c r="J18" s="44"/>
      <c r="K18" s="44"/>
      <c r="L18" s="44"/>
      <c r="M18" s="44"/>
      <c r="N18" s="44"/>
      <c r="O18" s="44"/>
      <c r="P18" s="44"/>
      <c r="Q18" s="44"/>
      <c r="R18" s="44"/>
      <c r="S18" s="44"/>
      <c r="T18" s="44"/>
      <c r="U18" s="44"/>
      <c r="V18" s="44"/>
      <c r="W18" s="44"/>
      <c r="X18" s="44"/>
      <c r="Y18" s="44"/>
      <c r="Z18" s="44"/>
      <c r="AA18" s="44"/>
      <c r="AB18" s="44"/>
      <c r="AC18" s="44"/>
      <c r="AD18" s="44"/>
      <c r="AE18" s="44"/>
      <c r="AF18" s="44"/>
      <c r="AG18" s="44"/>
      <c r="AH18" s="44"/>
      <c r="AI18" s="44"/>
      <c r="AJ18" s="44"/>
      <c r="AK18" s="44"/>
      <c r="AL18" s="44"/>
      <c r="AM18" s="13"/>
    </row>
    <row r="19" ht="11.25" customHeight="1">
      <c r="A19" s="4"/>
      <c r="B19" s="13" t="s">
        <v>33</v>
      </c>
      <c r="C19" s="44"/>
      <c r="D19" s="44"/>
      <c r="E19" s="44"/>
      <c r="F19" s="44"/>
      <c r="G19" s="44"/>
      <c r="H19" s="44"/>
      <c r="I19" s="44"/>
      <c r="J19" s="44"/>
      <c r="K19" s="44"/>
      <c r="L19" s="44"/>
      <c r="M19" s="44"/>
      <c r="N19" s="44"/>
      <c r="O19" s="44"/>
      <c r="P19" s="44"/>
      <c r="Q19" s="44"/>
      <c r="R19" s="44"/>
      <c r="S19" s="44"/>
      <c r="T19" s="44"/>
      <c r="U19" s="44"/>
      <c r="V19" s="44"/>
      <c r="W19" s="44"/>
      <c r="X19" s="44"/>
      <c r="Y19" s="44"/>
      <c r="Z19" s="44"/>
      <c r="AA19" s="44"/>
      <c r="AB19" s="44"/>
      <c r="AC19" s="44"/>
      <c r="AD19" s="44"/>
      <c r="AE19" s="44"/>
      <c r="AF19" s="44"/>
      <c r="AG19" s="44"/>
      <c r="AH19" s="28" t="s">
        <v>34</v>
      </c>
      <c r="AI19" s="9"/>
      <c r="AJ19" s="9"/>
      <c r="AK19" s="9"/>
      <c r="AL19" s="10"/>
      <c r="AM19" s="44"/>
    </row>
    <row r="20" ht="11.25" customHeight="1">
      <c r="A20" s="4"/>
      <c r="B20" s="60" t="s">
        <v>35</v>
      </c>
      <c r="C20" s="18"/>
      <c r="D20" s="18"/>
      <c r="E20" s="61"/>
      <c r="F20" s="60" t="s">
        <v>36</v>
      </c>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61"/>
      <c r="AH20" s="62"/>
      <c r="AI20" s="18"/>
      <c r="AJ20" s="18"/>
      <c r="AK20" s="18"/>
      <c r="AL20" s="61"/>
      <c r="AM20" s="44"/>
    </row>
    <row r="21" ht="11.25" customHeight="1">
      <c r="A21" s="4"/>
      <c r="B21" s="60" t="s">
        <v>37</v>
      </c>
      <c r="C21" s="18"/>
      <c r="D21" s="18"/>
      <c r="E21" s="61"/>
      <c r="F21" s="60" t="s">
        <v>38</v>
      </c>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61"/>
      <c r="AH21" s="62"/>
      <c r="AI21" s="18"/>
      <c r="AJ21" s="18"/>
      <c r="AK21" s="18"/>
      <c r="AL21" s="61"/>
      <c r="AM21" s="44"/>
    </row>
    <row r="22" ht="11.25" customHeight="1">
      <c r="A22" s="4"/>
      <c r="B22" s="60" t="s">
        <v>39</v>
      </c>
      <c r="C22" s="18"/>
      <c r="D22" s="18"/>
      <c r="E22" s="61"/>
      <c r="F22" s="60" t="s">
        <v>40</v>
      </c>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61"/>
      <c r="AH22" s="62"/>
      <c r="AI22" s="18"/>
      <c r="AJ22" s="18"/>
      <c r="AK22" s="18"/>
      <c r="AL22" s="61"/>
      <c r="AM22" s="44"/>
    </row>
    <row r="23" ht="11.25" customHeight="1">
      <c r="A23" s="4"/>
      <c r="B23" s="60" t="s">
        <v>41</v>
      </c>
      <c r="C23" s="18"/>
      <c r="D23" s="18"/>
      <c r="E23" s="61"/>
      <c r="F23" s="63" t="s">
        <v>42</v>
      </c>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61"/>
      <c r="AH23" s="62"/>
      <c r="AI23" s="18"/>
      <c r="AJ23" s="18"/>
      <c r="AK23" s="18"/>
      <c r="AL23" s="61"/>
      <c r="AM23" s="44"/>
    </row>
    <row r="24" ht="37.5" customHeight="1">
      <c r="A24" s="4"/>
      <c r="B24" s="60" t="s">
        <v>43</v>
      </c>
      <c r="C24" s="18"/>
      <c r="D24" s="18"/>
      <c r="E24" s="61"/>
      <c r="F24" s="63" t="s">
        <v>44</v>
      </c>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61"/>
      <c r="AH24" s="62"/>
      <c r="AI24" s="18"/>
      <c r="AJ24" s="18"/>
      <c r="AK24" s="18"/>
      <c r="AL24" s="61"/>
      <c r="AM24" s="13"/>
    </row>
    <row r="25" ht="11.25" customHeight="1">
      <c r="A25" s="4"/>
      <c r="B25" s="60" t="s">
        <v>45</v>
      </c>
      <c r="C25" s="18"/>
      <c r="D25" s="18"/>
      <c r="E25" s="61"/>
      <c r="F25" s="63" t="s">
        <v>46</v>
      </c>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61"/>
      <c r="AH25" s="62"/>
      <c r="AI25" s="18"/>
      <c r="AJ25" s="18"/>
      <c r="AK25" s="18"/>
      <c r="AL25" s="61"/>
      <c r="AM25" s="13"/>
    </row>
    <row r="26" ht="11.25" customHeight="1">
      <c r="A26" s="4"/>
      <c r="B26" s="60" t="s">
        <v>47</v>
      </c>
      <c r="C26" s="18"/>
      <c r="D26" s="18"/>
      <c r="E26" s="61"/>
      <c r="F26" s="63" t="s">
        <v>48</v>
      </c>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61"/>
      <c r="AH26" s="62"/>
      <c r="AI26" s="18"/>
      <c r="AJ26" s="18"/>
      <c r="AK26" s="18"/>
      <c r="AL26" s="61"/>
      <c r="AM26" s="13"/>
    </row>
    <row r="27" ht="11.25" customHeight="1">
      <c r="A27" s="4"/>
      <c r="B27" s="13"/>
      <c r="C27" s="13"/>
      <c r="D27" s="13"/>
      <c r="E27" s="13"/>
      <c r="F27" s="64"/>
      <c r="G27" s="64"/>
      <c r="H27" s="64"/>
      <c r="I27" s="64"/>
      <c r="J27" s="64"/>
      <c r="K27" s="64"/>
      <c r="L27" s="64"/>
      <c r="M27" s="64"/>
      <c r="N27" s="64"/>
      <c r="O27" s="64"/>
      <c r="P27" s="64"/>
      <c r="Q27" s="64"/>
      <c r="R27" s="64"/>
      <c r="S27" s="64"/>
      <c r="T27" s="64"/>
      <c r="U27" s="64"/>
      <c r="V27" s="64"/>
      <c r="W27" s="64"/>
      <c r="X27" s="64"/>
      <c r="Y27" s="64"/>
      <c r="Z27" s="64"/>
      <c r="AA27" s="64"/>
      <c r="AB27" s="64"/>
      <c r="AC27" s="64"/>
      <c r="AD27" s="64"/>
      <c r="AE27" s="64"/>
      <c r="AF27" s="64"/>
      <c r="AG27" s="64"/>
      <c r="AH27" s="65"/>
      <c r="AI27" s="66"/>
      <c r="AJ27" s="66"/>
      <c r="AK27" s="66"/>
      <c r="AL27" s="66"/>
      <c r="AM27" s="13"/>
    </row>
    <row r="28" ht="11.25" customHeight="1">
      <c r="A28" s="67"/>
      <c r="B28" s="68"/>
      <c r="C28" s="68"/>
      <c r="D28" s="68"/>
      <c r="E28" s="68"/>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8"/>
      <c r="AI28" s="68"/>
      <c r="AJ28" s="68"/>
      <c r="AK28" s="68"/>
      <c r="AL28" s="68"/>
      <c r="AM28" s="70"/>
    </row>
    <row r="29" ht="11.25" customHeight="1">
      <c r="A29" s="40" t="s">
        <v>49</v>
      </c>
      <c r="B29" s="42"/>
      <c r="C29" s="42"/>
      <c r="D29" s="42"/>
      <c r="E29" s="42"/>
      <c r="F29" s="42"/>
      <c r="G29" s="44"/>
      <c r="H29" s="44"/>
      <c r="I29" s="44"/>
      <c r="J29" s="44"/>
      <c r="K29" s="44"/>
      <c r="L29" s="44"/>
      <c r="M29" s="44"/>
      <c r="N29" s="44"/>
      <c r="O29" s="44"/>
      <c r="P29" s="44"/>
      <c r="Q29" s="44"/>
      <c r="R29" s="44"/>
      <c r="S29" s="44"/>
      <c r="T29" s="44"/>
      <c r="U29" s="44"/>
      <c r="V29" s="44"/>
      <c r="W29" s="44"/>
      <c r="X29" s="44"/>
      <c r="Y29" s="44"/>
      <c r="Z29" s="44"/>
      <c r="AA29" s="44"/>
      <c r="AB29" s="44"/>
      <c r="AC29" s="44"/>
      <c r="AD29" s="44"/>
      <c r="AE29" s="44"/>
      <c r="AF29" s="44"/>
      <c r="AG29" s="44"/>
      <c r="AH29" s="44"/>
      <c r="AI29" s="44"/>
      <c r="AJ29" s="44"/>
      <c r="AK29" s="44"/>
      <c r="AL29" s="44"/>
      <c r="AM29" s="44"/>
    </row>
    <row r="30" ht="11.25" customHeight="1">
      <c r="A30" s="40"/>
      <c r="B30" s="42"/>
      <c r="C30" s="42"/>
      <c r="D30" s="42"/>
      <c r="E30" s="42"/>
      <c r="F30" s="42"/>
      <c r="G30" s="4"/>
      <c r="H30" s="4"/>
      <c r="I30" s="4"/>
      <c r="J30" s="4"/>
      <c r="K30" s="44"/>
      <c r="L30" s="44"/>
      <c r="M30" s="44"/>
      <c r="N30" s="44"/>
      <c r="O30" s="44"/>
      <c r="P30" s="44"/>
      <c r="Q30" s="44"/>
      <c r="R30" s="44"/>
      <c r="S30" s="44"/>
      <c r="T30" s="44"/>
      <c r="U30" s="44"/>
      <c r="V30" s="44"/>
      <c r="W30" s="44"/>
      <c r="X30" s="44"/>
      <c r="Y30" s="44"/>
      <c r="Z30" s="44"/>
      <c r="AA30" s="44"/>
      <c r="AB30" s="44"/>
      <c r="AC30" s="44"/>
      <c r="AD30" s="44"/>
      <c r="AE30" s="44"/>
      <c r="AF30" s="44"/>
      <c r="AG30" s="44"/>
      <c r="AH30" s="44"/>
      <c r="AI30" s="44"/>
      <c r="AJ30" s="44"/>
      <c r="AK30" s="44"/>
      <c r="AL30" s="44"/>
      <c r="AM30" s="44"/>
    </row>
    <row r="31" ht="11.25" customHeight="1">
      <c r="A31" s="40"/>
      <c r="B31" s="71" t="s">
        <v>50</v>
      </c>
      <c r="C31" s="18"/>
      <c r="D31" s="18"/>
      <c r="E31" s="18"/>
      <c r="F31" s="61"/>
      <c r="G31" s="72" t="s">
        <v>51</v>
      </c>
      <c r="H31" s="18"/>
      <c r="I31" s="18"/>
      <c r="J31" s="61"/>
      <c r="K31" s="4"/>
      <c r="L31" s="73" t="s">
        <v>52</v>
      </c>
      <c r="M31" s="18"/>
      <c r="N31" s="18"/>
      <c r="O31" s="18"/>
      <c r="P31" s="18"/>
      <c r="Q31" s="18"/>
      <c r="R31" s="18"/>
      <c r="S31" s="18"/>
      <c r="T31" s="18"/>
      <c r="U31" s="18"/>
      <c r="V31" s="18"/>
      <c r="W31" s="18"/>
      <c r="X31" s="61"/>
      <c r="Y31" s="4"/>
      <c r="Z31" s="73" t="s">
        <v>53</v>
      </c>
      <c r="AA31" s="18"/>
      <c r="AB31" s="18"/>
      <c r="AC31" s="18"/>
      <c r="AD31" s="18"/>
      <c r="AE31" s="18"/>
      <c r="AF31" s="18"/>
      <c r="AG31" s="18"/>
      <c r="AH31" s="18"/>
      <c r="AI31" s="18"/>
      <c r="AJ31" s="18"/>
      <c r="AK31" s="18"/>
      <c r="AL31" s="61"/>
      <c r="AM31" s="44"/>
    </row>
    <row r="32" ht="11.25" customHeight="1">
      <c r="A32" s="40"/>
      <c r="B32" s="4"/>
      <c r="C32" s="4"/>
      <c r="D32" s="4"/>
      <c r="E32" s="4"/>
      <c r="F32" s="4"/>
      <c r="G32" s="4"/>
      <c r="H32" s="4"/>
      <c r="I32" s="4"/>
      <c r="J32" s="4"/>
      <c r="K32" s="4"/>
      <c r="L32" s="71" t="s">
        <v>54</v>
      </c>
      <c r="M32" s="18"/>
      <c r="N32" s="18"/>
      <c r="O32" s="18"/>
      <c r="P32" s="61"/>
      <c r="Q32" s="71" t="s">
        <v>55</v>
      </c>
      <c r="R32" s="18"/>
      <c r="S32" s="61"/>
      <c r="T32" s="71" t="s">
        <v>56</v>
      </c>
      <c r="U32" s="18"/>
      <c r="V32" s="61"/>
      <c r="W32" s="71" t="s">
        <v>57</v>
      </c>
      <c r="X32" s="61"/>
      <c r="Y32" s="4"/>
      <c r="Z32" s="71" t="s">
        <v>54</v>
      </c>
      <c r="AA32" s="18"/>
      <c r="AB32" s="18"/>
      <c r="AC32" s="18"/>
      <c r="AD32" s="61"/>
      <c r="AE32" s="71" t="s">
        <v>55</v>
      </c>
      <c r="AF32" s="18"/>
      <c r="AG32" s="61"/>
      <c r="AH32" s="71" t="s">
        <v>56</v>
      </c>
      <c r="AI32" s="18"/>
      <c r="AJ32" s="61"/>
      <c r="AK32" s="71" t="s">
        <v>58</v>
      </c>
      <c r="AL32" s="61"/>
      <c r="AM32" s="4"/>
    </row>
    <row r="33" ht="11.25" customHeight="1">
      <c r="A33" s="40"/>
      <c r="B33" s="71" t="s">
        <v>59</v>
      </c>
      <c r="C33" s="18"/>
      <c r="D33" s="18"/>
      <c r="E33" s="18"/>
      <c r="F33" s="18"/>
      <c r="G33" s="18"/>
      <c r="H33" s="18"/>
      <c r="I33" s="18"/>
      <c r="J33" s="61"/>
      <c r="K33" s="4"/>
      <c r="L33" s="73" t="str">
        <f>IF(OR(ISNUMBER(FIND("T",$G$31)),ISNUMBER(FIND("M",$G$31))),"Thermal","Long Time")</f>
        <v>Thermal</v>
      </c>
      <c r="M33" s="18"/>
      <c r="N33" s="18"/>
      <c r="O33" s="18"/>
      <c r="P33" s="61"/>
      <c r="Q33" s="74"/>
      <c r="R33" s="18"/>
      <c r="S33" s="61"/>
      <c r="T33" s="74"/>
      <c r="U33" s="18"/>
      <c r="V33" s="61"/>
      <c r="W33" s="75"/>
      <c r="X33" s="61"/>
      <c r="Y33" s="4"/>
      <c r="Z33" s="73" t="str">
        <f>IF(OR(ISNUMBER(FIND("T",$G$31)),ISNUMBER(FIND("M",$G$31))),"Thermal","Long Time")</f>
        <v>Thermal</v>
      </c>
      <c r="AA33" s="18"/>
      <c r="AB33" s="18"/>
      <c r="AC33" s="18"/>
      <c r="AD33" s="61"/>
      <c r="AE33" s="74"/>
      <c r="AF33" s="18"/>
      <c r="AG33" s="61"/>
      <c r="AH33" s="74"/>
      <c r="AI33" s="18"/>
      <c r="AJ33" s="61"/>
      <c r="AK33" s="75"/>
      <c r="AL33" s="61"/>
      <c r="AM33" s="4"/>
    </row>
    <row r="34" ht="11.25" customHeight="1">
      <c r="A34" s="40"/>
      <c r="B34" s="76" t="s">
        <v>60</v>
      </c>
      <c r="C34" s="50"/>
      <c r="D34" s="77"/>
      <c r="E34" s="71"/>
      <c r="F34" s="18"/>
      <c r="G34" s="18"/>
      <c r="H34" s="18"/>
      <c r="I34" s="18"/>
      <c r="J34" s="61"/>
      <c r="K34" s="4"/>
      <c r="L34" s="73" t="str">
        <f>IF(OR(ISNUMBER(FIND("T",$G$31)),ISNUMBER(FIND("M",$G$31))),"Magnetic","Short Time")</f>
        <v>Magnetic</v>
      </c>
      <c r="M34" s="18"/>
      <c r="N34" s="18"/>
      <c r="O34" s="18"/>
      <c r="P34" s="61"/>
      <c r="Q34" s="74"/>
      <c r="R34" s="18"/>
      <c r="S34" s="61"/>
      <c r="T34" s="74"/>
      <c r="U34" s="18"/>
      <c r="V34" s="61"/>
      <c r="W34" s="74"/>
      <c r="X34" s="61"/>
      <c r="Y34" s="4"/>
      <c r="Z34" s="73" t="str">
        <f>IF(OR(ISNUMBER(FIND("T",$G$31)),ISNUMBER(FIND("M",$G$31))),"Magnetic","Short Time")</f>
        <v>Magnetic</v>
      </c>
      <c r="AA34" s="18"/>
      <c r="AB34" s="18"/>
      <c r="AC34" s="18"/>
      <c r="AD34" s="61"/>
      <c r="AE34" s="74"/>
      <c r="AF34" s="18"/>
      <c r="AG34" s="61"/>
      <c r="AH34" s="74"/>
      <c r="AI34" s="18"/>
      <c r="AJ34" s="61"/>
      <c r="AK34" s="74"/>
      <c r="AL34" s="61"/>
      <c r="AM34" s="4"/>
    </row>
    <row r="35" ht="11.25" customHeight="1">
      <c r="A35" s="78"/>
      <c r="B35" s="71" t="s">
        <v>61</v>
      </c>
      <c r="C35" s="18"/>
      <c r="D35" s="61"/>
      <c r="E35" s="71"/>
      <c r="F35" s="18"/>
      <c r="G35" s="18"/>
      <c r="H35" s="18"/>
      <c r="I35" s="18"/>
      <c r="J35" s="61"/>
      <c r="K35" s="4"/>
      <c r="L35" s="79" t="s">
        <v>62</v>
      </c>
      <c r="M35" s="18"/>
      <c r="N35" s="18"/>
      <c r="O35" s="18"/>
      <c r="P35" s="61"/>
      <c r="Q35" s="74"/>
      <c r="R35" s="18"/>
      <c r="S35" s="61"/>
      <c r="T35" s="75"/>
      <c r="U35" s="18"/>
      <c r="V35" s="61"/>
      <c r="W35" s="75"/>
      <c r="X35" s="61"/>
      <c r="Y35" s="4"/>
      <c r="Z35" s="79" t="s">
        <v>62</v>
      </c>
      <c r="AA35" s="18"/>
      <c r="AB35" s="18"/>
      <c r="AC35" s="18"/>
      <c r="AD35" s="61"/>
      <c r="AE35" s="74"/>
      <c r="AF35" s="18"/>
      <c r="AG35" s="61"/>
      <c r="AH35" s="75"/>
      <c r="AI35" s="18"/>
      <c r="AJ35" s="61"/>
      <c r="AK35" s="75"/>
      <c r="AL35" s="61"/>
      <c r="AM35" s="4"/>
    </row>
    <row r="36" ht="11.25" customHeight="1">
      <c r="A36" s="78"/>
      <c r="B36" s="71" t="s">
        <v>7</v>
      </c>
      <c r="C36" s="18"/>
      <c r="D36" s="61"/>
      <c r="E36" s="71"/>
      <c r="F36" s="18"/>
      <c r="G36" s="18"/>
      <c r="H36" s="18"/>
      <c r="I36" s="18"/>
      <c r="J36" s="61"/>
      <c r="K36" s="4"/>
      <c r="L36" s="73" t="s">
        <v>63</v>
      </c>
      <c r="M36" s="18"/>
      <c r="N36" s="18"/>
      <c r="O36" s="18"/>
      <c r="P36" s="61"/>
      <c r="Q36" s="74"/>
      <c r="R36" s="18"/>
      <c r="S36" s="61"/>
      <c r="T36" s="74"/>
      <c r="U36" s="18"/>
      <c r="V36" s="61"/>
      <c r="W36" s="74"/>
      <c r="X36" s="61"/>
      <c r="Y36" s="4"/>
      <c r="Z36" s="73" t="s">
        <v>63</v>
      </c>
      <c r="AA36" s="18"/>
      <c r="AB36" s="18"/>
      <c r="AC36" s="18"/>
      <c r="AD36" s="61"/>
      <c r="AE36" s="74"/>
      <c r="AF36" s="18"/>
      <c r="AG36" s="61"/>
      <c r="AH36" s="74"/>
      <c r="AI36" s="18"/>
      <c r="AJ36" s="61"/>
      <c r="AK36" s="74"/>
      <c r="AL36" s="61"/>
      <c r="AM36" s="4"/>
    </row>
    <row r="37" ht="11.25" customHeight="1">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row>
    <row r="38" ht="11.25" customHeight="1">
      <c r="A38" s="68"/>
      <c r="B38" s="68"/>
      <c r="C38" s="68"/>
      <c r="D38" s="68"/>
      <c r="E38" s="68"/>
      <c r="F38" s="68"/>
      <c r="G38" s="80"/>
      <c r="H38" s="80"/>
      <c r="I38" s="80"/>
      <c r="J38" s="80"/>
      <c r="K38" s="80"/>
      <c r="L38" s="80"/>
      <c r="M38" s="80"/>
      <c r="N38" s="80"/>
      <c r="O38" s="80"/>
      <c r="P38" s="80"/>
      <c r="Q38" s="80"/>
      <c r="R38" s="80"/>
      <c r="S38" s="80"/>
      <c r="T38" s="80"/>
      <c r="U38" s="80"/>
      <c r="V38" s="80"/>
      <c r="W38" s="80"/>
      <c r="X38" s="80"/>
      <c r="Y38" s="80"/>
      <c r="Z38" s="80"/>
      <c r="AA38" s="80"/>
      <c r="AB38" s="80"/>
      <c r="AC38" s="80"/>
      <c r="AD38" s="80"/>
      <c r="AE38" s="80"/>
      <c r="AF38" s="80"/>
      <c r="AG38" s="80"/>
      <c r="AH38" s="80"/>
      <c r="AI38" s="80"/>
      <c r="AJ38" s="80"/>
      <c r="AK38" s="39"/>
      <c r="AL38" s="39"/>
      <c r="AM38" s="39"/>
    </row>
    <row r="39" ht="11.25" customHeight="1">
      <c r="A39" s="40" t="s">
        <v>64</v>
      </c>
      <c r="B39" s="42"/>
      <c r="C39" s="42"/>
      <c r="D39" s="42"/>
      <c r="E39" s="42"/>
      <c r="F39" s="42"/>
      <c r="G39" s="44"/>
      <c r="H39" s="44"/>
      <c r="I39" s="44"/>
      <c r="J39" s="44"/>
      <c r="K39" s="44"/>
      <c r="L39" s="44"/>
      <c r="M39" s="44"/>
      <c r="N39" s="44"/>
      <c r="O39" s="44"/>
      <c r="P39" s="44"/>
      <c r="Q39" s="44"/>
      <c r="R39" s="44"/>
      <c r="S39" s="44"/>
      <c r="T39" s="44"/>
      <c r="U39" s="44"/>
      <c r="V39" s="44"/>
      <c r="W39" s="44"/>
      <c r="X39" s="44"/>
      <c r="Y39" s="44"/>
      <c r="Z39" s="44"/>
      <c r="AA39" s="44"/>
      <c r="AB39" s="44"/>
      <c r="AC39" s="44"/>
      <c r="AD39" s="44"/>
      <c r="AE39" s="44"/>
      <c r="AF39" s="44"/>
      <c r="AG39" s="44"/>
      <c r="AH39" s="44"/>
      <c r="AI39" s="44"/>
      <c r="AJ39" s="44"/>
      <c r="AK39" s="44"/>
      <c r="AL39" s="44"/>
      <c r="AM39" s="44"/>
    </row>
    <row r="40" ht="11.25" customHeight="1">
      <c r="A40" s="40"/>
      <c r="B40" s="42"/>
      <c r="C40" s="42"/>
      <c r="D40" s="42"/>
      <c r="E40" s="42"/>
      <c r="F40" s="42"/>
      <c r="G40" s="44"/>
      <c r="H40" s="44"/>
      <c r="I40" s="44"/>
      <c r="J40" s="44"/>
      <c r="K40" s="44"/>
      <c r="L40" s="44"/>
      <c r="M40" s="44"/>
      <c r="N40" s="44"/>
      <c r="O40" s="44"/>
      <c r="P40" s="44"/>
      <c r="Q40" s="44"/>
      <c r="R40" s="44"/>
      <c r="S40" s="44"/>
      <c r="T40" s="44"/>
      <c r="U40" s="44"/>
      <c r="V40" s="44"/>
      <c r="W40" s="44"/>
      <c r="X40" s="44"/>
      <c r="Y40" s="44"/>
      <c r="Z40" s="44"/>
      <c r="AA40" s="44"/>
      <c r="AB40" s="44"/>
      <c r="AC40" s="44"/>
      <c r="AD40" s="44"/>
      <c r="AE40" s="44"/>
      <c r="AF40" s="44"/>
      <c r="AG40" s="44"/>
      <c r="AH40" s="44"/>
      <c r="AI40" s="44"/>
      <c r="AJ40" s="44"/>
      <c r="AK40" s="44"/>
      <c r="AL40" s="44"/>
      <c r="AM40" s="44"/>
    </row>
    <row r="41" ht="11.25" customHeight="1">
      <c r="A41" s="78"/>
      <c r="B41" s="71" t="s">
        <v>65</v>
      </c>
      <c r="C41" s="18"/>
      <c r="D41" s="18"/>
      <c r="E41" s="18"/>
      <c r="F41" s="18"/>
      <c r="G41" s="18"/>
      <c r="H41" s="18"/>
      <c r="I41" s="18"/>
      <c r="J41" s="18"/>
      <c r="K41" s="18"/>
      <c r="L41" s="18"/>
      <c r="M41" s="18"/>
      <c r="N41" s="18"/>
      <c r="O41" s="61"/>
      <c r="P41" s="4"/>
      <c r="Q41" s="81" t="s">
        <v>66</v>
      </c>
      <c r="R41" s="18"/>
      <c r="S41" s="18"/>
      <c r="T41" s="18"/>
      <c r="U41" s="18"/>
      <c r="V41" s="18"/>
      <c r="W41" s="18"/>
      <c r="X41" s="61"/>
      <c r="Y41" s="4"/>
      <c r="Z41" s="71" t="s">
        <v>67</v>
      </c>
      <c r="AA41" s="18"/>
      <c r="AB41" s="18"/>
      <c r="AC41" s="61"/>
      <c r="AD41" s="4"/>
      <c r="AE41" s="82"/>
      <c r="AG41" s="4"/>
      <c r="AH41" s="4"/>
      <c r="AI41" s="4"/>
      <c r="AJ41" s="4"/>
      <c r="AK41" s="4"/>
      <c r="AL41" s="4"/>
      <c r="AM41" s="4"/>
    </row>
    <row r="42" ht="11.25" customHeight="1">
      <c r="A42" s="78"/>
      <c r="B42" s="71" t="s">
        <v>68</v>
      </c>
      <c r="C42" s="18"/>
      <c r="D42" s="18"/>
      <c r="E42" s="61"/>
      <c r="F42" s="71" t="s">
        <v>69</v>
      </c>
      <c r="G42" s="18"/>
      <c r="H42" s="18"/>
      <c r="I42" s="61"/>
      <c r="J42" s="71" t="s">
        <v>70</v>
      </c>
      <c r="K42" s="18"/>
      <c r="L42" s="18"/>
      <c r="M42" s="61"/>
      <c r="N42" s="71" t="s">
        <v>71</v>
      </c>
      <c r="O42" s="61"/>
      <c r="P42" s="4"/>
      <c r="Q42" s="71" t="s">
        <v>72</v>
      </c>
      <c r="R42" s="18"/>
      <c r="S42" s="18"/>
      <c r="T42" s="61"/>
      <c r="U42" s="71" t="s">
        <v>73</v>
      </c>
      <c r="V42" s="18"/>
      <c r="W42" s="18"/>
      <c r="X42" s="61"/>
      <c r="Y42" s="4"/>
      <c r="Z42" s="83" t="str">
        <f>IF(U43="N/A","N/A",IF(ISNUMBER(Q43)=FALSE,"-",IF(Q43&gt;0.5,"FAIL","PASS")))</f>
        <v>-</v>
      </c>
      <c r="AA42" s="84"/>
      <c r="AB42" s="84"/>
      <c r="AC42" s="85"/>
      <c r="AD42" s="4"/>
      <c r="AE42" s="82"/>
      <c r="AG42" s="4"/>
      <c r="AH42" s="4"/>
      <c r="AI42" s="4"/>
      <c r="AJ42" s="4"/>
      <c r="AK42" s="4"/>
      <c r="AL42" s="4"/>
      <c r="AM42" s="4"/>
    </row>
    <row r="43" ht="11.25" customHeight="1">
      <c r="A43" s="78"/>
      <c r="B43" s="71"/>
      <c r="C43" s="18"/>
      <c r="D43" s="18"/>
      <c r="E43" s="61"/>
      <c r="F43" s="71"/>
      <c r="G43" s="18"/>
      <c r="H43" s="18"/>
      <c r="I43" s="61"/>
      <c r="J43" s="71"/>
      <c r="K43" s="18"/>
      <c r="L43" s="18"/>
      <c r="M43" s="61"/>
      <c r="N43" s="79" t="s">
        <v>74</v>
      </c>
      <c r="O43" s="61"/>
      <c r="P43" s="4"/>
      <c r="Q43" s="86" t="str">
        <f>IF(OR(ISNUMBER(B43)=FALSE,ISNUMBER(F43)=FALSE,ISNUMBER(J43)=FALSE),"-",(MAX(B43,F43,J43)/MIN(B43,F43,J43)-1))</f>
        <v>-</v>
      </c>
      <c r="R43" s="18"/>
      <c r="S43" s="18"/>
      <c r="T43" s="61"/>
      <c r="U43" s="71" t="s">
        <v>75</v>
      </c>
      <c r="V43" s="18"/>
      <c r="W43" s="18"/>
      <c r="X43" s="61"/>
      <c r="Y43" s="4"/>
      <c r="Z43" s="87"/>
      <c r="AA43" s="50"/>
      <c r="AB43" s="50"/>
      <c r="AC43" s="77"/>
      <c r="AD43" s="4"/>
      <c r="AE43" s="4"/>
      <c r="AF43" s="82"/>
      <c r="AG43" s="82"/>
      <c r="AH43" s="82"/>
      <c r="AI43" s="82"/>
      <c r="AJ43" s="82"/>
      <c r="AK43" s="4"/>
      <c r="AL43" s="78"/>
      <c r="AM43" s="4"/>
    </row>
    <row r="44" ht="11.25" customHeight="1">
      <c r="A44" s="78"/>
      <c r="B44" s="82"/>
      <c r="C44" s="82"/>
      <c r="D44" s="82"/>
      <c r="E44" s="82"/>
      <c r="F44" s="82"/>
      <c r="G44" s="82"/>
      <c r="H44" s="82"/>
      <c r="I44" s="82"/>
      <c r="J44" s="82"/>
      <c r="K44" s="82"/>
      <c r="L44" s="82"/>
      <c r="M44" s="82"/>
      <c r="N44" s="43"/>
      <c r="O44" s="43"/>
      <c r="P44" s="4"/>
      <c r="Q44" s="88"/>
      <c r="R44" s="88"/>
      <c r="S44" s="88"/>
      <c r="T44" s="88"/>
      <c r="U44" s="82"/>
      <c r="V44" s="82"/>
      <c r="W44" s="82"/>
      <c r="X44" s="82"/>
      <c r="Y44" s="4"/>
      <c r="Z44" s="89"/>
      <c r="AA44" s="89"/>
      <c r="AB44" s="89"/>
      <c r="AC44" s="89"/>
      <c r="AD44" s="4"/>
      <c r="AE44" s="4"/>
      <c r="AF44" s="82"/>
      <c r="AG44" s="82"/>
      <c r="AH44" s="82"/>
      <c r="AI44" s="82"/>
      <c r="AJ44" s="82"/>
      <c r="AK44" s="4"/>
      <c r="AL44" s="78"/>
      <c r="AM44" s="4"/>
    </row>
    <row r="45" ht="11.25" customHeight="1">
      <c r="A45" s="68"/>
      <c r="B45" s="68"/>
      <c r="C45" s="68"/>
      <c r="D45" s="68"/>
      <c r="E45" s="68"/>
      <c r="F45" s="68"/>
      <c r="G45" s="80"/>
      <c r="H45" s="80"/>
      <c r="I45" s="80"/>
      <c r="J45" s="80"/>
      <c r="K45" s="80"/>
      <c r="L45" s="80"/>
      <c r="M45" s="80"/>
      <c r="N45" s="80"/>
      <c r="O45" s="80"/>
      <c r="P45" s="80"/>
      <c r="Q45" s="80"/>
      <c r="R45" s="80"/>
      <c r="S45" s="80"/>
      <c r="T45" s="80"/>
      <c r="U45" s="80"/>
      <c r="V45" s="80"/>
      <c r="W45" s="80"/>
      <c r="X45" s="80"/>
      <c r="Y45" s="80"/>
      <c r="Z45" s="80"/>
      <c r="AA45" s="80"/>
      <c r="AB45" s="80"/>
      <c r="AC45" s="80"/>
      <c r="AD45" s="80"/>
      <c r="AE45" s="80"/>
      <c r="AF45" s="80"/>
      <c r="AG45" s="80"/>
      <c r="AH45" s="80"/>
      <c r="AI45" s="80"/>
      <c r="AJ45" s="80"/>
      <c r="AK45" s="39"/>
      <c r="AL45" s="39"/>
      <c r="AM45" s="39"/>
    </row>
    <row r="46" ht="11.25" customHeight="1">
      <c r="A46" s="40" t="s">
        <v>76</v>
      </c>
      <c r="B46" s="42"/>
      <c r="C46" s="42"/>
      <c r="D46" s="42"/>
      <c r="E46" s="42"/>
      <c r="F46" s="42"/>
      <c r="G46" s="44"/>
      <c r="H46" s="44"/>
      <c r="I46" s="44"/>
      <c r="J46" s="44"/>
      <c r="K46" s="44"/>
      <c r="L46" s="44"/>
      <c r="M46" s="44"/>
      <c r="N46" s="44"/>
      <c r="O46" s="44"/>
      <c r="P46" s="44"/>
      <c r="Q46" s="44"/>
      <c r="R46" s="44"/>
      <c r="S46" s="44"/>
      <c r="T46" s="44"/>
      <c r="U46" s="44"/>
      <c r="V46" s="44"/>
      <c r="W46" s="44"/>
      <c r="X46" s="44"/>
      <c r="Y46" s="44"/>
      <c r="Z46" s="44"/>
      <c r="AA46" s="44"/>
      <c r="AB46" s="44"/>
      <c r="AC46" s="90"/>
      <c r="AD46" s="44"/>
      <c r="AE46" s="44"/>
      <c r="AF46" s="44"/>
      <c r="AG46" s="44"/>
      <c r="AH46" s="44"/>
      <c r="AI46" s="44"/>
      <c r="AJ46" s="44"/>
      <c r="AK46" s="44"/>
      <c r="AL46" s="44"/>
      <c r="AM46" s="44"/>
    </row>
    <row r="47" ht="11.25" customHeight="1">
      <c r="A47" s="78"/>
      <c r="B47" s="78"/>
      <c r="C47" s="78"/>
      <c r="D47" s="78"/>
      <c r="E47" s="78"/>
      <c r="F47" s="78"/>
      <c r="G47" s="78"/>
      <c r="H47" s="78"/>
      <c r="I47" s="78"/>
      <c r="J47" s="78"/>
      <c r="K47" s="78"/>
      <c r="L47" s="78"/>
      <c r="M47" s="78"/>
      <c r="N47" s="78"/>
      <c r="O47" s="78"/>
      <c r="P47" s="78"/>
      <c r="Q47" s="78"/>
      <c r="R47" s="91" t="s">
        <v>77</v>
      </c>
      <c r="S47" s="18"/>
      <c r="T47" s="18"/>
      <c r="U47" s="18"/>
      <c r="V47" s="18"/>
      <c r="W47" s="18"/>
      <c r="X47" s="18"/>
      <c r="Y47" s="18"/>
      <c r="Z47" s="61"/>
      <c r="AA47" s="92"/>
      <c r="AB47" s="18"/>
      <c r="AC47" s="61"/>
      <c r="AD47" s="4"/>
      <c r="AE47" s="93" t="s">
        <v>78</v>
      </c>
      <c r="AF47" s="18"/>
      <c r="AG47" s="18"/>
      <c r="AH47" s="18"/>
      <c r="AI47" s="61"/>
      <c r="AJ47" s="62" t="str">
        <f>IF($U$12="","",IF($U$12&lt;=250,500,1000))</f>
        <v/>
      </c>
      <c r="AK47" s="18"/>
      <c r="AL47" s="61"/>
      <c r="AM47" s="78"/>
    </row>
    <row r="48" ht="11.25" customHeight="1">
      <c r="A48" s="78"/>
      <c r="B48" s="4"/>
      <c r="C48" s="4"/>
      <c r="D48" s="4"/>
      <c r="E48" s="4"/>
      <c r="F48" s="4"/>
      <c r="G48" s="4"/>
      <c r="H48" s="4"/>
      <c r="I48" s="4"/>
      <c r="J48" s="4"/>
      <c r="K48" s="4"/>
      <c r="L48" s="4"/>
      <c r="M48" s="4"/>
      <c r="N48" s="4"/>
      <c r="O48" s="4"/>
      <c r="P48" s="4"/>
      <c r="Q48" s="4"/>
      <c r="R48" s="91" t="s">
        <v>79</v>
      </c>
      <c r="S48" s="18"/>
      <c r="T48" s="18"/>
      <c r="U48" s="18"/>
      <c r="V48" s="18"/>
      <c r="W48" s="18"/>
      <c r="X48" s="18"/>
      <c r="Y48" s="18"/>
      <c r="Z48" s="61"/>
      <c r="AA48" s="51">
        <f>ROUND(0.1758*EXP(0.0256*AA47),3)</f>
        <v>0.176</v>
      </c>
      <c r="AB48" s="18"/>
      <c r="AC48" s="61"/>
      <c r="AD48" s="4"/>
      <c r="AE48" s="93" t="s">
        <v>80</v>
      </c>
      <c r="AF48" s="18"/>
      <c r="AG48" s="18"/>
      <c r="AH48" s="18"/>
      <c r="AI48" s="61"/>
      <c r="AJ48" s="92" t="s">
        <v>81</v>
      </c>
      <c r="AK48" s="18"/>
      <c r="AL48" s="61"/>
      <c r="AM48" s="4"/>
    </row>
    <row r="49" ht="11.25" customHeight="1">
      <c r="A49" s="78"/>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4"/>
      <c r="AD49" s="4"/>
      <c r="AE49" s="4"/>
      <c r="AF49" s="4"/>
      <c r="AG49" s="4"/>
      <c r="AH49" s="4"/>
      <c r="AI49" s="4"/>
      <c r="AJ49" s="4"/>
      <c r="AK49" s="4"/>
      <c r="AL49" s="4"/>
      <c r="AM49" s="4"/>
    </row>
    <row r="50" ht="11.25" customHeight="1">
      <c r="A50" s="78"/>
      <c r="B50" s="94" t="s">
        <v>82</v>
      </c>
      <c r="C50" s="84"/>
      <c r="D50" s="84"/>
      <c r="E50" s="85"/>
      <c r="F50" s="95" t="s">
        <v>83</v>
      </c>
      <c r="G50" s="84"/>
      <c r="H50" s="85"/>
      <c r="I50" s="92" t="s">
        <v>84</v>
      </c>
      <c r="J50" s="18"/>
      <c r="K50" s="18"/>
      <c r="L50" s="18"/>
      <c r="M50" s="18"/>
      <c r="N50" s="18"/>
      <c r="O50" s="18"/>
      <c r="P50" s="18"/>
      <c r="Q50" s="61"/>
      <c r="R50" s="92" t="s">
        <v>85</v>
      </c>
      <c r="S50" s="18"/>
      <c r="T50" s="18"/>
      <c r="U50" s="18"/>
      <c r="V50" s="18"/>
      <c r="W50" s="18"/>
      <c r="X50" s="18"/>
      <c r="Y50" s="18"/>
      <c r="Z50" s="61"/>
      <c r="AA50" s="48"/>
      <c r="AB50" s="96"/>
      <c r="AC50" s="48"/>
      <c r="AD50" s="97" t="s">
        <v>86</v>
      </c>
      <c r="AE50" s="18"/>
      <c r="AF50" s="18"/>
      <c r="AG50" s="18"/>
      <c r="AH50" s="61"/>
      <c r="AI50" s="48"/>
      <c r="AJ50" s="94" t="s">
        <v>34</v>
      </c>
      <c r="AK50" s="84"/>
      <c r="AL50" s="85"/>
      <c r="AM50" s="4"/>
    </row>
    <row r="51" ht="11.25" customHeight="1">
      <c r="A51" s="78"/>
      <c r="B51" s="87"/>
      <c r="C51" s="50"/>
      <c r="D51" s="50"/>
      <c r="E51" s="77"/>
      <c r="F51" s="87"/>
      <c r="G51" s="50"/>
      <c r="H51" s="77"/>
      <c r="I51" s="98" t="s">
        <v>87</v>
      </c>
      <c r="J51" s="84"/>
      <c r="K51" s="85"/>
      <c r="L51" s="98" t="s">
        <v>88</v>
      </c>
      <c r="M51" s="84"/>
      <c r="N51" s="85"/>
      <c r="O51" s="98" t="s">
        <v>89</v>
      </c>
      <c r="P51" s="84"/>
      <c r="Q51" s="85"/>
      <c r="R51" s="98" t="s">
        <v>87</v>
      </c>
      <c r="S51" s="84"/>
      <c r="T51" s="85"/>
      <c r="U51" s="98" t="s">
        <v>88</v>
      </c>
      <c r="V51" s="84"/>
      <c r="W51" s="85"/>
      <c r="X51" s="98" t="s">
        <v>89</v>
      </c>
      <c r="Y51" s="84"/>
      <c r="Z51" s="85"/>
      <c r="AA51" s="92" t="s">
        <v>71</v>
      </c>
      <c r="AB51" s="61"/>
      <c r="AC51" s="48"/>
      <c r="AD51" s="94" t="s">
        <v>90</v>
      </c>
      <c r="AE51" s="84"/>
      <c r="AF51" s="85"/>
      <c r="AG51" s="99" t="s">
        <v>71</v>
      </c>
      <c r="AH51" s="77"/>
      <c r="AI51" s="48"/>
      <c r="AJ51" s="87"/>
      <c r="AK51" s="50"/>
      <c r="AL51" s="77"/>
      <c r="AM51" s="4"/>
    </row>
    <row r="52" ht="11.25" customHeight="1">
      <c r="A52" s="78"/>
      <c r="B52" s="62" t="s">
        <v>91</v>
      </c>
      <c r="C52" s="18"/>
      <c r="D52" s="18"/>
      <c r="E52" s="61"/>
      <c r="F52" s="100" t="s">
        <v>92</v>
      </c>
      <c r="G52" s="84"/>
      <c r="H52" s="101"/>
      <c r="I52" s="102"/>
      <c r="J52" s="103"/>
      <c r="K52" s="61"/>
      <c r="L52" s="102"/>
      <c r="M52" s="103"/>
      <c r="N52" s="61"/>
      <c r="O52" s="102"/>
      <c r="P52" s="103"/>
      <c r="Q52" s="61"/>
      <c r="R52" s="104" t="str">
        <f t="shared" ref="R52:R54" si="1">IF(OR(COUNTIF(I52,"*&gt;*"),COUNTIF(I52,"*&lt;*"),COUNTIF(I52,"N/A")),I52,IF(I52="","",I52*#REF!))</f>
        <v/>
      </c>
      <c r="S52" s="105" t="str">
        <f t="shared" ref="S52:S54" si="2">IF(J52="","",IF(ISNUMBER(J52)=FALSE, J52,J52*$AA$48))</f>
        <v/>
      </c>
      <c r="T52" s="61"/>
      <c r="U52" s="104" t="str">
        <f t="shared" ref="U52:U54" si="3">IF(OR(COUNTIF(L52,"*&gt;*"),COUNTIF(L52,"*&lt;*"),COUNTIF(L52,"N/A")),L52,IF(L52="","",L52*#REF!))</f>
        <v/>
      </c>
      <c r="V52" s="105" t="str">
        <f t="shared" ref="V52:V54" si="4">IF(M52="","",IF(ISNUMBER(M52)=FALSE, M52,M52*$AA$48))</f>
        <v/>
      </c>
      <c r="W52" s="61"/>
      <c r="X52" s="104" t="str">
        <f t="shared" ref="X52:X54" si="5">IF(OR(COUNTIF(O52,"*&gt;*"),COUNTIF(O52,"*&lt;*"),COUNTIF(O52,"N/A")),O52,IF(O52="","",O52*#REF!))</f>
        <v/>
      </c>
      <c r="Y52" s="105" t="str">
        <f t="shared" ref="Y52:Y54" si="6">IF(P52="","",IF(ISNUMBER(P52)=FALSE, P52,P52*$AA$48))</f>
        <v/>
      </c>
      <c r="Z52" s="61"/>
      <c r="AA52" s="106" t="s">
        <v>93</v>
      </c>
      <c r="AB52" s="61"/>
      <c r="AC52" s="48"/>
      <c r="AD52" s="91" t="s">
        <v>94</v>
      </c>
      <c r="AE52" s="107" t="str">
        <f t="shared" ref="AE52:AE54" si="7">IF($U$12="","",IF($U$12&lt;=250,IF(AA52="MΩ",25,0.025),IF(AA52="MΩ",100,0.1)))</f>
        <v/>
      </c>
      <c r="AF52" s="61"/>
      <c r="AG52" s="51" t="str">
        <f t="shared" ref="AG52:AG54" si="8">IF(AA52="","",AA52)</f>
        <v>MΩ</v>
      </c>
      <c r="AH52" s="61"/>
      <c r="AI52" s="48"/>
      <c r="AJ52" s="108" t="str">
        <f t="shared" ref="AJ52:AJ54" si="9">IF(OR(S52="",ISNUMBER(S52)=FALSE,V52="",ISNUMBER(V52)=FALSE,Y52="",ISNUMBER(Y52)=FALSE,AE52=""),"-",IF(AE52="N/A","N/A",IF(AND(S52&gt;AE52,V52&gt;AE52,Y52&gt;AE52),"PASS","FAIL")))</f>
        <v>-</v>
      </c>
      <c r="AK52" s="18"/>
      <c r="AL52" s="61"/>
      <c r="AM52" s="4"/>
    </row>
    <row r="53" ht="11.25" customHeight="1">
      <c r="A53" s="78"/>
      <c r="B53" s="62" t="s">
        <v>95</v>
      </c>
      <c r="C53" s="18"/>
      <c r="D53" s="18"/>
      <c r="E53" s="61"/>
      <c r="F53" s="87"/>
      <c r="G53" s="50"/>
      <c r="H53" s="109"/>
      <c r="I53" s="102"/>
      <c r="J53" s="103"/>
      <c r="K53" s="61"/>
      <c r="L53" s="102"/>
      <c r="M53" s="103"/>
      <c r="N53" s="61"/>
      <c r="O53" s="102"/>
      <c r="P53" s="103"/>
      <c r="Q53" s="61"/>
      <c r="R53" s="104" t="str">
        <f t="shared" si="1"/>
        <v/>
      </c>
      <c r="S53" s="105" t="str">
        <f t="shared" si="2"/>
        <v/>
      </c>
      <c r="T53" s="61"/>
      <c r="U53" s="104" t="str">
        <f t="shared" si="3"/>
        <v/>
      </c>
      <c r="V53" s="105" t="str">
        <f t="shared" si="4"/>
        <v/>
      </c>
      <c r="W53" s="61"/>
      <c r="X53" s="104" t="str">
        <f t="shared" si="5"/>
        <v/>
      </c>
      <c r="Y53" s="105" t="str">
        <f t="shared" si="6"/>
        <v/>
      </c>
      <c r="Z53" s="61"/>
      <c r="AA53" s="106" t="s">
        <v>93</v>
      </c>
      <c r="AB53" s="61"/>
      <c r="AC53" s="48"/>
      <c r="AD53" s="91" t="s">
        <v>94</v>
      </c>
      <c r="AE53" s="107" t="str">
        <f t="shared" si="7"/>
        <v/>
      </c>
      <c r="AF53" s="61"/>
      <c r="AG53" s="51" t="str">
        <f t="shared" si="8"/>
        <v>MΩ</v>
      </c>
      <c r="AH53" s="61"/>
      <c r="AI53" s="48"/>
      <c r="AJ53" s="108" t="str">
        <f t="shared" si="9"/>
        <v>-</v>
      </c>
      <c r="AK53" s="18"/>
      <c r="AL53" s="61"/>
      <c r="AM53" s="4"/>
    </row>
    <row r="54" ht="11.25" customHeight="1">
      <c r="A54" s="78"/>
      <c r="B54" s="62" t="s">
        <v>96</v>
      </c>
      <c r="C54" s="18"/>
      <c r="D54" s="18"/>
      <c r="E54" s="61"/>
      <c r="F54" s="62" t="s">
        <v>97</v>
      </c>
      <c r="G54" s="18"/>
      <c r="H54" s="19"/>
      <c r="I54" s="102"/>
      <c r="J54" s="103"/>
      <c r="K54" s="61"/>
      <c r="L54" s="102"/>
      <c r="M54" s="103"/>
      <c r="N54" s="61"/>
      <c r="O54" s="102"/>
      <c r="P54" s="103"/>
      <c r="Q54" s="61"/>
      <c r="R54" s="110" t="str">
        <f t="shared" si="1"/>
        <v/>
      </c>
      <c r="S54" s="105" t="str">
        <f t="shared" si="2"/>
        <v/>
      </c>
      <c r="T54" s="61"/>
      <c r="U54" s="110" t="str">
        <f t="shared" si="3"/>
        <v/>
      </c>
      <c r="V54" s="105" t="str">
        <f t="shared" si="4"/>
        <v/>
      </c>
      <c r="W54" s="61"/>
      <c r="X54" s="110" t="str">
        <f t="shared" si="5"/>
        <v/>
      </c>
      <c r="Y54" s="105" t="str">
        <f t="shared" si="6"/>
        <v/>
      </c>
      <c r="Z54" s="61"/>
      <c r="AA54" s="106" t="s">
        <v>93</v>
      </c>
      <c r="AB54" s="61"/>
      <c r="AC54" s="48"/>
      <c r="AD54" s="91" t="s">
        <v>98</v>
      </c>
      <c r="AE54" s="107" t="str">
        <f t="shared" si="7"/>
        <v/>
      </c>
      <c r="AF54" s="61"/>
      <c r="AG54" s="51" t="str">
        <f t="shared" si="8"/>
        <v>MΩ</v>
      </c>
      <c r="AH54" s="61"/>
      <c r="AI54" s="48"/>
      <c r="AJ54" s="108" t="str">
        <f t="shared" si="9"/>
        <v>-</v>
      </c>
      <c r="AK54" s="18"/>
      <c r="AL54" s="61"/>
      <c r="AM54" s="4"/>
    </row>
    <row r="55" ht="11.25" customHeight="1">
      <c r="A55" s="78"/>
      <c r="B55" s="58"/>
      <c r="C55" s="58"/>
      <c r="D55" s="58"/>
      <c r="E55" s="58"/>
      <c r="F55" s="58"/>
      <c r="G55" s="43"/>
      <c r="H55" s="43"/>
      <c r="I55" s="43"/>
      <c r="J55" s="43"/>
      <c r="K55" s="43"/>
      <c r="L55" s="43"/>
      <c r="M55" s="43"/>
      <c r="N55" s="43"/>
      <c r="O55" s="43"/>
      <c r="P55" s="43"/>
      <c r="Q55" s="43"/>
      <c r="R55" s="43"/>
      <c r="S55" s="44"/>
      <c r="T55" s="4"/>
      <c r="U55" s="4"/>
      <c r="V55" s="4"/>
      <c r="W55" s="4"/>
      <c r="X55" s="4"/>
      <c r="Y55" s="4"/>
      <c r="Z55" s="4"/>
      <c r="AA55" s="4"/>
      <c r="AB55" s="4"/>
      <c r="AC55" s="4"/>
      <c r="AD55" s="4"/>
      <c r="AE55" s="43"/>
      <c r="AF55" s="43"/>
      <c r="AG55" s="43"/>
      <c r="AH55" s="43"/>
      <c r="AI55" s="43"/>
      <c r="AJ55" s="43"/>
      <c r="AK55" s="43"/>
      <c r="AL55" s="43"/>
      <c r="AM55" s="78"/>
    </row>
    <row r="56" ht="11.25" customHeight="1">
      <c r="A56" s="78"/>
      <c r="B56" s="58"/>
      <c r="C56" s="58"/>
      <c r="D56" s="58"/>
      <c r="E56" s="58"/>
      <c r="F56" s="58"/>
      <c r="G56" s="43"/>
      <c r="H56" s="43"/>
      <c r="I56" s="43"/>
      <c r="J56" s="43"/>
      <c r="K56" s="43"/>
      <c r="L56" s="43"/>
      <c r="M56" s="43"/>
      <c r="N56" s="43"/>
      <c r="O56" s="43"/>
      <c r="P56" s="43"/>
      <c r="Q56" s="43"/>
      <c r="R56" s="43"/>
      <c r="S56" s="44"/>
      <c r="T56" s="4"/>
      <c r="U56" s="4"/>
      <c r="V56" s="4"/>
      <c r="W56" s="4"/>
      <c r="X56" s="4"/>
      <c r="Y56" s="4"/>
      <c r="Z56" s="4"/>
      <c r="AA56" s="4"/>
      <c r="AB56" s="4"/>
      <c r="AC56" s="4"/>
      <c r="AD56" s="4"/>
      <c r="AE56" s="43"/>
      <c r="AF56" s="43"/>
      <c r="AG56" s="43"/>
      <c r="AH56" s="43"/>
      <c r="AI56" s="43"/>
      <c r="AJ56" s="43"/>
      <c r="AK56" s="43"/>
      <c r="AL56" s="43"/>
      <c r="AM56" s="78"/>
    </row>
    <row r="57" ht="11.25" customHeight="1">
      <c r="A57" s="68"/>
      <c r="B57" s="68"/>
      <c r="C57" s="68"/>
      <c r="D57" s="68"/>
      <c r="E57" s="68"/>
      <c r="F57" s="68"/>
      <c r="G57" s="80"/>
      <c r="H57" s="80"/>
      <c r="I57" s="80"/>
      <c r="J57" s="80"/>
      <c r="K57" s="80"/>
      <c r="L57" s="80"/>
      <c r="M57" s="80"/>
      <c r="N57" s="80"/>
      <c r="O57" s="80"/>
      <c r="P57" s="80"/>
      <c r="Q57" s="80"/>
      <c r="R57" s="80"/>
      <c r="S57" s="80"/>
      <c r="T57" s="80"/>
      <c r="U57" s="80"/>
      <c r="V57" s="80"/>
      <c r="W57" s="80"/>
      <c r="X57" s="80"/>
      <c r="Y57" s="80"/>
      <c r="Z57" s="80"/>
      <c r="AA57" s="80"/>
      <c r="AB57" s="80"/>
      <c r="AC57" s="80"/>
      <c r="AD57" s="80"/>
      <c r="AE57" s="80"/>
      <c r="AF57" s="80"/>
      <c r="AG57" s="80"/>
      <c r="AH57" s="80"/>
      <c r="AI57" s="80"/>
      <c r="AJ57" s="80"/>
      <c r="AK57" s="39"/>
      <c r="AL57" s="39"/>
      <c r="AM57" s="39"/>
    </row>
    <row r="58" ht="11.25" customHeight="1">
      <c r="A58" s="111" t="s">
        <v>99</v>
      </c>
      <c r="B58" s="112"/>
      <c r="C58" s="112"/>
      <c r="D58" s="112"/>
      <c r="E58" s="112"/>
      <c r="F58" s="112"/>
      <c r="G58" s="90"/>
      <c r="H58" s="90"/>
      <c r="I58" s="90"/>
      <c r="J58" s="90"/>
      <c r="K58" s="90"/>
      <c r="L58" s="90"/>
      <c r="M58" s="90"/>
      <c r="N58" s="90"/>
      <c r="O58" s="90"/>
      <c r="P58" s="90"/>
      <c r="Q58" s="90"/>
      <c r="R58" s="90"/>
      <c r="S58" s="90"/>
      <c r="T58" s="90"/>
      <c r="U58" s="90"/>
      <c r="V58" s="90"/>
      <c r="W58" s="90"/>
      <c r="X58" s="90"/>
      <c r="Y58" s="90"/>
      <c r="Z58" s="90"/>
      <c r="AA58" s="90"/>
      <c r="AB58" s="90"/>
      <c r="AC58" s="90"/>
      <c r="AD58" s="90"/>
      <c r="AE58" s="90"/>
      <c r="AF58" s="90"/>
      <c r="AG58" s="90"/>
      <c r="AH58" s="90"/>
      <c r="AI58" s="90"/>
      <c r="AJ58" s="90"/>
      <c r="AK58" s="90"/>
      <c r="AL58" s="90"/>
      <c r="AM58" s="90"/>
    </row>
    <row r="59" ht="11.25" customHeight="1">
      <c r="A59" s="78"/>
      <c r="B59" s="58"/>
      <c r="C59" s="58"/>
      <c r="D59" s="58"/>
      <c r="E59" s="58"/>
      <c r="F59" s="58"/>
      <c r="G59" s="43"/>
      <c r="H59" s="43"/>
      <c r="I59" s="43"/>
      <c r="J59" s="43"/>
      <c r="K59" s="43"/>
      <c r="L59" s="43"/>
      <c r="M59" s="43"/>
      <c r="N59" s="43"/>
      <c r="O59" s="43"/>
      <c r="P59" s="43"/>
      <c r="Q59" s="43"/>
      <c r="R59" s="43"/>
      <c r="S59" s="44"/>
      <c r="T59" s="4"/>
      <c r="U59" s="4"/>
      <c r="V59" s="58"/>
      <c r="W59" s="58"/>
      <c r="X59" s="58"/>
      <c r="Y59" s="58"/>
      <c r="Z59" s="58"/>
      <c r="AA59" s="43"/>
      <c r="AB59" s="13"/>
      <c r="AC59" s="13"/>
      <c r="AD59" s="55"/>
      <c r="AE59" s="65"/>
      <c r="AF59" s="65"/>
      <c r="AG59" s="65"/>
      <c r="AH59" s="65"/>
      <c r="AI59" s="65"/>
      <c r="AJ59" s="43"/>
      <c r="AK59" s="43"/>
      <c r="AL59" s="43"/>
      <c r="AM59" s="78"/>
    </row>
    <row r="60" ht="11.25" customHeight="1">
      <c r="A60" s="78"/>
      <c r="B60" s="4"/>
      <c r="C60" s="4"/>
      <c r="D60" s="4"/>
      <c r="E60" s="4"/>
      <c r="F60" s="4"/>
      <c r="G60" s="4"/>
      <c r="H60" s="4"/>
      <c r="I60" s="4"/>
      <c r="J60" s="4"/>
      <c r="K60" s="4"/>
      <c r="L60" s="4"/>
      <c r="M60" s="73" t="s">
        <v>100</v>
      </c>
      <c r="N60" s="18"/>
      <c r="O60" s="18"/>
      <c r="P60" s="18"/>
      <c r="Q60" s="18"/>
      <c r="R60" s="18"/>
      <c r="S60" s="18"/>
      <c r="T60" s="18"/>
      <c r="U60" s="18"/>
      <c r="V60" s="18"/>
      <c r="W60" s="18"/>
      <c r="X60" s="18"/>
      <c r="Y60" s="61"/>
      <c r="Z60" s="58"/>
      <c r="AA60" s="43"/>
      <c r="AB60" s="44"/>
      <c r="AC60" s="44"/>
      <c r="AD60" s="4"/>
      <c r="AE60" s="4"/>
      <c r="AF60" s="4"/>
      <c r="AG60" s="4"/>
      <c r="AH60" s="4"/>
      <c r="AI60" s="4"/>
      <c r="AJ60" s="43"/>
      <c r="AK60" s="43"/>
      <c r="AL60" s="43"/>
      <c r="AM60" s="78"/>
    </row>
    <row r="61" ht="11.25" customHeight="1">
      <c r="A61" s="78"/>
      <c r="B61" s="4"/>
      <c r="C61" s="71" t="s">
        <v>101</v>
      </c>
      <c r="D61" s="18"/>
      <c r="E61" s="18"/>
      <c r="F61" s="18"/>
      <c r="G61" s="18"/>
      <c r="H61" s="18"/>
      <c r="I61" s="61"/>
      <c r="J61" s="4"/>
      <c r="K61" s="4"/>
      <c r="L61" s="4"/>
      <c r="M61" s="79"/>
      <c r="N61" s="18"/>
      <c r="O61" s="18"/>
      <c r="P61" s="18"/>
      <c r="Q61" s="61"/>
      <c r="R61" s="71" t="s">
        <v>55</v>
      </c>
      <c r="S61" s="18"/>
      <c r="T61" s="61"/>
      <c r="U61" s="71" t="s">
        <v>56</v>
      </c>
      <c r="V61" s="18"/>
      <c r="W61" s="61"/>
      <c r="X61" s="71" t="s">
        <v>102</v>
      </c>
      <c r="Y61" s="61"/>
      <c r="Z61" s="58"/>
      <c r="AA61" s="43"/>
      <c r="AB61" s="71" t="s">
        <v>103</v>
      </c>
      <c r="AC61" s="18"/>
      <c r="AD61" s="18"/>
      <c r="AE61" s="18"/>
      <c r="AF61" s="18"/>
      <c r="AG61" s="18"/>
      <c r="AH61" s="61"/>
      <c r="AI61" s="4"/>
      <c r="AJ61" s="43"/>
      <c r="AK61" s="43"/>
      <c r="AL61" s="43"/>
      <c r="AM61" s="78"/>
    </row>
    <row r="62" ht="11.25" customHeight="1">
      <c r="A62" s="78"/>
      <c r="B62" s="4"/>
      <c r="C62" s="72" t="s">
        <v>104</v>
      </c>
      <c r="D62" s="18"/>
      <c r="E62" s="18"/>
      <c r="F62" s="18"/>
      <c r="G62" s="18"/>
      <c r="H62" s="18"/>
      <c r="I62" s="61"/>
      <c r="J62" s="4"/>
      <c r="K62" s="4"/>
      <c r="L62" s="4"/>
      <c r="M62" s="73" t="str">
        <f>IF(OR(ISNUMBER(FIND("T",$G$31)),ISNUMBER(FIND("M",$G$31))),"Thermal","Long Time")</f>
        <v>Thermal</v>
      </c>
      <c r="N62" s="18"/>
      <c r="O62" s="18"/>
      <c r="P62" s="18"/>
      <c r="Q62" s="61"/>
      <c r="R62" s="74" t="s">
        <v>105</v>
      </c>
      <c r="S62" s="18"/>
      <c r="T62" s="61"/>
      <c r="U62" s="74"/>
      <c r="V62" s="18"/>
      <c r="W62" s="61"/>
      <c r="X62" s="75"/>
      <c r="Y62" s="61"/>
      <c r="Z62" s="58"/>
      <c r="AA62" s="43"/>
      <c r="AB62" s="72" t="s">
        <v>106</v>
      </c>
      <c r="AC62" s="18"/>
      <c r="AD62" s="18"/>
      <c r="AE62" s="18"/>
      <c r="AF62" s="18"/>
      <c r="AG62" s="18"/>
      <c r="AH62" s="61"/>
      <c r="AI62" s="43"/>
      <c r="AJ62" s="43"/>
      <c r="AK62" s="43"/>
      <c r="AL62" s="43"/>
      <c r="AM62" s="78"/>
    </row>
    <row r="63" ht="11.25" customHeight="1">
      <c r="A63" s="78"/>
      <c r="B63" s="4"/>
      <c r="C63" s="4"/>
      <c r="D63" s="4"/>
      <c r="E63" s="4"/>
      <c r="F63" s="4"/>
      <c r="G63" s="4"/>
      <c r="H63" s="4"/>
      <c r="I63" s="4"/>
      <c r="J63" s="4"/>
      <c r="K63" s="4"/>
      <c r="L63" s="4"/>
      <c r="M63" s="73" t="str">
        <f>IF(OR(ISNUMBER(FIND("T",$G$31)),ISNUMBER(FIND("M",$G$31))),"Magnetic","Short Time")</f>
        <v>Magnetic</v>
      </c>
      <c r="N63" s="18"/>
      <c r="O63" s="18"/>
      <c r="P63" s="18"/>
      <c r="Q63" s="61"/>
      <c r="R63" s="74" t="s">
        <v>107</v>
      </c>
      <c r="S63" s="18"/>
      <c r="T63" s="61"/>
      <c r="U63" s="74" t="s">
        <v>108</v>
      </c>
      <c r="V63" s="18"/>
      <c r="W63" s="61"/>
      <c r="X63" s="74"/>
      <c r="Y63" s="61"/>
      <c r="Z63" s="58"/>
      <c r="AA63" s="43"/>
      <c r="AB63" s="44"/>
      <c r="AC63" s="44"/>
      <c r="AD63" s="58"/>
      <c r="AE63" s="43"/>
      <c r="AF63" s="43"/>
      <c r="AG63" s="43"/>
      <c r="AH63" s="43"/>
      <c r="AI63" s="43"/>
      <c r="AJ63" s="43"/>
      <c r="AK63" s="113"/>
      <c r="AL63" s="7"/>
      <c r="AM63" s="78"/>
    </row>
    <row r="64" ht="11.25" customHeight="1">
      <c r="A64" s="78"/>
      <c r="B64" s="4"/>
      <c r="C64" s="4"/>
      <c r="D64" s="4"/>
      <c r="E64" s="4"/>
      <c r="F64" s="4"/>
      <c r="G64" s="4"/>
      <c r="H64" s="4"/>
      <c r="I64" s="4"/>
      <c r="J64" s="4"/>
      <c r="K64" s="4"/>
      <c r="L64" s="4"/>
      <c r="M64" s="79" t="s">
        <v>62</v>
      </c>
      <c r="N64" s="18"/>
      <c r="O64" s="18"/>
      <c r="P64" s="18"/>
      <c r="Q64" s="61"/>
      <c r="R64" s="74"/>
      <c r="S64" s="18"/>
      <c r="T64" s="61"/>
      <c r="U64" s="75"/>
      <c r="V64" s="18"/>
      <c r="W64" s="61"/>
      <c r="X64" s="75"/>
      <c r="Y64" s="61"/>
      <c r="Z64" s="58"/>
      <c r="AA64" s="43"/>
      <c r="AB64" s="44"/>
      <c r="AC64" s="44"/>
      <c r="AD64" s="58"/>
      <c r="AE64" s="43"/>
      <c r="AF64" s="43"/>
      <c r="AG64" s="43"/>
      <c r="AH64" s="43"/>
      <c r="AI64" s="43"/>
      <c r="AJ64" s="43"/>
      <c r="AK64" s="43"/>
      <c r="AL64" s="43"/>
      <c r="AM64" s="78"/>
    </row>
    <row r="65" ht="11.25" customHeight="1">
      <c r="A65" s="78"/>
      <c r="B65" s="4"/>
      <c r="C65" s="4"/>
      <c r="D65" s="4"/>
      <c r="E65" s="4"/>
      <c r="F65" s="4"/>
      <c r="G65" s="4"/>
      <c r="H65" s="4"/>
      <c r="I65" s="4"/>
      <c r="J65" s="4"/>
      <c r="K65" s="4"/>
      <c r="L65" s="4"/>
      <c r="M65" s="73" t="s">
        <v>63</v>
      </c>
      <c r="N65" s="18"/>
      <c r="O65" s="18"/>
      <c r="P65" s="18"/>
      <c r="Q65" s="61"/>
      <c r="R65" s="74"/>
      <c r="S65" s="18"/>
      <c r="T65" s="61"/>
      <c r="U65" s="74"/>
      <c r="V65" s="18"/>
      <c r="W65" s="61"/>
      <c r="X65" s="74"/>
      <c r="Y65" s="61"/>
      <c r="Z65" s="58"/>
      <c r="AA65" s="43"/>
      <c r="AB65" s="44"/>
      <c r="AC65" s="44"/>
      <c r="AD65" s="58"/>
      <c r="AE65" s="43"/>
      <c r="AF65" s="43"/>
      <c r="AG65" s="43"/>
      <c r="AH65" s="43"/>
      <c r="AI65" s="43"/>
      <c r="AJ65" s="43"/>
      <c r="AK65" s="43"/>
      <c r="AL65" s="43"/>
      <c r="AM65" s="78"/>
    </row>
    <row r="66" ht="11.25" customHeight="1">
      <c r="A66" s="78"/>
      <c r="B66" s="78"/>
      <c r="C66" s="78"/>
      <c r="D66" s="78"/>
      <c r="E66" s="78"/>
      <c r="F66" s="78"/>
      <c r="G66" s="78"/>
      <c r="H66" s="78"/>
      <c r="I66" s="78"/>
      <c r="J66" s="78"/>
      <c r="K66" s="78"/>
      <c r="L66" s="78"/>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row>
    <row r="67" ht="11.25" customHeight="1">
      <c r="A67" s="78"/>
      <c r="B67" s="114" t="s">
        <v>54</v>
      </c>
      <c r="C67" s="84"/>
      <c r="D67" s="84"/>
      <c r="E67" s="115" t="s">
        <v>109</v>
      </c>
      <c r="F67" s="84"/>
      <c r="G67" s="85"/>
      <c r="H67" s="81" t="s">
        <v>110</v>
      </c>
      <c r="I67" s="18"/>
      <c r="J67" s="18"/>
      <c r="K67" s="61"/>
      <c r="L67" s="115" t="s">
        <v>111</v>
      </c>
      <c r="M67" s="84"/>
      <c r="N67" s="85"/>
      <c r="O67" s="71" t="s">
        <v>112</v>
      </c>
      <c r="P67" s="18"/>
      <c r="Q67" s="18"/>
      <c r="R67" s="18"/>
      <c r="S67" s="18"/>
      <c r="T67" s="61"/>
      <c r="U67" s="114" t="s">
        <v>68</v>
      </c>
      <c r="V67" s="84"/>
      <c r="W67" s="84"/>
      <c r="X67" s="84"/>
      <c r="Y67" s="85"/>
      <c r="Z67" s="114" t="s">
        <v>69</v>
      </c>
      <c r="AA67" s="84"/>
      <c r="AB67" s="84"/>
      <c r="AC67" s="84"/>
      <c r="AD67" s="85"/>
      <c r="AE67" s="114" t="s">
        <v>70</v>
      </c>
      <c r="AF67" s="84"/>
      <c r="AG67" s="84"/>
      <c r="AH67" s="84"/>
      <c r="AI67" s="85"/>
      <c r="AJ67" s="83" t="s">
        <v>34</v>
      </c>
      <c r="AK67" s="84"/>
      <c r="AL67" s="85"/>
      <c r="AM67" s="4"/>
    </row>
    <row r="68" ht="11.25" customHeight="1">
      <c r="A68" s="78"/>
      <c r="B68" s="87"/>
      <c r="C68" s="50"/>
      <c r="D68" s="50"/>
      <c r="E68" s="87"/>
      <c r="F68" s="50"/>
      <c r="G68" s="77"/>
      <c r="H68" s="81" t="s">
        <v>112</v>
      </c>
      <c r="I68" s="18"/>
      <c r="J68" s="18"/>
      <c r="K68" s="61"/>
      <c r="L68" s="87"/>
      <c r="M68" s="50"/>
      <c r="N68" s="77"/>
      <c r="O68" s="71" t="s">
        <v>113</v>
      </c>
      <c r="P68" s="18"/>
      <c r="Q68" s="61"/>
      <c r="R68" s="71" t="s">
        <v>114</v>
      </c>
      <c r="S68" s="18"/>
      <c r="T68" s="61"/>
      <c r="U68" s="87"/>
      <c r="V68" s="50"/>
      <c r="W68" s="50"/>
      <c r="X68" s="50"/>
      <c r="Y68" s="77"/>
      <c r="Z68" s="87"/>
      <c r="AA68" s="50"/>
      <c r="AB68" s="50"/>
      <c r="AC68" s="50"/>
      <c r="AD68" s="77"/>
      <c r="AE68" s="87"/>
      <c r="AF68" s="50"/>
      <c r="AG68" s="50"/>
      <c r="AH68" s="50"/>
      <c r="AI68" s="77"/>
      <c r="AJ68" s="87"/>
      <c r="AK68" s="50"/>
      <c r="AL68" s="77"/>
      <c r="AM68" s="4"/>
    </row>
    <row r="69" ht="11.25" customHeight="1">
      <c r="A69" s="78"/>
      <c r="B69" s="81" t="str">
        <f>IF(AND(NOT(ISNUMBER(FIND("T",$G$31))),NOT(ISNUMBER(FIND("M",$G$31)))),"LTD","Thermal")</f>
        <v>Thermal</v>
      </c>
      <c r="C69" s="18"/>
      <c r="D69" s="61"/>
      <c r="E69" s="73"/>
      <c r="F69" s="18"/>
      <c r="G69" s="61"/>
      <c r="H69" s="116">
        <v>3.0</v>
      </c>
      <c r="I69" s="18"/>
      <c r="J69" s="18"/>
      <c r="K69" s="61"/>
      <c r="L69" s="73" t="str">
        <f>IF(E69="","",IF(E69="N/A", "N/A", E69*H69))</f>
        <v/>
      </c>
      <c r="M69" s="18"/>
      <c r="N69" s="61"/>
      <c r="O69" s="73"/>
      <c r="P69" s="18"/>
      <c r="Q69" s="61"/>
      <c r="R69" s="73"/>
      <c r="S69" s="18"/>
      <c r="T69" s="18"/>
      <c r="U69" s="73"/>
      <c r="V69" s="18"/>
      <c r="W69" s="18"/>
      <c r="X69" s="53" t="s">
        <v>115</v>
      </c>
      <c r="Y69" s="61"/>
      <c r="Z69" s="73"/>
      <c r="AA69" s="18"/>
      <c r="AB69" s="18"/>
      <c r="AC69" s="53" t="s">
        <v>115</v>
      </c>
      <c r="AD69" s="61"/>
      <c r="AE69" s="73"/>
      <c r="AF69" s="18"/>
      <c r="AG69" s="18"/>
      <c r="AH69" s="53" t="s">
        <v>115</v>
      </c>
      <c r="AI69" s="61"/>
      <c r="AJ69" s="117" t="str">
        <f t="shared" ref="AJ69:AJ76" si="10">IF(OR(U69="",Z69="",AE69=""),"",IF(AND(U69&lt;=R69,U69&gt;=O69,R69&gt;=Z69,Z69&gt;=O69,R69&gt;=AE69,AE69&gt;=O69),"PASS","FAIL"))</f>
        <v/>
      </c>
      <c r="AK69" s="18"/>
      <c r="AL69" s="61"/>
      <c r="AM69" s="4"/>
    </row>
    <row r="70" ht="11.25" customHeight="1">
      <c r="A70" s="78"/>
      <c r="B70" s="81" t="str">
        <f>IF(AND(NOT(ISNUMBER(FIND("T",$G$31))),NOT(ISNUMBER(FIND("M",$G$31)))),"LTPU","Magnetic")</f>
        <v>Magnetic</v>
      </c>
      <c r="C70" s="18"/>
      <c r="D70" s="61"/>
      <c r="E70" s="73"/>
      <c r="F70" s="18"/>
      <c r="G70" s="61"/>
      <c r="H70" s="116">
        <v>-0.1</v>
      </c>
      <c r="I70" s="61"/>
      <c r="J70" s="116">
        <v>0.1</v>
      </c>
      <c r="K70" s="61"/>
      <c r="L70" s="73" t="str">
        <f>IF(E70="","",E70)</f>
        <v/>
      </c>
      <c r="M70" s="18"/>
      <c r="N70" s="61"/>
      <c r="O70" s="73"/>
      <c r="P70" s="18"/>
      <c r="Q70" s="61"/>
      <c r="R70" s="73"/>
      <c r="S70" s="18"/>
      <c r="T70" s="18"/>
      <c r="U70" s="73"/>
      <c r="V70" s="18"/>
      <c r="W70" s="18"/>
      <c r="X70" s="53" t="s">
        <v>116</v>
      </c>
      <c r="Y70" s="61"/>
      <c r="Z70" s="73"/>
      <c r="AA70" s="18"/>
      <c r="AB70" s="18"/>
      <c r="AC70" s="53" t="s">
        <v>116</v>
      </c>
      <c r="AD70" s="61"/>
      <c r="AE70" s="73"/>
      <c r="AF70" s="18"/>
      <c r="AG70" s="18"/>
      <c r="AH70" s="53" t="s">
        <v>116</v>
      </c>
      <c r="AI70" s="61"/>
      <c r="AJ70" s="117" t="str">
        <f t="shared" si="10"/>
        <v/>
      </c>
      <c r="AK70" s="18"/>
      <c r="AL70" s="61"/>
      <c r="AM70" s="118"/>
    </row>
    <row r="71" ht="11.25" customHeight="1">
      <c r="A71" s="78"/>
      <c r="B71" s="81" t="s">
        <v>117</v>
      </c>
      <c r="C71" s="18"/>
      <c r="D71" s="61"/>
      <c r="E71" s="73"/>
      <c r="F71" s="18"/>
      <c r="G71" s="61"/>
      <c r="H71" s="116">
        <v>1.1</v>
      </c>
      <c r="I71" s="18"/>
      <c r="J71" s="18"/>
      <c r="K71" s="61"/>
      <c r="L71" s="73" t="str">
        <f>IF(E71="","",IF(E71="N/A", "N/A", E71*H71))</f>
        <v/>
      </c>
      <c r="M71" s="18"/>
      <c r="N71" s="61"/>
      <c r="O71" s="73"/>
      <c r="P71" s="18"/>
      <c r="Q71" s="61"/>
      <c r="R71" s="73"/>
      <c r="S71" s="18"/>
      <c r="T71" s="18"/>
      <c r="U71" s="73"/>
      <c r="V71" s="18"/>
      <c r="W71" s="18"/>
      <c r="X71" s="53" t="s">
        <v>115</v>
      </c>
      <c r="Y71" s="61"/>
      <c r="Z71" s="73"/>
      <c r="AA71" s="18"/>
      <c r="AB71" s="18"/>
      <c r="AC71" s="53" t="s">
        <v>115</v>
      </c>
      <c r="AD71" s="61"/>
      <c r="AE71" s="73"/>
      <c r="AF71" s="18"/>
      <c r="AG71" s="18"/>
      <c r="AH71" s="53" t="s">
        <v>115</v>
      </c>
      <c r="AI71" s="61"/>
      <c r="AJ71" s="117" t="str">
        <f t="shared" si="10"/>
        <v/>
      </c>
      <c r="AK71" s="18"/>
      <c r="AL71" s="61"/>
      <c r="AM71" s="4"/>
    </row>
    <row r="72" ht="11.25" customHeight="1">
      <c r="A72" s="78"/>
      <c r="B72" s="81" t="s">
        <v>118</v>
      </c>
      <c r="C72" s="18"/>
      <c r="D72" s="61"/>
      <c r="E72" s="73"/>
      <c r="F72" s="18"/>
      <c r="G72" s="61"/>
      <c r="H72" s="116">
        <v>-0.1</v>
      </c>
      <c r="I72" s="61"/>
      <c r="J72" s="116">
        <v>0.1</v>
      </c>
      <c r="K72" s="61"/>
      <c r="L72" s="73" t="str">
        <f>IF(E72="","",E72)</f>
        <v/>
      </c>
      <c r="M72" s="18"/>
      <c r="N72" s="61"/>
      <c r="O72" s="73" t="str">
        <f>IF(L72="","",IF(L72="N/A", "N/A", (H72*L72)+L72))</f>
        <v/>
      </c>
      <c r="P72" s="18"/>
      <c r="Q72" s="61"/>
      <c r="R72" s="73" t="str">
        <f>IF(L72="","",IF(L72="N/A", "N/A", (J72*L72)+L72))</f>
        <v/>
      </c>
      <c r="S72" s="18"/>
      <c r="T72" s="18"/>
      <c r="U72" s="73"/>
      <c r="V72" s="18"/>
      <c r="W72" s="18"/>
      <c r="X72" s="53" t="s">
        <v>116</v>
      </c>
      <c r="Y72" s="61"/>
      <c r="Z72" s="73"/>
      <c r="AA72" s="18"/>
      <c r="AB72" s="18"/>
      <c r="AC72" s="53" t="s">
        <v>116</v>
      </c>
      <c r="AD72" s="61"/>
      <c r="AE72" s="73"/>
      <c r="AF72" s="18"/>
      <c r="AG72" s="18"/>
      <c r="AH72" s="53" t="s">
        <v>116</v>
      </c>
      <c r="AI72" s="61"/>
      <c r="AJ72" s="117" t="str">
        <f t="shared" si="10"/>
        <v/>
      </c>
      <c r="AK72" s="18"/>
      <c r="AL72" s="61"/>
      <c r="AM72" s="4"/>
    </row>
    <row r="73" ht="11.25" customHeight="1">
      <c r="A73" s="78"/>
      <c r="B73" s="81" t="s">
        <v>119</v>
      </c>
      <c r="C73" s="18"/>
      <c r="D73" s="61"/>
      <c r="E73" s="73"/>
      <c r="F73" s="18"/>
      <c r="G73" s="61"/>
      <c r="H73" s="116">
        <v>1.1</v>
      </c>
      <c r="I73" s="18"/>
      <c r="J73" s="18"/>
      <c r="K73" s="61"/>
      <c r="L73" s="73" t="str">
        <f>IF(E73="","",IF(E73="N/A", "N/A", E73*H73))</f>
        <v/>
      </c>
      <c r="M73" s="18"/>
      <c r="N73" s="61"/>
      <c r="O73" s="73"/>
      <c r="P73" s="18"/>
      <c r="Q73" s="61"/>
      <c r="R73" s="73"/>
      <c r="S73" s="18"/>
      <c r="T73" s="61"/>
      <c r="U73" s="73"/>
      <c r="V73" s="18"/>
      <c r="W73" s="18"/>
      <c r="X73" s="53" t="s">
        <v>115</v>
      </c>
      <c r="Y73" s="61"/>
      <c r="Z73" s="73"/>
      <c r="AA73" s="18"/>
      <c r="AB73" s="18"/>
      <c r="AC73" s="53" t="s">
        <v>115</v>
      </c>
      <c r="AD73" s="61"/>
      <c r="AE73" s="73"/>
      <c r="AF73" s="18"/>
      <c r="AG73" s="18"/>
      <c r="AH73" s="53" t="s">
        <v>115</v>
      </c>
      <c r="AI73" s="61"/>
      <c r="AJ73" s="117" t="str">
        <f t="shared" si="10"/>
        <v/>
      </c>
      <c r="AK73" s="18"/>
      <c r="AL73" s="61"/>
      <c r="AM73" s="4"/>
    </row>
    <row r="74" ht="11.25" customHeight="1">
      <c r="A74" s="78"/>
      <c r="B74" s="81" t="s">
        <v>120</v>
      </c>
      <c r="C74" s="18"/>
      <c r="D74" s="61"/>
      <c r="E74" s="119"/>
      <c r="F74" s="18"/>
      <c r="G74" s="61"/>
      <c r="H74" s="120">
        <v>-0.2</v>
      </c>
      <c r="I74" s="61"/>
      <c r="J74" s="120">
        <v>0.2</v>
      </c>
      <c r="K74" s="61"/>
      <c r="L74" s="119" t="str">
        <f>IF(E74="","",E74)</f>
        <v/>
      </c>
      <c r="M74" s="18"/>
      <c r="N74" s="61"/>
      <c r="O74" s="73" t="str">
        <f>IF(L74="","",IF(L74="N/A", "N/A", (H74*L74)+L74))</f>
        <v/>
      </c>
      <c r="P74" s="18"/>
      <c r="Q74" s="61"/>
      <c r="R74" s="73" t="str">
        <f>IF(L74="","",IF(L74="N/A", "N/A", (J74*L74)+L74))</f>
        <v/>
      </c>
      <c r="S74" s="18"/>
      <c r="T74" s="18"/>
      <c r="U74" s="73"/>
      <c r="V74" s="18"/>
      <c r="W74" s="18"/>
      <c r="X74" s="53" t="str">
        <f>IF(J70="N/A","","A")</f>
        <v>A</v>
      </c>
      <c r="Y74" s="61"/>
      <c r="Z74" s="73"/>
      <c r="AA74" s="18"/>
      <c r="AB74" s="18"/>
      <c r="AC74" s="53" t="str">
        <f>IF(R64="N/A","","A")</f>
        <v>A</v>
      </c>
      <c r="AD74" s="61"/>
      <c r="AE74" s="73"/>
      <c r="AF74" s="18"/>
      <c r="AG74" s="18"/>
      <c r="AH74" s="53" t="str">
        <f>IF(R64="N/A","","A")</f>
        <v>A</v>
      </c>
      <c r="AI74" s="61"/>
      <c r="AJ74" s="117" t="str">
        <f t="shared" si="10"/>
        <v/>
      </c>
      <c r="AK74" s="18"/>
      <c r="AL74" s="61"/>
      <c r="AM74" s="4"/>
    </row>
    <row r="75" ht="11.25" customHeight="1">
      <c r="A75" s="78"/>
      <c r="B75" s="81" t="s">
        <v>121</v>
      </c>
      <c r="C75" s="18"/>
      <c r="D75" s="61"/>
      <c r="E75" s="73"/>
      <c r="F75" s="18"/>
      <c r="G75" s="61"/>
      <c r="H75" s="116">
        <v>1.1</v>
      </c>
      <c r="I75" s="18"/>
      <c r="J75" s="18"/>
      <c r="K75" s="61"/>
      <c r="L75" s="73" t="str">
        <f>IF(E75="","",IF(E75="N/A", "N/A", E75*H75))</f>
        <v/>
      </c>
      <c r="M75" s="18"/>
      <c r="N75" s="61"/>
      <c r="O75" s="73"/>
      <c r="P75" s="18"/>
      <c r="Q75" s="61"/>
      <c r="R75" s="73"/>
      <c r="S75" s="18"/>
      <c r="T75" s="18"/>
      <c r="U75" s="73"/>
      <c r="V75" s="18"/>
      <c r="W75" s="18"/>
      <c r="X75" s="53" t="s">
        <v>115</v>
      </c>
      <c r="Y75" s="61"/>
      <c r="Z75" s="73"/>
      <c r="AA75" s="18"/>
      <c r="AB75" s="18"/>
      <c r="AC75" s="53" t="s">
        <v>115</v>
      </c>
      <c r="AD75" s="61"/>
      <c r="AE75" s="73"/>
      <c r="AF75" s="18"/>
      <c r="AG75" s="18"/>
      <c r="AH75" s="53" t="s">
        <v>115</v>
      </c>
      <c r="AI75" s="61"/>
      <c r="AJ75" s="117" t="str">
        <f t="shared" si="10"/>
        <v/>
      </c>
      <c r="AK75" s="18"/>
      <c r="AL75" s="61"/>
      <c r="AM75" s="4"/>
    </row>
    <row r="76" ht="11.25" customHeight="1">
      <c r="A76" s="78"/>
      <c r="B76" s="81" t="s">
        <v>122</v>
      </c>
      <c r="C76" s="18"/>
      <c r="D76" s="61"/>
      <c r="E76" s="73"/>
      <c r="F76" s="18"/>
      <c r="G76" s="61"/>
      <c r="H76" s="116">
        <v>-0.15</v>
      </c>
      <c r="I76" s="61"/>
      <c r="J76" s="116">
        <v>0.15</v>
      </c>
      <c r="K76" s="61"/>
      <c r="L76" s="73" t="str">
        <f>IF(E76="","",E76)</f>
        <v/>
      </c>
      <c r="M76" s="18"/>
      <c r="N76" s="61"/>
      <c r="O76" s="73" t="str">
        <f>IF(L76="","",IF(L76="N/A", "N/A", (H76*L76)+L76))</f>
        <v/>
      </c>
      <c r="P76" s="18"/>
      <c r="Q76" s="61"/>
      <c r="R76" s="73" t="str">
        <f>IF(L76="","",IF(L76="N/A", "N/A", (L76*J76)+L76))</f>
        <v/>
      </c>
      <c r="S76" s="18"/>
      <c r="T76" s="61"/>
      <c r="U76" s="73"/>
      <c r="V76" s="18"/>
      <c r="W76" s="18"/>
      <c r="X76" s="53" t="s">
        <v>116</v>
      </c>
      <c r="Y76" s="61"/>
      <c r="Z76" s="73"/>
      <c r="AA76" s="18"/>
      <c r="AB76" s="18"/>
      <c r="AC76" s="53" t="s">
        <v>116</v>
      </c>
      <c r="AD76" s="61"/>
      <c r="AE76" s="73"/>
      <c r="AF76" s="18"/>
      <c r="AG76" s="18"/>
      <c r="AH76" s="53" t="s">
        <v>116</v>
      </c>
      <c r="AI76" s="61"/>
      <c r="AJ76" s="117" t="str">
        <f t="shared" si="10"/>
        <v/>
      </c>
      <c r="AK76" s="18"/>
      <c r="AL76" s="61"/>
      <c r="AM76" s="4"/>
    </row>
    <row r="77" ht="11.25" customHeight="1">
      <c r="A77" s="78"/>
      <c r="B77" s="78"/>
      <c r="C77" s="78"/>
      <c r="D77" s="78"/>
      <c r="E77" s="78"/>
      <c r="F77" s="78"/>
      <c r="G77" s="78"/>
      <c r="H77" s="78"/>
      <c r="I77" s="78"/>
      <c r="J77" s="78"/>
      <c r="K77" s="78"/>
      <c r="L77" s="78"/>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row>
    <row r="78" ht="11.25" customHeight="1">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row>
    <row r="79" ht="11.25" customHeight="1">
      <c r="A79" s="111" t="s">
        <v>123</v>
      </c>
      <c r="B79" s="90"/>
      <c r="C79" s="90"/>
      <c r="D79" s="90"/>
      <c r="E79" s="90"/>
      <c r="F79" s="90"/>
      <c r="G79" s="90"/>
      <c r="H79" s="90"/>
      <c r="I79" s="90"/>
      <c r="J79" s="90"/>
      <c r="K79" s="90"/>
      <c r="L79" s="90"/>
      <c r="M79" s="90"/>
      <c r="N79" s="90"/>
      <c r="O79" s="90"/>
      <c r="P79" s="90"/>
      <c r="Q79" s="90"/>
      <c r="R79" s="90"/>
      <c r="S79" s="90"/>
      <c r="T79" s="90"/>
      <c r="U79" s="90"/>
      <c r="V79" s="90"/>
      <c r="W79" s="90"/>
      <c r="X79" s="90"/>
      <c r="Y79" s="90"/>
      <c r="Z79" s="90"/>
      <c r="AA79" s="90"/>
      <c r="AB79" s="90"/>
      <c r="AC79" s="90"/>
      <c r="AD79" s="90"/>
      <c r="AE79" s="90"/>
      <c r="AF79" s="90"/>
      <c r="AG79" s="90"/>
      <c r="AH79" s="90"/>
      <c r="AI79" s="90"/>
      <c r="AJ79" s="90"/>
      <c r="AK79" s="90"/>
      <c r="AL79" s="90"/>
      <c r="AM79" s="90"/>
    </row>
    <row r="80" ht="11.25" customHeight="1">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c r="AA80" s="44"/>
      <c r="AB80" s="44"/>
      <c r="AC80" s="44"/>
      <c r="AD80" s="44"/>
      <c r="AE80" s="44"/>
      <c r="AF80" s="44"/>
      <c r="AG80" s="44"/>
      <c r="AH80" s="44"/>
      <c r="AI80" s="44"/>
      <c r="AJ80" s="44"/>
      <c r="AK80" s="44"/>
      <c r="AL80" s="44"/>
      <c r="AM80" s="44"/>
    </row>
    <row r="81" ht="11.25" customHeight="1">
      <c r="A81" s="44"/>
      <c r="B81" s="4"/>
      <c r="C81" s="121" t="s">
        <v>124</v>
      </c>
      <c r="D81" s="6"/>
      <c r="E81" s="6"/>
      <c r="F81" s="6"/>
      <c r="G81" s="6"/>
      <c r="H81" s="6"/>
      <c r="I81" s="6"/>
      <c r="J81" s="6"/>
      <c r="K81" s="6"/>
      <c r="L81" s="7"/>
      <c r="M81" s="122"/>
      <c r="N81" s="9"/>
      <c r="O81" s="9"/>
      <c r="P81" s="9"/>
      <c r="Q81" s="9"/>
      <c r="R81" s="9"/>
      <c r="S81" s="10"/>
      <c r="T81" s="121" t="s">
        <v>125</v>
      </c>
      <c r="U81" s="6"/>
      <c r="V81" s="6"/>
      <c r="W81" s="6"/>
      <c r="X81" s="7"/>
      <c r="Y81" s="122"/>
      <c r="Z81" s="9"/>
      <c r="AA81" s="9"/>
      <c r="AB81" s="9"/>
      <c r="AC81" s="9"/>
      <c r="AD81" s="9"/>
      <c r="AE81" s="10"/>
      <c r="AF81" s="121" t="s">
        <v>126</v>
      </c>
      <c r="AG81" s="6"/>
      <c r="AH81" s="7"/>
      <c r="AI81" s="122"/>
      <c r="AJ81" s="9"/>
      <c r="AK81" s="9"/>
      <c r="AL81" s="10"/>
      <c r="AM81" s="44"/>
    </row>
    <row r="82" ht="11.25" customHeight="1">
      <c r="A82" s="44"/>
      <c r="B82" s="4"/>
      <c r="C82" s="4"/>
      <c r="D82" s="4"/>
      <c r="E82" s="123"/>
      <c r="F82" s="123"/>
      <c r="G82" s="123"/>
      <c r="H82" s="123"/>
      <c r="I82" s="123"/>
      <c r="J82" s="123"/>
      <c r="K82" s="123"/>
      <c r="L82" s="59"/>
      <c r="M82" s="59"/>
      <c r="N82" s="59"/>
      <c r="O82" s="59"/>
      <c r="P82" s="59"/>
      <c r="Q82" s="4"/>
      <c r="R82" s="4"/>
      <c r="S82" s="4"/>
      <c r="T82" s="4"/>
      <c r="U82" s="4"/>
      <c r="V82" s="4"/>
      <c r="W82" s="44"/>
      <c r="X82" s="59"/>
      <c r="Y82" s="59"/>
      <c r="Z82" s="59"/>
      <c r="AA82" s="123"/>
      <c r="AB82" s="123"/>
      <c r="AC82" s="123"/>
      <c r="AD82" s="123"/>
      <c r="AE82" s="44"/>
      <c r="AF82" s="44"/>
      <c r="AG82" s="44"/>
      <c r="AH82" s="44"/>
      <c r="AI82" s="4"/>
      <c r="AJ82" s="4"/>
      <c r="AK82" s="4"/>
      <c r="AL82" s="4"/>
      <c r="AM82" s="4"/>
    </row>
    <row r="83" ht="10.5" customHeight="1">
      <c r="A83" s="44"/>
      <c r="B83" s="4"/>
      <c r="C83" s="4"/>
      <c r="D83" s="4"/>
      <c r="E83" s="121" t="s">
        <v>127</v>
      </c>
      <c r="F83" s="6"/>
      <c r="G83" s="6"/>
      <c r="H83" s="6"/>
      <c r="I83" s="6"/>
      <c r="J83" s="6"/>
      <c r="K83" s="6"/>
      <c r="L83" s="7"/>
      <c r="M83" s="124"/>
      <c r="N83" s="9"/>
      <c r="O83" s="9"/>
      <c r="P83" s="9"/>
      <c r="Q83" s="9"/>
      <c r="R83" s="9"/>
      <c r="S83" s="10"/>
      <c r="T83" s="121" t="s">
        <v>125</v>
      </c>
      <c r="U83" s="6"/>
      <c r="V83" s="6"/>
      <c r="W83" s="6"/>
      <c r="X83" s="7"/>
      <c r="Y83" s="122"/>
      <c r="Z83" s="9"/>
      <c r="AA83" s="9"/>
      <c r="AB83" s="9"/>
      <c r="AC83" s="9"/>
      <c r="AD83" s="9"/>
      <c r="AE83" s="10"/>
      <c r="AF83" s="121" t="s">
        <v>126</v>
      </c>
      <c r="AG83" s="6"/>
      <c r="AH83" s="7"/>
      <c r="AI83" s="122"/>
      <c r="AJ83" s="9"/>
      <c r="AK83" s="9"/>
      <c r="AL83" s="10"/>
      <c r="AM83" s="44"/>
    </row>
    <row r="84" ht="10.5" customHeight="1">
      <c r="A84" s="44"/>
      <c r="B84" s="4"/>
      <c r="C84" s="4"/>
      <c r="D84" s="4"/>
      <c r="E84" s="125"/>
      <c r="F84" s="125"/>
      <c r="G84" s="125"/>
      <c r="H84" s="125"/>
      <c r="I84" s="125"/>
      <c r="J84" s="125"/>
      <c r="K84" s="125"/>
      <c r="L84" s="125"/>
      <c r="M84" s="126"/>
      <c r="N84" s="126"/>
      <c r="O84" s="126"/>
      <c r="P84" s="126"/>
      <c r="Q84" s="126"/>
      <c r="R84" s="126"/>
      <c r="S84" s="126"/>
      <c r="T84" s="59"/>
      <c r="U84" s="59"/>
      <c r="V84" s="59"/>
      <c r="W84" s="59"/>
      <c r="X84" s="59"/>
      <c r="Y84" s="45"/>
      <c r="Z84" s="45"/>
      <c r="AA84" s="45"/>
      <c r="AB84" s="45"/>
      <c r="AC84" s="45"/>
      <c r="AD84" s="45"/>
      <c r="AE84" s="44"/>
      <c r="AF84" s="59"/>
      <c r="AG84" s="59"/>
      <c r="AH84" s="59"/>
      <c r="AI84" s="45"/>
      <c r="AJ84" s="45"/>
      <c r="AK84" s="45"/>
      <c r="AL84" s="45"/>
      <c r="AM84" s="44"/>
    </row>
    <row r="85" ht="11.25" customHeight="1">
      <c r="A85" s="44"/>
      <c r="B85" s="4"/>
      <c r="C85" s="4"/>
      <c r="D85" s="4"/>
      <c r="E85" s="121" t="s">
        <v>128</v>
      </c>
      <c r="F85" s="6"/>
      <c r="G85" s="6"/>
      <c r="H85" s="6"/>
      <c r="I85" s="6"/>
      <c r="J85" s="6"/>
      <c r="K85" s="6"/>
      <c r="L85" s="7"/>
      <c r="M85" s="122"/>
      <c r="N85" s="9"/>
      <c r="O85" s="9"/>
      <c r="P85" s="9"/>
      <c r="Q85" s="9"/>
      <c r="R85" s="9"/>
      <c r="S85" s="10"/>
      <c r="T85" s="121" t="s">
        <v>125</v>
      </c>
      <c r="U85" s="6"/>
      <c r="V85" s="6"/>
      <c r="W85" s="6"/>
      <c r="X85" s="7"/>
      <c r="Y85" s="122"/>
      <c r="Z85" s="9"/>
      <c r="AA85" s="9"/>
      <c r="AB85" s="9"/>
      <c r="AC85" s="9"/>
      <c r="AD85" s="9"/>
      <c r="AE85" s="10"/>
      <c r="AF85" s="121" t="s">
        <v>126</v>
      </c>
      <c r="AG85" s="6"/>
      <c r="AH85" s="7"/>
      <c r="AI85" s="122"/>
      <c r="AJ85" s="9"/>
      <c r="AK85" s="9"/>
      <c r="AL85" s="10"/>
      <c r="AM85" s="44"/>
    </row>
    <row r="86" ht="11.25" customHeight="1">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39"/>
      <c r="AI86" s="39"/>
      <c r="AJ86" s="39"/>
      <c r="AK86" s="39"/>
      <c r="AL86" s="39"/>
      <c r="AM86" s="39"/>
    </row>
    <row r="87" ht="11.25" customHeight="1">
      <c r="A87" s="40" t="s">
        <v>129</v>
      </c>
      <c r="B87" s="4"/>
      <c r="C87" s="44"/>
      <c r="D87" s="44"/>
      <c r="E87" s="90"/>
      <c r="F87" s="90"/>
      <c r="G87" s="90"/>
      <c r="H87" s="90"/>
      <c r="I87" s="90"/>
      <c r="J87" s="90"/>
      <c r="K87" s="90"/>
      <c r="L87" s="90"/>
      <c r="M87" s="90"/>
      <c r="N87" s="90"/>
      <c r="O87" s="90"/>
      <c r="P87" s="90"/>
      <c r="Q87" s="90"/>
      <c r="R87" s="90"/>
      <c r="S87" s="90"/>
      <c r="T87" s="90"/>
      <c r="U87" s="90"/>
      <c r="V87" s="90"/>
      <c r="W87" s="90"/>
      <c r="X87" s="90"/>
      <c r="Y87" s="90"/>
      <c r="Z87" s="90"/>
      <c r="AA87" s="90"/>
      <c r="AB87" s="90"/>
      <c r="AC87" s="90"/>
      <c r="AD87" s="90"/>
      <c r="AE87" s="90"/>
      <c r="AF87" s="90"/>
      <c r="AG87" s="90"/>
      <c r="AH87" s="90"/>
      <c r="AI87" s="90"/>
      <c r="AJ87" s="90"/>
      <c r="AK87" s="90"/>
      <c r="AL87" s="90"/>
      <c r="AM87" s="44"/>
    </row>
    <row r="88" ht="11.25" customHeight="1">
      <c r="A88" s="40"/>
      <c r="B88" s="127"/>
      <c r="AM88" s="44"/>
    </row>
    <row r="89" ht="11.25" customHeight="1">
      <c r="A89" s="40"/>
      <c r="AM89" s="44"/>
    </row>
    <row r="90" ht="11.25" customHeight="1">
      <c r="A90" s="40"/>
      <c r="AM90" s="44"/>
    </row>
    <row r="91" ht="11.25" customHeight="1">
      <c r="A91" s="40"/>
      <c r="AM91" s="44"/>
    </row>
    <row r="92" ht="11.25" customHeight="1">
      <c r="A92" s="40"/>
      <c r="AM92" s="44"/>
    </row>
    <row r="93" ht="11.25" customHeight="1">
      <c r="A93" s="40"/>
      <c r="AM93" s="44"/>
    </row>
    <row r="94" ht="11.25" customHeight="1">
      <c r="A94" s="40"/>
      <c r="AM94" s="44"/>
    </row>
    <row r="95" ht="10.5" customHeight="1">
      <c r="A95" s="40"/>
      <c r="AM95" s="44"/>
    </row>
    <row r="96" ht="10.5" customHeight="1">
      <c r="A96" s="40"/>
      <c r="AM96" s="44"/>
    </row>
    <row r="97" ht="10.5" customHeight="1">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c r="AB97" s="39"/>
      <c r="AC97" s="39"/>
      <c r="AD97" s="39"/>
      <c r="AE97" s="39"/>
      <c r="AF97" s="39"/>
      <c r="AG97" s="39"/>
      <c r="AH97" s="39"/>
      <c r="AI97" s="39"/>
      <c r="AJ97" s="39"/>
      <c r="AK97" s="39"/>
      <c r="AL97" s="39"/>
      <c r="AM97" s="39"/>
    </row>
    <row r="98" ht="10.5" customHeight="1">
      <c r="A98" s="40" t="s">
        <v>130</v>
      </c>
      <c r="B98" s="4"/>
      <c r="C98" s="44"/>
      <c r="D98" s="44"/>
      <c r="E98" s="90"/>
      <c r="F98" s="90"/>
      <c r="G98" s="90"/>
      <c r="H98" s="90"/>
      <c r="I98" s="90"/>
      <c r="J98" s="90"/>
      <c r="K98" s="90"/>
      <c r="L98" s="90"/>
      <c r="M98" s="90"/>
      <c r="N98" s="90"/>
      <c r="O98" s="90"/>
      <c r="P98" s="90"/>
      <c r="Q98" s="90"/>
      <c r="R98" s="90"/>
      <c r="S98" s="90"/>
      <c r="T98" s="90"/>
      <c r="U98" s="90"/>
      <c r="V98" s="90"/>
      <c r="W98" s="90"/>
      <c r="X98" s="90"/>
      <c r="Y98" s="90"/>
      <c r="Z98" s="90"/>
      <c r="AA98" s="90"/>
      <c r="AB98" s="90"/>
      <c r="AC98" s="90"/>
      <c r="AD98" s="90"/>
      <c r="AE98" s="90"/>
      <c r="AF98" s="90"/>
      <c r="AG98" s="90"/>
      <c r="AH98" s="90"/>
      <c r="AI98" s="90"/>
      <c r="AJ98" s="90"/>
      <c r="AK98" s="90"/>
      <c r="AL98" s="90"/>
      <c r="AM98" s="44"/>
    </row>
    <row r="99" ht="10.5" customHeight="1">
      <c r="A99" s="128"/>
      <c r="B99" s="48"/>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row>
    <row r="100" ht="10.5" customHeight="1">
      <c r="A100" s="128"/>
      <c r="B100" s="129" t="s">
        <v>131</v>
      </c>
      <c r="C100" s="18"/>
      <c r="D100" s="61"/>
      <c r="E100" s="60" t="s">
        <v>132</v>
      </c>
      <c r="F100" s="18"/>
      <c r="G100" s="18"/>
      <c r="H100" s="18"/>
      <c r="I100" s="18"/>
      <c r="J100" s="61"/>
      <c r="K100" s="48"/>
      <c r="L100" s="129" t="s">
        <v>119</v>
      </c>
      <c r="M100" s="18"/>
      <c r="N100" s="61"/>
      <c r="O100" s="60" t="s">
        <v>133</v>
      </c>
      <c r="P100" s="18"/>
      <c r="Q100" s="18"/>
      <c r="R100" s="18"/>
      <c r="S100" s="18"/>
      <c r="T100" s="18"/>
      <c r="U100" s="61"/>
      <c r="V100" s="13"/>
      <c r="W100" s="130" t="s">
        <v>134</v>
      </c>
      <c r="X100" s="18"/>
      <c r="Y100" s="61"/>
      <c r="Z100" s="130" t="s">
        <v>135</v>
      </c>
      <c r="AA100" s="18"/>
      <c r="AB100" s="18"/>
      <c r="AC100" s="18"/>
      <c r="AD100" s="18"/>
      <c r="AE100" s="18"/>
      <c r="AF100" s="18"/>
      <c r="AG100" s="18"/>
      <c r="AH100" s="18"/>
      <c r="AI100" s="61"/>
      <c r="AJ100" s="48"/>
      <c r="AK100" s="48"/>
      <c r="AL100" s="48"/>
      <c r="AM100" s="48"/>
    </row>
    <row r="101" ht="10.5" customHeight="1">
      <c r="A101" s="128"/>
      <c r="B101" s="129" t="s">
        <v>136</v>
      </c>
      <c r="C101" s="18"/>
      <c r="D101" s="61"/>
      <c r="E101" s="131" t="s">
        <v>137</v>
      </c>
      <c r="F101" s="18"/>
      <c r="G101" s="18"/>
      <c r="H101" s="18"/>
      <c r="I101" s="18"/>
      <c r="J101" s="61"/>
      <c r="K101" s="48"/>
      <c r="L101" s="129" t="s">
        <v>120</v>
      </c>
      <c r="M101" s="18"/>
      <c r="N101" s="61"/>
      <c r="O101" s="131" t="s">
        <v>138</v>
      </c>
      <c r="P101" s="18"/>
      <c r="Q101" s="18"/>
      <c r="R101" s="18"/>
      <c r="S101" s="18"/>
      <c r="T101" s="18"/>
      <c r="U101" s="61"/>
      <c r="V101" s="132"/>
      <c r="W101" s="130" t="s">
        <v>139</v>
      </c>
      <c r="X101" s="18"/>
      <c r="Y101" s="61"/>
      <c r="Z101" s="130" t="s">
        <v>140</v>
      </c>
      <c r="AA101" s="18"/>
      <c r="AB101" s="18"/>
      <c r="AC101" s="18"/>
      <c r="AD101" s="18"/>
      <c r="AE101" s="18"/>
      <c r="AF101" s="18"/>
      <c r="AG101" s="18"/>
      <c r="AH101" s="18"/>
      <c r="AI101" s="61"/>
      <c r="AJ101" s="48"/>
      <c r="AK101" s="48"/>
      <c r="AL101" s="48"/>
      <c r="AM101" s="48"/>
    </row>
    <row r="102" ht="10.5" customHeight="1">
      <c r="A102" s="128"/>
      <c r="B102" s="129" t="s">
        <v>117</v>
      </c>
      <c r="C102" s="18"/>
      <c r="D102" s="61"/>
      <c r="E102" s="131" t="s">
        <v>141</v>
      </c>
      <c r="F102" s="18"/>
      <c r="G102" s="18"/>
      <c r="H102" s="18"/>
      <c r="I102" s="18"/>
      <c r="J102" s="61"/>
      <c r="K102" s="48"/>
      <c r="L102" s="129" t="s">
        <v>121</v>
      </c>
      <c r="M102" s="18"/>
      <c r="N102" s="61"/>
      <c r="O102" s="131" t="s">
        <v>142</v>
      </c>
      <c r="P102" s="18"/>
      <c r="Q102" s="18"/>
      <c r="R102" s="18"/>
      <c r="S102" s="18"/>
      <c r="T102" s="18"/>
      <c r="U102" s="61"/>
      <c r="V102" s="132"/>
      <c r="W102" s="48"/>
      <c r="X102" s="48"/>
      <c r="Y102" s="48"/>
      <c r="Z102" s="48"/>
      <c r="AA102" s="48"/>
      <c r="AB102" s="48"/>
      <c r="AC102" s="48"/>
      <c r="AD102" s="48"/>
      <c r="AE102" s="48"/>
      <c r="AF102" s="48"/>
      <c r="AG102" s="48"/>
      <c r="AH102" s="48"/>
      <c r="AI102" s="48"/>
      <c r="AJ102" s="48"/>
      <c r="AK102" s="48"/>
      <c r="AL102" s="48"/>
      <c r="AM102" s="48"/>
    </row>
    <row r="103" ht="10.5" customHeight="1">
      <c r="A103" s="128"/>
      <c r="B103" s="129" t="s">
        <v>118</v>
      </c>
      <c r="C103" s="18"/>
      <c r="D103" s="61"/>
      <c r="E103" s="131" t="s">
        <v>143</v>
      </c>
      <c r="F103" s="18"/>
      <c r="G103" s="18"/>
      <c r="H103" s="18"/>
      <c r="I103" s="18"/>
      <c r="J103" s="61"/>
      <c r="K103" s="48"/>
      <c r="L103" s="129" t="s">
        <v>122</v>
      </c>
      <c r="M103" s="18"/>
      <c r="N103" s="61"/>
      <c r="O103" s="131" t="s">
        <v>144</v>
      </c>
      <c r="P103" s="18"/>
      <c r="Q103" s="18"/>
      <c r="R103" s="18"/>
      <c r="S103" s="18"/>
      <c r="T103" s="18"/>
      <c r="U103" s="61"/>
      <c r="V103" s="132"/>
      <c r="W103" s="48"/>
      <c r="X103" s="48"/>
      <c r="Y103" s="48"/>
      <c r="Z103" s="48"/>
      <c r="AA103" s="48"/>
      <c r="AB103" s="48"/>
      <c r="AC103" s="48"/>
      <c r="AD103" s="48"/>
      <c r="AE103" s="48"/>
      <c r="AF103" s="48"/>
      <c r="AG103" s="48"/>
      <c r="AH103" s="48"/>
      <c r="AI103" s="48"/>
      <c r="AJ103" s="48"/>
      <c r="AK103" s="48"/>
      <c r="AL103" s="48"/>
      <c r="AM103" s="48"/>
    </row>
    <row r="104" ht="10.5" customHeight="1">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row>
    <row r="105" ht="10.5" customHeight="1">
      <c r="A105" s="40" t="s">
        <v>145</v>
      </c>
      <c r="B105" s="4"/>
      <c r="C105" s="44"/>
      <c r="D105" s="44"/>
      <c r="E105" s="90"/>
      <c r="F105" s="90"/>
      <c r="G105" s="90"/>
      <c r="H105" s="90"/>
      <c r="I105" s="90"/>
      <c r="J105" s="90"/>
      <c r="K105" s="90"/>
      <c r="L105" s="90"/>
      <c r="M105" s="90"/>
      <c r="N105" s="90"/>
      <c r="O105" s="90"/>
      <c r="P105" s="90"/>
      <c r="Q105" s="90"/>
      <c r="R105" s="90"/>
      <c r="S105" s="90"/>
      <c r="T105" s="90"/>
      <c r="U105" s="90"/>
      <c r="V105" s="90"/>
      <c r="W105" s="90"/>
      <c r="X105" s="90"/>
      <c r="Y105" s="90"/>
      <c r="Z105" s="90"/>
      <c r="AA105" s="90"/>
      <c r="AB105" s="90"/>
      <c r="AC105" s="90"/>
      <c r="AD105" s="90"/>
      <c r="AE105" s="90"/>
      <c r="AF105" s="90"/>
      <c r="AG105" s="90"/>
      <c r="AH105" s="90"/>
      <c r="AI105" s="90"/>
      <c r="AJ105" s="90"/>
      <c r="AK105" s="90"/>
      <c r="AL105" s="90"/>
      <c r="AM105" s="44"/>
    </row>
    <row r="106" ht="10.5" customHeight="1">
      <c r="A106" s="40"/>
      <c r="B106" s="133"/>
      <c r="C106" s="133"/>
      <c r="D106" s="133"/>
      <c r="E106" s="133"/>
      <c r="F106" s="133"/>
      <c r="G106" s="133"/>
      <c r="H106" s="133"/>
      <c r="I106" s="133"/>
      <c r="J106" s="133"/>
      <c r="K106" s="133"/>
      <c r="L106" s="133"/>
      <c r="M106" s="133"/>
      <c r="N106" s="133"/>
      <c r="O106" s="133"/>
      <c r="P106" s="133"/>
      <c r="Q106" s="133"/>
      <c r="R106" s="133"/>
      <c r="S106" s="133"/>
      <c r="T106" s="133"/>
      <c r="U106" s="133"/>
      <c r="V106" s="4"/>
      <c r="W106" s="4"/>
      <c r="X106" s="4"/>
      <c r="Y106" s="4"/>
      <c r="Z106" s="4"/>
      <c r="AA106" s="4"/>
      <c r="AB106" s="4"/>
      <c r="AC106" s="4"/>
      <c r="AD106" s="4"/>
      <c r="AE106" s="4"/>
      <c r="AF106" s="4"/>
      <c r="AG106" s="4"/>
      <c r="AH106" s="4"/>
      <c r="AI106" s="4"/>
      <c r="AJ106" s="4"/>
      <c r="AK106" s="4"/>
      <c r="AL106" s="4"/>
      <c r="AM106" s="44"/>
    </row>
    <row r="107" ht="10.5" customHeight="1">
      <c r="A107" s="40"/>
      <c r="B107" s="134" t="s">
        <v>146</v>
      </c>
      <c r="C107" s="61"/>
      <c r="D107" s="135" t="s">
        <v>147</v>
      </c>
      <c r="E107" s="18"/>
      <c r="F107" s="18"/>
      <c r="G107" s="18"/>
      <c r="H107" s="18"/>
      <c r="I107" s="18"/>
      <c r="J107" s="18"/>
      <c r="K107" s="18"/>
      <c r="L107" s="18"/>
      <c r="M107" s="18"/>
      <c r="N107" s="18"/>
      <c r="O107" s="18"/>
      <c r="P107" s="18"/>
      <c r="Q107" s="61"/>
      <c r="R107" s="48"/>
      <c r="S107" s="134" t="s">
        <v>148</v>
      </c>
      <c r="T107" s="61"/>
      <c r="U107" s="135" t="s">
        <v>149</v>
      </c>
      <c r="V107" s="18"/>
      <c r="W107" s="18"/>
      <c r="X107" s="18"/>
      <c r="Y107" s="18"/>
      <c r="Z107" s="18"/>
      <c r="AA107" s="18"/>
      <c r="AB107" s="18"/>
      <c r="AC107" s="18"/>
      <c r="AD107" s="61"/>
      <c r="AE107" s="44"/>
      <c r="AF107" s="4"/>
      <c r="AG107" s="4"/>
      <c r="AH107" s="4"/>
      <c r="AI107" s="4"/>
      <c r="AJ107" s="4"/>
      <c r="AK107" s="4"/>
      <c r="AL107" s="4"/>
      <c r="AM107" s="4"/>
    </row>
    <row r="108" ht="10.5" customHeight="1">
      <c r="A108" s="40"/>
      <c r="B108" s="134" t="s">
        <v>150</v>
      </c>
      <c r="C108" s="61"/>
      <c r="D108" s="135" t="s">
        <v>151</v>
      </c>
      <c r="E108" s="18"/>
      <c r="F108" s="18"/>
      <c r="G108" s="18"/>
      <c r="H108" s="18"/>
      <c r="I108" s="18"/>
      <c r="J108" s="18"/>
      <c r="K108" s="18"/>
      <c r="L108" s="18"/>
      <c r="M108" s="18"/>
      <c r="N108" s="18"/>
      <c r="O108" s="18"/>
      <c r="P108" s="18"/>
      <c r="Q108" s="61"/>
      <c r="R108" s="48"/>
      <c r="S108" s="134" t="s">
        <v>152</v>
      </c>
      <c r="T108" s="61"/>
      <c r="U108" s="135" t="s">
        <v>153</v>
      </c>
      <c r="V108" s="18"/>
      <c r="W108" s="18"/>
      <c r="X108" s="18"/>
      <c r="Y108" s="18"/>
      <c r="Z108" s="18"/>
      <c r="AA108" s="18"/>
      <c r="AB108" s="18"/>
      <c r="AC108" s="18"/>
      <c r="AD108" s="61"/>
      <c r="AE108" s="44"/>
      <c r="AF108" s="4"/>
      <c r="AG108" s="4"/>
      <c r="AH108" s="4"/>
      <c r="AI108" s="4"/>
      <c r="AJ108" s="4"/>
      <c r="AK108" s="4"/>
      <c r="AL108" s="4"/>
      <c r="AM108" s="4"/>
    </row>
    <row r="109" ht="10.5" customHeight="1">
      <c r="A109" s="40"/>
      <c r="B109" s="134" t="s">
        <v>154</v>
      </c>
      <c r="C109" s="61"/>
      <c r="D109" s="135" t="s">
        <v>155</v>
      </c>
      <c r="E109" s="18"/>
      <c r="F109" s="18"/>
      <c r="G109" s="18"/>
      <c r="H109" s="18"/>
      <c r="I109" s="18"/>
      <c r="J109" s="18"/>
      <c r="K109" s="18"/>
      <c r="L109" s="18"/>
      <c r="M109" s="18"/>
      <c r="N109" s="18"/>
      <c r="O109" s="18"/>
      <c r="P109" s="18"/>
      <c r="Q109" s="61"/>
      <c r="R109" s="48"/>
      <c r="S109" s="134" t="s">
        <v>156</v>
      </c>
      <c r="T109" s="61"/>
      <c r="U109" s="135" t="s">
        <v>157</v>
      </c>
      <c r="V109" s="18"/>
      <c r="W109" s="18"/>
      <c r="X109" s="18"/>
      <c r="Y109" s="18"/>
      <c r="Z109" s="18"/>
      <c r="AA109" s="18"/>
      <c r="AB109" s="18"/>
      <c r="AC109" s="18"/>
      <c r="AD109" s="61"/>
      <c r="AE109" s="44"/>
      <c r="AF109" s="4"/>
      <c r="AG109" s="4"/>
      <c r="AH109" s="4"/>
      <c r="AI109" s="4"/>
      <c r="AJ109" s="4"/>
      <c r="AK109" s="4"/>
      <c r="AL109" s="4"/>
      <c r="AM109" s="4"/>
    </row>
    <row r="110" ht="10.5" customHeight="1">
      <c r="A110" s="40"/>
      <c r="B110" s="134" t="s">
        <v>158</v>
      </c>
      <c r="C110" s="61"/>
      <c r="D110" s="135" t="s">
        <v>159</v>
      </c>
      <c r="E110" s="18"/>
      <c r="F110" s="18"/>
      <c r="G110" s="18"/>
      <c r="H110" s="18"/>
      <c r="I110" s="18"/>
      <c r="J110" s="18"/>
      <c r="K110" s="18"/>
      <c r="L110" s="18"/>
      <c r="M110" s="18"/>
      <c r="N110" s="18"/>
      <c r="O110" s="18"/>
      <c r="P110" s="18"/>
      <c r="Q110" s="61"/>
      <c r="R110" s="48"/>
      <c r="S110" s="134" t="s">
        <v>160</v>
      </c>
      <c r="T110" s="61"/>
      <c r="U110" s="135" t="s">
        <v>161</v>
      </c>
      <c r="V110" s="18"/>
      <c r="W110" s="18"/>
      <c r="X110" s="18"/>
      <c r="Y110" s="18"/>
      <c r="Z110" s="18"/>
      <c r="AA110" s="18"/>
      <c r="AB110" s="18"/>
      <c r="AC110" s="18"/>
      <c r="AD110" s="61"/>
      <c r="AE110" s="44"/>
      <c r="AF110" s="4"/>
      <c r="AG110" s="4"/>
      <c r="AH110" s="4"/>
      <c r="AI110" s="4"/>
      <c r="AJ110" s="4"/>
      <c r="AK110" s="4"/>
      <c r="AL110" s="4"/>
      <c r="AM110" s="4"/>
    </row>
    <row r="111" ht="10.5" customHeight="1">
      <c r="A111" s="40"/>
      <c r="B111" s="134" t="s">
        <v>162</v>
      </c>
      <c r="C111" s="61"/>
      <c r="D111" s="135" t="s">
        <v>163</v>
      </c>
      <c r="E111" s="18"/>
      <c r="F111" s="18"/>
      <c r="G111" s="18"/>
      <c r="H111" s="18"/>
      <c r="I111" s="18"/>
      <c r="J111" s="18"/>
      <c r="K111" s="18"/>
      <c r="L111" s="18"/>
      <c r="M111" s="18"/>
      <c r="N111" s="18"/>
      <c r="O111" s="18"/>
      <c r="P111" s="18"/>
      <c r="Q111" s="61"/>
      <c r="R111" s="48"/>
      <c r="S111" s="134" t="s">
        <v>164</v>
      </c>
      <c r="T111" s="61"/>
      <c r="U111" s="135" t="s">
        <v>165</v>
      </c>
      <c r="V111" s="18"/>
      <c r="W111" s="18"/>
      <c r="X111" s="18"/>
      <c r="Y111" s="18"/>
      <c r="Z111" s="18"/>
      <c r="AA111" s="18"/>
      <c r="AB111" s="18"/>
      <c r="AC111" s="18"/>
      <c r="AD111" s="61"/>
      <c r="AE111" s="44"/>
      <c r="AF111" s="4"/>
      <c r="AG111" s="4"/>
      <c r="AH111" s="4"/>
      <c r="AI111" s="4"/>
      <c r="AJ111" s="4"/>
      <c r="AK111" s="4"/>
      <c r="AL111" s="4"/>
      <c r="AM111" s="4"/>
    </row>
    <row r="112" ht="10.5" customHeight="1">
      <c r="A112" s="40"/>
      <c r="B112" s="134" t="s">
        <v>166</v>
      </c>
      <c r="C112" s="61"/>
      <c r="D112" s="135" t="s">
        <v>167</v>
      </c>
      <c r="E112" s="18"/>
      <c r="F112" s="18"/>
      <c r="G112" s="18"/>
      <c r="H112" s="18"/>
      <c r="I112" s="18"/>
      <c r="J112" s="18"/>
      <c r="K112" s="18"/>
      <c r="L112" s="18"/>
      <c r="M112" s="18"/>
      <c r="N112" s="18"/>
      <c r="O112" s="18"/>
      <c r="P112" s="18"/>
      <c r="Q112" s="61"/>
      <c r="R112" s="48"/>
      <c r="S112" s="134" t="s">
        <v>168</v>
      </c>
      <c r="T112" s="61"/>
      <c r="U112" s="135" t="s">
        <v>169</v>
      </c>
      <c r="V112" s="18"/>
      <c r="W112" s="18"/>
      <c r="X112" s="18"/>
      <c r="Y112" s="18"/>
      <c r="Z112" s="18"/>
      <c r="AA112" s="18"/>
      <c r="AB112" s="18"/>
      <c r="AC112" s="18"/>
      <c r="AD112" s="61"/>
      <c r="AE112" s="44"/>
      <c r="AF112" s="4"/>
      <c r="AG112" s="4"/>
      <c r="AH112" s="4"/>
      <c r="AI112" s="4"/>
      <c r="AJ112" s="4"/>
      <c r="AK112" s="4"/>
      <c r="AL112" s="4"/>
      <c r="AM112" s="4"/>
    </row>
    <row r="113" ht="10.5" customHeight="1">
      <c r="A113" s="40"/>
      <c r="B113" s="134" t="s">
        <v>170</v>
      </c>
      <c r="C113" s="61"/>
      <c r="D113" s="135" t="s">
        <v>63</v>
      </c>
      <c r="E113" s="18"/>
      <c r="F113" s="18"/>
      <c r="G113" s="18"/>
      <c r="H113" s="18"/>
      <c r="I113" s="18"/>
      <c r="J113" s="18"/>
      <c r="K113" s="18"/>
      <c r="L113" s="18"/>
      <c r="M113" s="18"/>
      <c r="N113" s="18"/>
      <c r="O113" s="18"/>
      <c r="P113" s="18"/>
      <c r="Q113" s="61"/>
      <c r="R113" s="48"/>
      <c r="S113" s="134" t="s">
        <v>51</v>
      </c>
      <c r="T113" s="61"/>
      <c r="U113" s="135" t="s">
        <v>171</v>
      </c>
      <c r="V113" s="18"/>
      <c r="W113" s="18"/>
      <c r="X113" s="18"/>
      <c r="Y113" s="18"/>
      <c r="Z113" s="18"/>
      <c r="AA113" s="18"/>
      <c r="AB113" s="18"/>
      <c r="AC113" s="18"/>
      <c r="AD113" s="61"/>
      <c r="AE113" s="44"/>
      <c r="AF113" s="4"/>
      <c r="AG113" s="4"/>
      <c r="AH113" s="4"/>
      <c r="AI113" s="4"/>
      <c r="AJ113" s="4"/>
      <c r="AK113" s="4"/>
      <c r="AL113" s="4"/>
      <c r="AM113" s="4"/>
    </row>
    <row r="114" ht="11.25" customHeight="1">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c r="AM114" s="39"/>
    </row>
    <row r="115" ht="11.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row>
    <row r="116" ht="11.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row>
    <row r="117" ht="11.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row>
    <row r="118" ht="11.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row>
    <row r="119" ht="11.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row>
    <row r="120" ht="11.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row>
    <row r="121" ht="11.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row>
    <row r="122" ht="11.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row>
    <row r="123" ht="11.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row>
    <row r="124" ht="11.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row>
    <row r="125" ht="11.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row>
    <row r="126" ht="11.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row>
    <row r="127" ht="11.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row>
    <row r="128" ht="11.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row>
    <row r="129" ht="11.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row>
    <row r="130" ht="11.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row>
    <row r="131" ht="11.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row>
    <row r="132" ht="11.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row>
    <row r="133" ht="11.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row>
    <row r="134" ht="11.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row>
    <row r="135" ht="11.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row>
    <row r="136" ht="11.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row>
    <row r="137" ht="11.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row>
    <row r="138" ht="11.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row>
    <row r="139" ht="11.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row>
    <row r="140" ht="11.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row>
    <row r="141" ht="11.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row>
    <row r="142" ht="11.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row>
    <row r="143" ht="11.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row>
    <row r="144" ht="11.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row>
    <row r="145" ht="11.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row>
    <row r="146" ht="11.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row>
    <row r="147" ht="11.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row>
    <row r="148" ht="11.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row>
    <row r="149" ht="11.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row>
    <row r="150" ht="11.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row>
    <row r="151" ht="11.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row>
    <row r="152" ht="11.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row>
    <row r="153" ht="11.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row>
    <row r="154" ht="11.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row>
    <row r="155" ht="11.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row>
    <row r="156" ht="11.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row>
    <row r="157" ht="11.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row>
    <row r="158" ht="11.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row>
    <row r="159" ht="11.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row>
    <row r="160" ht="11.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row>
    <row r="161" ht="11.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row>
    <row r="162" ht="11.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row>
    <row r="163" ht="11.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row>
    <row r="164" ht="11.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row>
    <row r="165" ht="11.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row>
    <row r="166" ht="11.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row>
    <row r="167" ht="11.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row>
    <row r="168" ht="11.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row>
    <row r="169" ht="11.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row>
    <row r="170" ht="11.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row>
    <row r="171" ht="11.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row>
    <row r="172" ht="11.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row>
    <row r="173" ht="11.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row>
    <row r="174" ht="11.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row>
    <row r="175" ht="11.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row>
    <row r="176" ht="11.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row>
    <row r="177" ht="11.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row>
    <row r="178" ht="11.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row>
    <row r="179" ht="11.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row>
    <row r="180" ht="11.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row>
    <row r="181" ht="11.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row>
    <row r="182" ht="11.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row>
    <row r="183" ht="11.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row>
    <row r="184" ht="11.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row>
    <row r="185" ht="11.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row>
    <row r="186" ht="11.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row>
    <row r="187" ht="11.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row>
    <row r="188" ht="11.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row>
    <row r="189" ht="11.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row>
    <row r="190" ht="11.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row>
    <row r="191" ht="11.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row>
    <row r="192" ht="11.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row>
    <row r="193" ht="11.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row>
    <row r="194" ht="11.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row>
    <row r="195" ht="11.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row>
    <row r="196" ht="11.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row>
    <row r="197" ht="11.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row>
    <row r="198" ht="11.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row>
    <row r="199" ht="11.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row>
    <row r="200" ht="11.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row>
    <row r="201" ht="11.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row>
    <row r="202" ht="11.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row>
    <row r="203" ht="11.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row>
    <row r="204" ht="11.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row>
    <row r="205" ht="11.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row>
    <row r="206" ht="11.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row>
    <row r="207" ht="11.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row>
    <row r="208" ht="11.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row>
    <row r="209" ht="11.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row>
    <row r="210" ht="11.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row>
    <row r="211" ht="11.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row>
    <row r="212" ht="11.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row>
    <row r="213" ht="11.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row>
    <row r="214" ht="11.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row>
    <row r="215" ht="11.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row>
    <row r="216" ht="11.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row>
    <row r="217" ht="11.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row>
    <row r="218" ht="11.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row>
    <row r="219" ht="11.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row>
    <row r="220" ht="11.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row>
    <row r="221" ht="11.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row>
    <row r="222" ht="11.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row>
    <row r="223" ht="11.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row>
    <row r="224" ht="11.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row>
    <row r="225" ht="11.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row>
    <row r="226" ht="11.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row>
    <row r="227" ht="11.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row>
    <row r="228" ht="11.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row>
    <row r="229" ht="11.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row>
    <row r="230" ht="11.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row>
    <row r="231" ht="11.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row>
    <row r="232" ht="11.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row>
    <row r="233" ht="11.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row>
    <row r="234" ht="11.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row>
    <row r="235" ht="11.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row>
    <row r="236" ht="11.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row>
    <row r="237" ht="11.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row>
    <row r="238" ht="11.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row>
    <row r="239" ht="11.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row>
    <row r="240" ht="11.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row>
    <row r="241" ht="11.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row>
    <row r="242" ht="11.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row>
    <row r="243" ht="11.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row>
    <row r="244" ht="11.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row>
    <row r="245" ht="11.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row>
    <row r="246" ht="11.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row>
    <row r="247" ht="11.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row>
    <row r="248" ht="11.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row>
    <row r="249" ht="11.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row>
    <row r="250" ht="11.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row>
    <row r="251" ht="11.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row>
    <row r="252" ht="11.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row>
    <row r="253" ht="11.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row>
    <row r="254" ht="11.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row>
    <row r="255" ht="11.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row>
    <row r="256" ht="11.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row>
    <row r="257" ht="11.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row>
    <row r="258" ht="11.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row>
    <row r="259" ht="11.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row>
    <row r="260" ht="11.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row>
    <row r="261" ht="11.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row>
    <row r="262" ht="11.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row>
    <row r="263" ht="11.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row>
    <row r="264" ht="11.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row>
    <row r="265" ht="11.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row>
    <row r="266" ht="11.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row>
    <row r="267" ht="11.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row>
    <row r="268" ht="11.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row>
    <row r="269" ht="11.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row>
    <row r="270" ht="11.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row>
    <row r="271" ht="11.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row>
    <row r="272" ht="11.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row>
    <row r="273" ht="11.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row>
    <row r="274" ht="11.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row>
    <row r="275" ht="11.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row>
    <row r="276" ht="11.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row>
    <row r="277" ht="11.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row>
    <row r="278" ht="11.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row>
    <row r="279" ht="11.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row>
    <row r="280" ht="11.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row>
    <row r="281" ht="11.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row>
    <row r="282" ht="11.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row>
    <row r="283" ht="11.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row>
    <row r="284" ht="11.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row>
    <row r="285" ht="11.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row>
    <row r="286" ht="11.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row>
    <row r="287" ht="11.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row>
    <row r="288" ht="11.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row>
    <row r="289" ht="11.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row>
    <row r="290" ht="11.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row>
    <row r="291" ht="11.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row>
    <row r="292" ht="11.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row>
    <row r="293" ht="11.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row>
    <row r="294" ht="11.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row>
    <row r="295" ht="11.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row>
    <row r="296" ht="11.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row>
    <row r="297" ht="11.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row>
    <row r="298" ht="11.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row>
    <row r="299" ht="11.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row>
    <row r="300" ht="11.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row>
    <row r="301" ht="11.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row>
    <row r="302" ht="11.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row>
    <row r="303" ht="11.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row>
    <row r="304" ht="11.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row>
    <row r="305" ht="11.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row>
    <row r="306" ht="11.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row>
    <row r="307" ht="11.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row>
    <row r="308" ht="11.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row>
    <row r="309" ht="11.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row>
    <row r="310" ht="11.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row>
    <row r="311" ht="11.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row>
    <row r="312" ht="11.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row>
    <row r="313" ht="11.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row>
    <row r="314" ht="11.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row>
    <row r="315" ht="11.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row>
    <row r="316" ht="11.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row>
    <row r="317" ht="11.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row>
    <row r="318" ht="11.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row>
    <row r="319" ht="11.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row>
    <row r="320" ht="11.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row>
    <row r="321" ht="11.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row>
    <row r="322" ht="11.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row>
    <row r="323" ht="11.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row>
    <row r="324" ht="11.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row>
    <row r="325" ht="11.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row>
    <row r="326" ht="11.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row>
    <row r="327" ht="11.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row>
    <row r="328" ht="11.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row>
    <row r="329" ht="11.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row>
    <row r="330" ht="11.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row>
    <row r="331" ht="11.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row>
    <row r="332" ht="11.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row>
    <row r="333" ht="11.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row>
    <row r="334" ht="11.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row>
    <row r="335" ht="11.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row>
    <row r="336" ht="11.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row>
    <row r="337" ht="11.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row>
    <row r="338" ht="11.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row>
    <row r="339" ht="11.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row>
    <row r="340" ht="11.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row>
    <row r="341" ht="11.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row>
    <row r="342" ht="11.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row>
    <row r="343" ht="11.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row>
    <row r="344" ht="11.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row>
    <row r="345" ht="11.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row>
    <row r="346" ht="11.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row>
    <row r="347" ht="11.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row>
    <row r="348" ht="11.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row>
    <row r="349" ht="11.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row>
    <row r="350" ht="11.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row>
    <row r="351" ht="11.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row>
    <row r="352" ht="11.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row>
    <row r="353" ht="11.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row>
    <row r="354" ht="11.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row>
    <row r="355" ht="11.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row>
    <row r="356" ht="11.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row>
    <row r="357" ht="11.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row>
    <row r="358" ht="11.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row>
    <row r="359" ht="11.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row>
    <row r="360" ht="11.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row>
    <row r="361" ht="11.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row>
    <row r="362" ht="11.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row>
    <row r="363" ht="11.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row>
    <row r="364" ht="11.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row>
    <row r="365" ht="11.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row>
    <row r="366" ht="11.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row>
    <row r="367" ht="11.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row>
    <row r="368" ht="11.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row>
    <row r="369" ht="11.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row>
    <row r="370" ht="11.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row>
    <row r="371" ht="11.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row>
    <row r="372" ht="11.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row>
    <row r="373" ht="11.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row>
    <row r="374" ht="11.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row>
    <row r="375" ht="11.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row>
    <row r="376" ht="11.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row>
    <row r="377" ht="11.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row>
    <row r="378" ht="11.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row>
    <row r="379" ht="11.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row>
    <row r="380" ht="11.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row>
    <row r="381" ht="11.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row>
    <row r="382" ht="11.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row>
    <row r="383" ht="11.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row>
    <row r="384" ht="11.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row>
    <row r="385" ht="11.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row>
    <row r="386" ht="11.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row>
    <row r="387" ht="11.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row>
    <row r="388" ht="11.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row>
    <row r="389" ht="11.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row>
    <row r="390" ht="11.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row>
    <row r="391" ht="11.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row>
    <row r="392" ht="11.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row>
    <row r="393" ht="11.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row>
    <row r="394" ht="11.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row>
    <row r="395" ht="11.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row>
    <row r="396" ht="11.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row>
    <row r="397" ht="11.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row>
    <row r="398" ht="11.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row>
    <row r="399" ht="11.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row>
    <row r="400" ht="11.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row>
    <row r="401" ht="11.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row>
    <row r="402" ht="11.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row>
    <row r="403" ht="11.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row>
    <row r="404" ht="11.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row>
    <row r="405" ht="11.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row>
    <row r="406" ht="11.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row>
    <row r="407" ht="11.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row>
    <row r="408" ht="11.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row>
    <row r="409" ht="11.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row>
    <row r="410" ht="11.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row>
    <row r="411" ht="11.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row>
    <row r="412" ht="11.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row>
    <row r="413" ht="11.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row>
    <row r="414" ht="11.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row>
    <row r="415" ht="11.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row>
    <row r="416" ht="11.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row>
    <row r="417" ht="11.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row>
    <row r="418" ht="11.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row>
    <row r="419" ht="11.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row>
    <row r="420" ht="11.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row>
    <row r="421" ht="11.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row>
    <row r="422" ht="11.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row>
    <row r="423" ht="11.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row>
    <row r="424" ht="11.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row>
    <row r="425" ht="11.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row>
    <row r="426" ht="11.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row>
    <row r="427" ht="11.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row>
    <row r="428" ht="11.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row>
    <row r="429" ht="11.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row>
    <row r="430" ht="11.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row>
    <row r="431" ht="11.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row>
    <row r="432" ht="11.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row>
    <row r="433" ht="11.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row>
    <row r="434" ht="11.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row>
    <row r="435" ht="11.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row>
    <row r="436" ht="11.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row>
    <row r="437" ht="11.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row>
    <row r="438" ht="11.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row>
    <row r="439" ht="11.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row>
    <row r="440" ht="11.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row>
    <row r="441" ht="11.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row>
    <row r="442" ht="11.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row>
    <row r="443" ht="11.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row>
    <row r="444" ht="11.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row>
    <row r="445" ht="11.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row>
    <row r="446" ht="11.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row>
    <row r="447" ht="11.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row>
    <row r="448" ht="11.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row>
    <row r="449" ht="11.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row>
    <row r="450" ht="11.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row>
    <row r="451" ht="11.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row>
    <row r="452" ht="11.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row>
    <row r="453" ht="11.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row>
    <row r="454" ht="11.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row>
    <row r="455" ht="11.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row>
    <row r="456" ht="11.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row>
    <row r="457" ht="11.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row>
    <row r="458" ht="11.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row>
    <row r="459" ht="11.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row>
    <row r="460" ht="11.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row>
    <row r="461" ht="11.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row>
    <row r="462" ht="11.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row>
    <row r="463" ht="11.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row>
    <row r="464" ht="11.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row>
    <row r="465" ht="11.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row>
    <row r="466" ht="11.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row>
    <row r="467" ht="11.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row>
    <row r="468" ht="11.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row>
    <row r="469" ht="11.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row>
    <row r="470" ht="11.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row>
    <row r="471" ht="11.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row>
    <row r="472" ht="11.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row>
    <row r="473" ht="11.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row>
    <row r="474" ht="11.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row>
    <row r="475" ht="11.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row>
    <row r="476" ht="11.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row>
    <row r="477" ht="11.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row>
    <row r="478" ht="11.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row>
    <row r="479" ht="11.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row>
    <row r="480" ht="11.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row>
    <row r="481" ht="11.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row>
    <row r="482" ht="11.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row>
    <row r="483" ht="11.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row>
    <row r="484" ht="11.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row>
    <row r="485" ht="11.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row>
    <row r="486" ht="11.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row>
    <row r="487" ht="11.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row>
    <row r="488" ht="11.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row>
    <row r="489" ht="11.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row>
    <row r="490" ht="11.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row>
    <row r="491" ht="11.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row>
    <row r="492" ht="11.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row>
    <row r="493" ht="11.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row>
    <row r="494" ht="11.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row>
    <row r="495" ht="11.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row>
    <row r="496" ht="11.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row>
    <row r="497" ht="11.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row>
    <row r="498" ht="11.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row>
    <row r="499" ht="11.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row>
    <row r="500" ht="11.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row>
    <row r="501" ht="11.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row>
    <row r="502" ht="11.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row>
    <row r="503" ht="11.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row>
    <row r="504" ht="11.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row>
    <row r="505" ht="11.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row>
    <row r="506" ht="11.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row>
    <row r="507" ht="11.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row>
    <row r="508" ht="11.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row>
    <row r="509" ht="11.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row>
    <row r="510" ht="11.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row>
    <row r="511" ht="11.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row>
    <row r="512" ht="11.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row>
    <row r="513" ht="11.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row>
    <row r="514" ht="11.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row>
    <row r="515" ht="11.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row>
    <row r="516" ht="11.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row>
    <row r="517" ht="11.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row>
    <row r="518" ht="11.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row>
    <row r="519" ht="11.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row>
    <row r="520" ht="11.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row>
    <row r="521" ht="11.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row>
    <row r="522" ht="11.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row>
    <row r="523" ht="11.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row>
    <row r="524" ht="11.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row>
    <row r="525" ht="11.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row>
    <row r="526" ht="11.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row>
    <row r="527" ht="11.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row>
    <row r="528" ht="11.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row>
    <row r="529" ht="11.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row>
    <row r="530" ht="11.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row>
    <row r="531" ht="11.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row>
    <row r="532" ht="11.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row>
    <row r="533" ht="11.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row>
    <row r="534" ht="11.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row>
    <row r="535" ht="11.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row>
    <row r="536" ht="11.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row>
    <row r="537" ht="11.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row>
    <row r="538" ht="11.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row>
    <row r="539" ht="11.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row>
    <row r="540" ht="11.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row>
    <row r="541" ht="11.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row>
    <row r="542" ht="11.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row>
    <row r="543" ht="11.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row>
    <row r="544" ht="11.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row>
    <row r="545" ht="11.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row>
    <row r="546" ht="11.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row>
    <row r="547" ht="11.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row>
    <row r="548" ht="11.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row>
    <row r="549" ht="11.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row>
    <row r="550" ht="11.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row>
    <row r="551" ht="11.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row>
    <row r="552" ht="11.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row>
    <row r="553" ht="11.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row>
    <row r="554" ht="11.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row>
    <row r="555" ht="11.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row>
    <row r="556" ht="11.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row>
    <row r="557" ht="11.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row>
    <row r="558" ht="11.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row>
    <row r="559" ht="11.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row>
    <row r="560" ht="11.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row>
    <row r="561" ht="11.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row>
    <row r="562" ht="11.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row>
    <row r="563" ht="11.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row>
    <row r="564" ht="11.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row>
    <row r="565" ht="11.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row>
    <row r="566" ht="11.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row>
    <row r="567" ht="11.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row>
    <row r="568" ht="11.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row>
    <row r="569" ht="11.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row>
    <row r="570" ht="11.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row>
    <row r="571" ht="11.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row>
    <row r="572" ht="11.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row>
    <row r="573" ht="11.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row>
    <row r="574" ht="11.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row>
    <row r="575" ht="11.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row>
    <row r="576" ht="11.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row>
    <row r="577" ht="11.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row>
    <row r="578" ht="11.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row>
    <row r="579" ht="11.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row>
    <row r="580" ht="11.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row>
    <row r="581" ht="11.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row>
    <row r="582" ht="11.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row>
    <row r="583" ht="11.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row>
    <row r="584" ht="11.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row>
    <row r="585" ht="11.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row>
    <row r="586" ht="11.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row>
    <row r="587" ht="11.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row>
    <row r="588" ht="11.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row>
    <row r="589" ht="11.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row>
    <row r="590" ht="11.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row>
    <row r="591" ht="11.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row>
    <row r="592" ht="11.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row>
    <row r="593" ht="11.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row>
    <row r="594" ht="11.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row>
    <row r="595" ht="11.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row>
    <row r="596" ht="11.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row>
    <row r="597" ht="11.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row>
    <row r="598" ht="11.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row>
    <row r="599" ht="11.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row>
    <row r="600" ht="11.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row>
    <row r="601" ht="11.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row>
    <row r="602" ht="11.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row>
    <row r="603" ht="11.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row>
    <row r="604" ht="11.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row>
    <row r="605" ht="11.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row>
    <row r="606" ht="11.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row>
    <row r="607" ht="11.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row>
    <row r="608" ht="11.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row>
    <row r="609" ht="11.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row>
    <row r="610" ht="11.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row>
    <row r="611" ht="11.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row>
    <row r="612" ht="11.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row>
    <row r="613" ht="11.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row>
    <row r="614" ht="11.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row>
    <row r="615" ht="11.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row>
    <row r="616" ht="11.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row>
    <row r="617" ht="11.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row>
    <row r="618" ht="11.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row>
    <row r="619" ht="11.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row>
    <row r="620" ht="11.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row>
    <row r="621" ht="11.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row>
    <row r="622" ht="11.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row>
    <row r="623" ht="11.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row>
    <row r="624" ht="11.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row>
    <row r="625" ht="11.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row>
    <row r="626" ht="11.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row>
    <row r="627" ht="11.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row>
    <row r="628" ht="11.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row>
    <row r="629" ht="11.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row>
    <row r="630" ht="11.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row>
    <row r="631" ht="11.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row>
    <row r="632" ht="11.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row>
    <row r="633" ht="11.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row>
    <row r="634" ht="11.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row>
    <row r="635" ht="11.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row>
    <row r="636" ht="11.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row>
    <row r="637" ht="11.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row>
    <row r="638" ht="11.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row>
    <row r="639" ht="11.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row>
    <row r="640" ht="11.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row>
    <row r="641" ht="11.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row>
    <row r="642" ht="11.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row>
    <row r="643" ht="11.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row>
    <row r="644" ht="11.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row>
    <row r="645" ht="11.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row>
    <row r="646" ht="11.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row>
    <row r="647" ht="11.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row>
    <row r="648" ht="11.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row>
    <row r="649" ht="11.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row>
    <row r="650" ht="11.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row>
    <row r="651" ht="11.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row>
    <row r="652" ht="11.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row>
    <row r="653" ht="11.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row>
    <row r="654" ht="11.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row>
    <row r="655" ht="11.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row>
    <row r="656" ht="11.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row>
    <row r="657" ht="11.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row>
    <row r="658" ht="11.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row>
    <row r="659" ht="11.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row>
    <row r="660" ht="11.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row>
    <row r="661" ht="11.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row>
    <row r="662" ht="11.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row>
    <row r="663" ht="11.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row>
    <row r="664" ht="11.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row>
    <row r="665" ht="11.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row>
    <row r="666" ht="11.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row>
    <row r="667" ht="11.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row>
    <row r="668" ht="11.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row>
    <row r="669" ht="11.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row>
    <row r="670" ht="11.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row>
    <row r="671" ht="11.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row>
    <row r="672" ht="11.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row>
    <row r="673" ht="11.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row>
    <row r="674" ht="11.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row>
    <row r="675" ht="11.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row>
    <row r="676" ht="11.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row>
    <row r="677" ht="11.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row>
    <row r="678" ht="11.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row>
    <row r="679" ht="11.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row>
    <row r="680" ht="11.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row>
    <row r="681" ht="11.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row>
    <row r="682" ht="11.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row>
    <row r="683" ht="11.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row>
    <row r="684" ht="11.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row>
    <row r="685" ht="11.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row>
    <row r="686" ht="11.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row>
    <row r="687" ht="11.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row>
    <row r="688" ht="11.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row>
    <row r="689" ht="11.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row>
    <row r="690" ht="11.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row>
    <row r="691" ht="11.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row>
    <row r="692" ht="11.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row>
    <row r="693" ht="11.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row>
    <row r="694" ht="11.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row>
    <row r="695" ht="11.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row>
    <row r="696" ht="11.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row>
    <row r="697" ht="11.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row>
    <row r="698" ht="11.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row>
    <row r="699" ht="11.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row>
    <row r="700" ht="11.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row>
    <row r="701" ht="11.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row>
    <row r="702" ht="11.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row>
    <row r="703" ht="11.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row>
    <row r="704" ht="11.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row>
    <row r="705" ht="11.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row>
    <row r="706" ht="11.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row>
    <row r="707" ht="11.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row>
    <row r="708" ht="11.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row>
    <row r="709" ht="11.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row>
    <row r="710" ht="11.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row>
    <row r="711" ht="11.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row>
    <row r="712" ht="11.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row>
    <row r="713" ht="11.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row>
    <row r="714" ht="11.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row>
    <row r="715" ht="11.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row>
    <row r="716" ht="11.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row>
    <row r="717" ht="11.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row>
    <row r="718" ht="11.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row>
    <row r="719" ht="11.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row>
    <row r="720" ht="11.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row>
    <row r="721" ht="11.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row>
    <row r="722" ht="11.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row>
    <row r="723" ht="11.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row>
    <row r="724" ht="11.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row>
    <row r="725" ht="11.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row>
    <row r="726" ht="11.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row>
    <row r="727" ht="11.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row>
    <row r="728" ht="11.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row>
    <row r="729" ht="11.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row>
    <row r="730" ht="11.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row>
    <row r="731" ht="11.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row>
    <row r="732" ht="11.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row>
    <row r="733" ht="11.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row>
    <row r="734" ht="11.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row>
    <row r="735" ht="11.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row>
    <row r="736" ht="11.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row>
    <row r="737" ht="11.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row>
    <row r="738" ht="11.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row>
    <row r="739" ht="11.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row>
    <row r="740" ht="11.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row>
    <row r="741" ht="11.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row>
    <row r="742" ht="11.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row>
    <row r="743" ht="11.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row>
    <row r="744" ht="11.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row>
    <row r="745" ht="11.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row>
    <row r="746" ht="11.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row>
    <row r="747" ht="11.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row>
    <row r="748" ht="11.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row>
    <row r="749" ht="11.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row>
    <row r="750" ht="11.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row>
    <row r="751" ht="11.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row>
    <row r="752" ht="11.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row>
    <row r="753" ht="11.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row>
    <row r="754" ht="11.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row>
    <row r="755" ht="11.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row>
    <row r="756" ht="11.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row>
    <row r="757" ht="11.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row>
    <row r="758" ht="11.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row>
    <row r="759" ht="11.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row>
    <row r="760" ht="11.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row>
    <row r="761" ht="11.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row>
    <row r="762" ht="11.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row>
    <row r="763" ht="11.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row>
    <row r="764" ht="11.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row>
    <row r="765" ht="11.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row>
    <row r="766" ht="11.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row>
    <row r="767" ht="11.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row>
    <row r="768" ht="11.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row>
    <row r="769" ht="11.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row>
    <row r="770" ht="11.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row>
    <row r="771" ht="11.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row>
    <row r="772" ht="11.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row>
    <row r="773" ht="11.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row>
    <row r="774" ht="11.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row>
    <row r="775" ht="11.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row>
    <row r="776" ht="11.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row>
    <row r="777" ht="11.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row>
    <row r="778" ht="11.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row>
    <row r="779" ht="11.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row>
    <row r="780" ht="11.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row>
    <row r="781" ht="11.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row>
    <row r="782" ht="11.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row>
    <row r="783" ht="11.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row>
    <row r="784" ht="11.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row>
    <row r="785" ht="11.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row>
    <row r="786" ht="11.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row>
    <row r="787" ht="11.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row>
    <row r="788" ht="11.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row>
    <row r="789" ht="11.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row>
    <row r="790" ht="11.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row>
    <row r="791" ht="11.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row>
    <row r="792" ht="11.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row>
    <row r="793" ht="11.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row>
    <row r="794" ht="11.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row>
    <row r="795" ht="11.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row>
    <row r="796" ht="11.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row>
    <row r="797" ht="11.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row>
    <row r="798" ht="11.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row>
    <row r="799" ht="11.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row>
    <row r="800" ht="11.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row>
    <row r="801" ht="11.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row>
    <row r="802" ht="11.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row>
    <row r="803" ht="11.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row>
    <row r="804" ht="11.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row>
    <row r="805" ht="11.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row>
    <row r="806" ht="11.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row>
    <row r="807" ht="11.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row>
    <row r="808" ht="11.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row>
    <row r="809" ht="11.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row>
    <row r="810" ht="11.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row>
    <row r="811" ht="11.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row>
    <row r="812" ht="11.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row>
    <row r="813" ht="11.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row>
    <row r="814" ht="11.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row>
    <row r="815" ht="11.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row>
    <row r="816" ht="11.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row>
    <row r="817" ht="11.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row>
    <row r="818" ht="11.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row>
    <row r="819" ht="11.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row>
    <row r="820" ht="11.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row>
    <row r="821" ht="11.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row>
    <row r="822" ht="11.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row>
    <row r="823" ht="11.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row>
    <row r="824" ht="11.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row>
    <row r="825" ht="11.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row>
    <row r="826" ht="11.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row>
    <row r="827" ht="11.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row>
    <row r="828" ht="11.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row>
    <row r="829" ht="11.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row>
    <row r="830" ht="11.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row>
    <row r="831" ht="11.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row>
    <row r="832" ht="11.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row>
    <row r="833" ht="11.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row>
    <row r="834" ht="11.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row>
    <row r="835" ht="11.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row>
    <row r="836" ht="11.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row>
    <row r="837" ht="11.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row>
    <row r="838" ht="11.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row>
    <row r="839" ht="11.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row>
    <row r="840" ht="11.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row>
    <row r="841" ht="11.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row>
    <row r="842" ht="11.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row>
    <row r="843" ht="11.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row>
    <row r="844" ht="11.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row>
    <row r="845" ht="11.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row>
    <row r="846" ht="11.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row>
    <row r="847" ht="11.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row>
    <row r="848" ht="11.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row>
    <row r="849" ht="11.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row>
    <row r="850" ht="11.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row>
    <row r="851" ht="11.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row>
    <row r="852" ht="11.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row>
    <row r="853" ht="11.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row>
    <row r="854" ht="11.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row>
    <row r="855" ht="11.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row>
    <row r="856" ht="11.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row>
    <row r="857" ht="11.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row>
    <row r="858" ht="11.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row>
    <row r="859" ht="11.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row>
    <row r="860" ht="11.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row>
    <row r="861" ht="11.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row>
    <row r="862" ht="11.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row>
    <row r="863" ht="11.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row>
    <row r="864" ht="11.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row>
    <row r="865" ht="11.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row>
    <row r="866" ht="11.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row>
    <row r="867" ht="11.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row>
    <row r="868" ht="11.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row>
    <row r="869" ht="11.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row>
    <row r="870" ht="11.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row>
    <row r="871" ht="11.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row>
    <row r="872" ht="11.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row>
    <row r="873" ht="11.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row>
    <row r="874" ht="11.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row>
    <row r="875" ht="11.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row>
    <row r="876" ht="11.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row>
    <row r="877" ht="11.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row>
    <row r="878" ht="11.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row>
    <row r="879" ht="11.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row>
    <row r="880" ht="11.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row>
    <row r="881" ht="11.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row>
    <row r="882" ht="11.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row>
    <row r="883" ht="11.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row>
    <row r="884" ht="11.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row>
    <row r="885" ht="11.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row>
    <row r="886" ht="11.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row>
    <row r="887" ht="11.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row>
    <row r="888" ht="11.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row>
    <row r="889" ht="11.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row>
    <row r="890" ht="11.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row>
    <row r="891" ht="11.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row>
    <row r="892" ht="11.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row>
    <row r="893" ht="11.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row>
    <row r="894" ht="11.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row>
    <row r="895" ht="11.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row>
    <row r="896" ht="11.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row>
    <row r="897" ht="11.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row>
    <row r="898" ht="11.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row>
    <row r="899" ht="11.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row>
    <row r="900" ht="11.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row>
    <row r="901" ht="11.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row>
    <row r="902" ht="11.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row>
    <row r="903" ht="11.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row>
    <row r="904" ht="11.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row>
    <row r="905" ht="11.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row>
    <row r="906" ht="11.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row>
    <row r="907" ht="11.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row>
    <row r="908" ht="11.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row>
    <row r="909" ht="11.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row>
    <row r="910" ht="11.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row>
    <row r="911" ht="11.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row>
    <row r="912" ht="11.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row>
    <row r="913" ht="11.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row>
    <row r="914" ht="11.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row>
    <row r="915" ht="11.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row>
    <row r="916" ht="11.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row>
    <row r="917" ht="11.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row>
    <row r="918" ht="11.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row>
    <row r="919" ht="11.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row>
    <row r="920" ht="11.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row>
    <row r="921" ht="11.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row>
    <row r="922" ht="11.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row>
    <row r="923" ht="11.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row>
    <row r="924" ht="11.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row>
    <row r="925" ht="11.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row>
    <row r="926" ht="11.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row>
    <row r="927" ht="11.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row>
    <row r="928" ht="11.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row>
    <row r="929" ht="11.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row>
    <row r="930" ht="11.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row>
    <row r="931" ht="11.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row>
    <row r="932" ht="11.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row>
    <row r="933" ht="11.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row>
    <row r="934" ht="11.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row>
    <row r="935" ht="11.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row>
    <row r="936" ht="11.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row>
    <row r="937" ht="11.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row>
    <row r="938" ht="11.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row>
    <row r="939" ht="11.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row>
    <row r="940" ht="11.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row>
    <row r="941" ht="11.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row>
    <row r="942" ht="11.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row>
    <row r="943" ht="11.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row>
    <row r="944" ht="11.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row>
    <row r="945" ht="11.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row>
    <row r="946" ht="11.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row>
    <row r="947" ht="11.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row>
    <row r="948" ht="11.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row>
    <row r="949" ht="11.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row>
    <row r="950" ht="11.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row>
    <row r="951" ht="11.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row>
    <row r="952" ht="11.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row>
    <row r="953" ht="11.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row>
    <row r="954" ht="11.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row>
    <row r="955" ht="11.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row>
    <row r="956" ht="11.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row>
    <row r="957" ht="11.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row>
    <row r="958" ht="11.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row>
    <row r="959" ht="11.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row>
    <row r="960" ht="11.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row>
    <row r="961" ht="11.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row>
    <row r="962" ht="11.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row>
    <row r="963" ht="11.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row>
    <row r="964" ht="11.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row>
    <row r="965" ht="11.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row>
    <row r="966" ht="11.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row>
    <row r="967" ht="11.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row>
    <row r="968" ht="11.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row>
    <row r="969" ht="11.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row>
    <row r="970" ht="11.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row>
    <row r="971" ht="11.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row>
    <row r="972" ht="11.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row>
    <row r="973" ht="11.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row>
    <row r="974" ht="11.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row>
    <row r="975" ht="11.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row>
    <row r="976" ht="11.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row>
    <row r="977" ht="11.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row>
    <row r="978" ht="11.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row>
    <row r="979" ht="11.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row>
    <row r="980" ht="11.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row>
    <row r="981" ht="11.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row>
    <row r="982" ht="11.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row>
    <row r="983" ht="11.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row>
    <row r="984" ht="11.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row>
    <row r="985" ht="11.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row>
    <row r="986" ht="11.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row>
    <row r="987" ht="11.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row>
    <row r="988" ht="11.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row>
    <row r="989" ht="11.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row>
    <row r="990" ht="11.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row>
    <row r="991" ht="11.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row>
    <row r="992" ht="11.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row>
    <row r="993" ht="11.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row>
    <row r="994" ht="11.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row>
    <row r="995" ht="11.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row>
    <row r="996" ht="11.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row>
    <row r="997" ht="11.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row>
    <row r="998" ht="11.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row>
    <row r="999" ht="11.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row>
    <row r="1000" ht="11.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row>
  </sheetData>
  <mergeCells count="418">
    <mergeCell ref="Z2:AD2"/>
    <mergeCell ref="Z3:AD3"/>
    <mergeCell ref="Z5:AD5"/>
    <mergeCell ref="AE5:AL5"/>
    <mergeCell ref="Z6:AD6"/>
    <mergeCell ref="AE6:AL6"/>
    <mergeCell ref="G4:X4"/>
    <mergeCell ref="Z4:AD4"/>
    <mergeCell ref="A1:AM1"/>
    <mergeCell ref="B2:E2"/>
    <mergeCell ref="G2:X2"/>
    <mergeCell ref="AE2:AH2"/>
    <mergeCell ref="AJ2:AL4"/>
    <mergeCell ref="G3:X3"/>
    <mergeCell ref="AE3:AH3"/>
    <mergeCell ref="AE4:AH4"/>
    <mergeCell ref="B3:E3"/>
    <mergeCell ref="B4:E4"/>
    <mergeCell ref="G5:J5"/>
    <mergeCell ref="L5:M5"/>
    <mergeCell ref="N5:O5"/>
    <mergeCell ref="Q5:R5"/>
    <mergeCell ref="T5:V5"/>
    <mergeCell ref="G6:X6"/>
    <mergeCell ref="B5:E5"/>
    <mergeCell ref="B6:F6"/>
    <mergeCell ref="G10:M10"/>
    <mergeCell ref="O10:T10"/>
    <mergeCell ref="U10:Y10"/>
    <mergeCell ref="AA10:AE10"/>
    <mergeCell ref="AF10:AL10"/>
    <mergeCell ref="B10:F10"/>
    <mergeCell ref="B11:F11"/>
    <mergeCell ref="G11:M11"/>
    <mergeCell ref="O11:T11"/>
    <mergeCell ref="U11:Y11"/>
    <mergeCell ref="AA11:AE11"/>
    <mergeCell ref="AF11:AL11"/>
    <mergeCell ref="AA12:AE12"/>
    <mergeCell ref="AA13:AE13"/>
    <mergeCell ref="Q32:S32"/>
    <mergeCell ref="T32:V32"/>
    <mergeCell ref="W32:X32"/>
    <mergeCell ref="Z32:AD32"/>
    <mergeCell ref="AE32:AG32"/>
    <mergeCell ref="AH32:AJ32"/>
    <mergeCell ref="AK32:AL32"/>
    <mergeCell ref="L32:P32"/>
    <mergeCell ref="B33:J33"/>
    <mergeCell ref="L33:P33"/>
    <mergeCell ref="Q33:S33"/>
    <mergeCell ref="T33:V33"/>
    <mergeCell ref="W33:X33"/>
    <mergeCell ref="Z33:AD33"/>
    <mergeCell ref="AK33:AL33"/>
    <mergeCell ref="B12:F12"/>
    <mergeCell ref="G12:M12"/>
    <mergeCell ref="U12:Y12"/>
    <mergeCell ref="AF12:AL12"/>
    <mergeCell ref="G13:M13"/>
    <mergeCell ref="U13:Y13"/>
    <mergeCell ref="AF13:AL13"/>
    <mergeCell ref="O12:T12"/>
    <mergeCell ref="O13:T13"/>
    <mergeCell ref="O14:T14"/>
    <mergeCell ref="U14:Y14"/>
    <mergeCell ref="AA14:AE14"/>
    <mergeCell ref="AF14:AL14"/>
    <mergeCell ref="AH19:AL19"/>
    <mergeCell ref="F23:AG23"/>
    <mergeCell ref="F24:AG24"/>
    <mergeCell ref="AH24:AL24"/>
    <mergeCell ref="F25:AG25"/>
    <mergeCell ref="AH25:AL25"/>
    <mergeCell ref="F26:AG26"/>
    <mergeCell ref="AH26:AL26"/>
    <mergeCell ref="F20:AG20"/>
    <mergeCell ref="AH20:AL20"/>
    <mergeCell ref="F21:AG21"/>
    <mergeCell ref="AH21:AL21"/>
    <mergeCell ref="F22:AG22"/>
    <mergeCell ref="AH22:AL22"/>
    <mergeCell ref="AH23:AL23"/>
    <mergeCell ref="B13:F13"/>
    <mergeCell ref="B14:F14"/>
    <mergeCell ref="G14:M14"/>
    <mergeCell ref="B20:E20"/>
    <mergeCell ref="B21:E21"/>
    <mergeCell ref="B22:E22"/>
    <mergeCell ref="B23:E23"/>
    <mergeCell ref="B24:E24"/>
    <mergeCell ref="B25:E25"/>
    <mergeCell ref="B26:E26"/>
    <mergeCell ref="B31:F31"/>
    <mergeCell ref="G31:J31"/>
    <mergeCell ref="L31:X31"/>
    <mergeCell ref="Z31:AL31"/>
    <mergeCell ref="AE34:AG34"/>
    <mergeCell ref="AH34:AJ34"/>
    <mergeCell ref="AK34:AL34"/>
    <mergeCell ref="W34:X34"/>
    <mergeCell ref="Z34:AD34"/>
    <mergeCell ref="AE33:AG33"/>
    <mergeCell ref="AH33:AJ33"/>
    <mergeCell ref="B34:D34"/>
    <mergeCell ref="E34:J34"/>
    <mergeCell ref="L34:P34"/>
    <mergeCell ref="Q34:S34"/>
    <mergeCell ref="T34:V34"/>
    <mergeCell ref="AE35:AG35"/>
    <mergeCell ref="AH35:AJ35"/>
    <mergeCell ref="AK35:AL35"/>
    <mergeCell ref="B35:D35"/>
    <mergeCell ref="E35:J35"/>
    <mergeCell ref="L35:P35"/>
    <mergeCell ref="Q35:S35"/>
    <mergeCell ref="T35:V35"/>
    <mergeCell ref="W35:X35"/>
    <mergeCell ref="Z35:AD35"/>
    <mergeCell ref="AE36:AG36"/>
    <mergeCell ref="AH36:AJ36"/>
    <mergeCell ref="AK36:AL36"/>
    <mergeCell ref="B36:D36"/>
    <mergeCell ref="E36:J36"/>
    <mergeCell ref="L36:P36"/>
    <mergeCell ref="Q36:S36"/>
    <mergeCell ref="T36:V36"/>
    <mergeCell ref="W36:X36"/>
    <mergeCell ref="Z36:AD36"/>
    <mergeCell ref="AE41:AF41"/>
    <mergeCell ref="AE42:AF42"/>
    <mergeCell ref="F50:H51"/>
    <mergeCell ref="I51:K51"/>
    <mergeCell ref="AE47:AI47"/>
    <mergeCell ref="AE48:AI48"/>
    <mergeCell ref="B50:E51"/>
    <mergeCell ref="I50:Q50"/>
    <mergeCell ref="R50:Z50"/>
    <mergeCell ref="AD50:AH50"/>
    <mergeCell ref="AJ50:AL51"/>
    <mergeCell ref="B41:O41"/>
    <mergeCell ref="Q41:X41"/>
    <mergeCell ref="Z41:AC41"/>
    <mergeCell ref="B42:E42"/>
    <mergeCell ref="F42:I42"/>
    <mergeCell ref="J42:M42"/>
    <mergeCell ref="U42:X42"/>
    <mergeCell ref="N42:O42"/>
    <mergeCell ref="Q42:T42"/>
    <mergeCell ref="Z42:AC43"/>
    <mergeCell ref="B43:E43"/>
    <mergeCell ref="F43:I43"/>
    <mergeCell ref="J43:M43"/>
    <mergeCell ref="N43:O43"/>
    <mergeCell ref="Q43:T43"/>
    <mergeCell ref="U43:X43"/>
    <mergeCell ref="R47:Z47"/>
    <mergeCell ref="AA47:AC47"/>
    <mergeCell ref="AJ47:AL47"/>
    <mergeCell ref="R48:Z48"/>
    <mergeCell ref="AA48:AC48"/>
    <mergeCell ref="AJ48:AL48"/>
    <mergeCell ref="R51:T51"/>
    <mergeCell ref="U51:W51"/>
    <mergeCell ref="S52:T52"/>
    <mergeCell ref="V52:W52"/>
    <mergeCell ref="S53:T53"/>
    <mergeCell ref="V53:W53"/>
    <mergeCell ref="X51:Z51"/>
    <mergeCell ref="AA51:AB51"/>
    <mergeCell ref="Y52:Z52"/>
    <mergeCell ref="AA52:AB52"/>
    <mergeCell ref="Y53:Z53"/>
    <mergeCell ref="AA53:AB53"/>
    <mergeCell ref="AD51:AF51"/>
    <mergeCell ref="AG51:AH51"/>
    <mergeCell ref="AE52:AF52"/>
    <mergeCell ref="AG52:AH52"/>
    <mergeCell ref="AJ52:AL52"/>
    <mergeCell ref="AE53:AF53"/>
    <mergeCell ref="AG53:AH53"/>
    <mergeCell ref="AJ53:AL53"/>
    <mergeCell ref="J52:K52"/>
    <mergeCell ref="J53:K53"/>
    <mergeCell ref="R64:T64"/>
    <mergeCell ref="U64:W64"/>
    <mergeCell ref="M61:Q61"/>
    <mergeCell ref="M62:Q62"/>
    <mergeCell ref="M63:Q63"/>
    <mergeCell ref="R63:T63"/>
    <mergeCell ref="U63:W63"/>
    <mergeCell ref="X63:Y63"/>
    <mergeCell ref="X64:Y64"/>
    <mergeCell ref="L51:N51"/>
    <mergeCell ref="O51:Q51"/>
    <mergeCell ref="B52:E52"/>
    <mergeCell ref="F52:H53"/>
    <mergeCell ref="M52:N52"/>
    <mergeCell ref="B53:E53"/>
    <mergeCell ref="M53:N53"/>
    <mergeCell ref="AA54:AB54"/>
    <mergeCell ref="AE54:AF54"/>
    <mergeCell ref="AG54:AH54"/>
    <mergeCell ref="AJ54:AL54"/>
    <mergeCell ref="B54:E54"/>
    <mergeCell ref="F54:H54"/>
    <mergeCell ref="J54:K54"/>
    <mergeCell ref="M54:N54"/>
    <mergeCell ref="S54:T54"/>
    <mergeCell ref="V54:W54"/>
    <mergeCell ref="Y54:Z54"/>
    <mergeCell ref="U61:W61"/>
    <mergeCell ref="X61:Y61"/>
    <mergeCell ref="AB61:AH61"/>
    <mergeCell ref="R62:T62"/>
    <mergeCell ref="U62:W62"/>
    <mergeCell ref="AB62:AH62"/>
    <mergeCell ref="AK63:AL63"/>
    <mergeCell ref="P52:Q52"/>
    <mergeCell ref="P53:Q53"/>
    <mergeCell ref="P54:Q54"/>
    <mergeCell ref="M60:Y60"/>
    <mergeCell ref="C61:I61"/>
    <mergeCell ref="R61:T61"/>
    <mergeCell ref="C62:I62"/>
    <mergeCell ref="X62:Y62"/>
    <mergeCell ref="H67:K67"/>
    <mergeCell ref="L67:N68"/>
    <mergeCell ref="Z67:AD68"/>
    <mergeCell ref="AE67:AI68"/>
    <mergeCell ref="AJ67:AL68"/>
    <mergeCell ref="O67:T67"/>
    <mergeCell ref="U67:Y68"/>
    <mergeCell ref="O68:Q68"/>
    <mergeCell ref="R68:T68"/>
    <mergeCell ref="M64:Q64"/>
    <mergeCell ref="M65:Q65"/>
    <mergeCell ref="R65:T65"/>
    <mergeCell ref="U65:W65"/>
    <mergeCell ref="X65:Y65"/>
    <mergeCell ref="E67:G68"/>
    <mergeCell ref="H68:K68"/>
    <mergeCell ref="U69:W69"/>
    <mergeCell ref="X69:Y69"/>
    <mergeCell ref="Z69:AB69"/>
    <mergeCell ref="AC69:AD69"/>
    <mergeCell ref="AE69:AG69"/>
    <mergeCell ref="AH69:AI69"/>
    <mergeCell ref="AJ69:AL69"/>
    <mergeCell ref="B67:D68"/>
    <mergeCell ref="B69:D69"/>
    <mergeCell ref="E69:G69"/>
    <mergeCell ref="H69:K69"/>
    <mergeCell ref="L69:N69"/>
    <mergeCell ref="O69:Q69"/>
    <mergeCell ref="R69:T69"/>
    <mergeCell ref="U70:W70"/>
    <mergeCell ref="X70:Y70"/>
    <mergeCell ref="Z70:AB70"/>
    <mergeCell ref="AC70:AD70"/>
    <mergeCell ref="AE70:AG70"/>
    <mergeCell ref="AH70:AI70"/>
    <mergeCell ref="AJ70:AL70"/>
    <mergeCell ref="B70:D70"/>
    <mergeCell ref="E70:G70"/>
    <mergeCell ref="H70:I70"/>
    <mergeCell ref="J70:K70"/>
    <mergeCell ref="L70:N70"/>
    <mergeCell ref="O70:Q70"/>
    <mergeCell ref="R70:T70"/>
    <mergeCell ref="Y83:AE83"/>
    <mergeCell ref="AF83:AH83"/>
    <mergeCell ref="AI83:AL83"/>
    <mergeCell ref="B103:D103"/>
    <mergeCell ref="B107:C107"/>
    <mergeCell ref="D107:Q107"/>
    <mergeCell ref="S107:T107"/>
    <mergeCell ref="U107:AD107"/>
    <mergeCell ref="B108:C108"/>
    <mergeCell ref="D108:Q108"/>
    <mergeCell ref="B109:C109"/>
    <mergeCell ref="D109:Q109"/>
    <mergeCell ref="S109:T109"/>
    <mergeCell ref="U109:AD109"/>
    <mergeCell ref="D110:Q110"/>
    <mergeCell ref="S110:T110"/>
    <mergeCell ref="U110:AD110"/>
    <mergeCell ref="C81:L81"/>
    <mergeCell ref="M81:S81"/>
    <mergeCell ref="T81:X81"/>
    <mergeCell ref="Y81:AE81"/>
    <mergeCell ref="AF81:AH81"/>
    <mergeCell ref="AI81:AL81"/>
    <mergeCell ref="E83:L83"/>
    <mergeCell ref="M83:S83"/>
    <mergeCell ref="T83:X83"/>
    <mergeCell ref="M85:S85"/>
    <mergeCell ref="T85:X85"/>
    <mergeCell ref="Y85:AE85"/>
    <mergeCell ref="AF85:AH85"/>
    <mergeCell ref="AI85:AL85"/>
    <mergeCell ref="E85:L85"/>
    <mergeCell ref="B88:AL96"/>
    <mergeCell ref="E100:J100"/>
    <mergeCell ref="L100:N100"/>
    <mergeCell ref="O100:U100"/>
    <mergeCell ref="W100:Y100"/>
    <mergeCell ref="Z100:AI100"/>
    <mergeCell ref="B100:D100"/>
    <mergeCell ref="B101:D101"/>
    <mergeCell ref="E101:J101"/>
    <mergeCell ref="L101:N101"/>
    <mergeCell ref="O101:U101"/>
    <mergeCell ref="W101:Y101"/>
    <mergeCell ref="Z101:AI101"/>
    <mergeCell ref="B102:D102"/>
    <mergeCell ref="E102:J102"/>
    <mergeCell ref="L102:N102"/>
    <mergeCell ref="O102:U102"/>
    <mergeCell ref="E103:J103"/>
    <mergeCell ref="L103:N103"/>
    <mergeCell ref="O103:U103"/>
    <mergeCell ref="S108:T108"/>
    <mergeCell ref="U108:AD108"/>
    <mergeCell ref="B113:C113"/>
    <mergeCell ref="D113:Q113"/>
    <mergeCell ref="S113:T113"/>
    <mergeCell ref="U113:AD113"/>
    <mergeCell ref="X71:Y71"/>
    <mergeCell ref="Z71:AB71"/>
    <mergeCell ref="AC71:AD71"/>
    <mergeCell ref="AE71:AG71"/>
    <mergeCell ref="AH71:AI71"/>
    <mergeCell ref="AJ71:AL71"/>
    <mergeCell ref="B71:D71"/>
    <mergeCell ref="E71:G71"/>
    <mergeCell ref="H71:K71"/>
    <mergeCell ref="L71:N71"/>
    <mergeCell ref="O71:Q71"/>
    <mergeCell ref="R71:T71"/>
    <mergeCell ref="U71:W71"/>
    <mergeCell ref="U72:W72"/>
    <mergeCell ref="X72:Y72"/>
    <mergeCell ref="Z72:AB72"/>
    <mergeCell ref="AC72:AD72"/>
    <mergeCell ref="AE72:AG72"/>
    <mergeCell ref="AH72:AI72"/>
    <mergeCell ref="AJ72:AL72"/>
    <mergeCell ref="B72:D72"/>
    <mergeCell ref="E72:G72"/>
    <mergeCell ref="H72:I72"/>
    <mergeCell ref="J72:K72"/>
    <mergeCell ref="L72:N72"/>
    <mergeCell ref="O72:Q72"/>
    <mergeCell ref="R72:T72"/>
    <mergeCell ref="X73:Y73"/>
    <mergeCell ref="Z73:AB73"/>
    <mergeCell ref="AC73:AD73"/>
    <mergeCell ref="AE73:AG73"/>
    <mergeCell ref="AH73:AI73"/>
    <mergeCell ref="AJ73:AL73"/>
    <mergeCell ref="B73:D73"/>
    <mergeCell ref="E73:G73"/>
    <mergeCell ref="H73:K73"/>
    <mergeCell ref="L73:N73"/>
    <mergeCell ref="O73:Q73"/>
    <mergeCell ref="R73:T73"/>
    <mergeCell ref="U73:W73"/>
    <mergeCell ref="U74:W74"/>
    <mergeCell ref="X74:Y74"/>
    <mergeCell ref="Z74:AB74"/>
    <mergeCell ref="AC74:AD74"/>
    <mergeCell ref="AE74:AG74"/>
    <mergeCell ref="AH74:AI74"/>
    <mergeCell ref="AJ74:AL74"/>
    <mergeCell ref="B74:D74"/>
    <mergeCell ref="E74:G74"/>
    <mergeCell ref="H74:I74"/>
    <mergeCell ref="J74:K74"/>
    <mergeCell ref="L74:N74"/>
    <mergeCell ref="O74:Q74"/>
    <mergeCell ref="R74:T74"/>
    <mergeCell ref="X75:Y75"/>
    <mergeCell ref="Z75:AB75"/>
    <mergeCell ref="AC75:AD75"/>
    <mergeCell ref="AE75:AG75"/>
    <mergeCell ref="AH75:AI75"/>
    <mergeCell ref="AJ75:AL75"/>
    <mergeCell ref="B75:D75"/>
    <mergeCell ref="E75:G75"/>
    <mergeCell ref="H75:K75"/>
    <mergeCell ref="L75:N75"/>
    <mergeCell ref="O75:Q75"/>
    <mergeCell ref="R75:T75"/>
    <mergeCell ref="U75:W75"/>
    <mergeCell ref="U76:W76"/>
    <mergeCell ref="X76:Y76"/>
    <mergeCell ref="Z76:AB76"/>
    <mergeCell ref="AC76:AD76"/>
    <mergeCell ref="AE76:AG76"/>
    <mergeCell ref="AH76:AI76"/>
    <mergeCell ref="AJ76:AL76"/>
    <mergeCell ref="B76:D76"/>
    <mergeCell ref="E76:G76"/>
    <mergeCell ref="H76:I76"/>
    <mergeCell ref="J76:K76"/>
    <mergeCell ref="L76:N76"/>
    <mergeCell ref="O76:Q76"/>
    <mergeCell ref="R76:T76"/>
    <mergeCell ref="S112:T112"/>
    <mergeCell ref="U112:AD112"/>
    <mergeCell ref="B110:C110"/>
    <mergeCell ref="B111:C111"/>
    <mergeCell ref="D111:Q111"/>
    <mergeCell ref="S111:T111"/>
    <mergeCell ref="U111:AD111"/>
    <mergeCell ref="B112:C112"/>
    <mergeCell ref="D112:Q112"/>
  </mergeCells>
  <conditionalFormatting sqref="B70:AL70">
    <cfRule type="expression" dxfId="0" priority="1">
      <formula>NOT(ISNUMBER(FIND("L",$G$31)))</formula>
    </cfRule>
  </conditionalFormatting>
  <conditionalFormatting sqref="B71:AL72">
    <cfRule type="expression" dxfId="1" priority="2">
      <formula>NOT(ISNUMBER(FIND("S",$G$31)))</formula>
    </cfRule>
  </conditionalFormatting>
  <conditionalFormatting sqref="B71:AL76">
    <cfRule type="expression" dxfId="2" priority="3">
      <formula>OR(ISNUMBER(FIND("T",$G$31)),ISNUMBER(FIND("M",$G$31)))</formula>
    </cfRule>
  </conditionalFormatting>
  <conditionalFormatting sqref="E70">
    <cfRule type="expression" dxfId="3" priority="4">
      <formula>AND(NOT(ISNUMBER(FIND("L",$G$31))),NOT(ISNUMBER(FIND("M",$G$31))))</formula>
    </cfRule>
  </conditionalFormatting>
  <conditionalFormatting sqref="E70 E72 E74 E76">
    <cfRule type="expression" dxfId="3" priority="5">
      <formula>($C$62="Secondary Injection")</formula>
    </cfRule>
  </conditionalFormatting>
  <conditionalFormatting sqref="E71:G72 E73">
    <cfRule type="expression" dxfId="3" priority="6">
      <formula>NOT(ISNUMBER(FIND("S",$G$31)))</formula>
    </cfRule>
  </conditionalFormatting>
  <conditionalFormatting sqref="E72:AI72 E73 H73 L73 O73 R73 U73 Z73 AE73">
    <cfRule type="expression" dxfId="0" priority="7">
      <formula>NOT(ISNUMBER(FIND("S",$G$31)))</formula>
    </cfRule>
  </conditionalFormatting>
  <conditionalFormatting sqref="E69:G70">
    <cfRule type="expression" dxfId="3" priority="8">
      <formula>NOT(ISNUMBER(FIND("L",$G$31)))</formula>
    </cfRule>
  </conditionalFormatting>
  <conditionalFormatting sqref="E70:G70">
    <cfRule type="expression" dxfId="3" priority="9">
      <formula>($AB$62="No")</formula>
    </cfRule>
  </conditionalFormatting>
  <conditionalFormatting sqref="E73:G73">
    <cfRule type="expression" dxfId="3" priority="10">
      <formula>($C$62="Primary Injection")</formula>
    </cfRule>
  </conditionalFormatting>
  <conditionalFormatting sqref="E73:G74">
    <cfRule type="expression" dxfId="3" priority="11">
      <formula>NOT(ISNUMBER(FIND("I",$G$31)))</formula>
    </cfRule>
  </conditionalFormatting>
  <conditionalFormatting sqref="E75:G76">
    <cfRule type="expression" dxfId="3" priority="12">
      <formula>NOT(ISNUMBER(FIND("G",$G$31)))</formula>
    </cfRule>
  </conditionalFormatting>
  <conditionalFormatting sqref="E70:AL70">
    <cfRule type="expression" dxfId="1" priority="13">
      <formula>AND(NOT(ISNUMBER(FIND("L",$G$31))),NOT(ISNUMBER(FIND("M",$G$31))))</formula>
    </cfRule>
  </conditionalFormatting>
  <conditionalFormatting sqref="E70:AL70">
    <cfRule type="expression" dxfId="4" priority="14">
      <formula>($AB$62="No")</formula>
    </cfRule>
  </conditionalFormatting>
  <conditionalFormatting sqref="E70:AL70">
    <cfRule type="expression" dxfId="5" priority="15">
      <formula>AND(NOT(ISNUMBER(FIND("L",$G$31))),NOT(ISNUMBER(FIND("M",$G$31))))</formula>
    </cfRule>
  </conditionalFormatting>
  <conditionalFormatting sqref="E70:AL70">
    <cfRule type="expression" dxfId="5" priority="16">
      <formula>($AB$62="No")</formula>
    </cfRule>
  </conditionalFormatting>
  <conditionalFormatting sqref="E71:AL72">
    <cfRule type="expression" dxfId="5" priority="17">
      <formula>NOT(ISNUMBER(FIND("S",$G$31)))</formula>
    </cfRule>
  </conditionalFormatting>
  <conditionalFormatting sqref="E70:AL70 E72:AL72 E74:AL74 E76:AL76">
    <cfRule type="expression" dxfId="1" priority="18">
      <formula>($C$62="Secondary Injection")</formula>
    </cfRule>
  </conditionalFormatting>
  <conditionalFormatting sqref="E70:AL70 E72:AL72 E74:AL74 E76:AL76">
    <cfRule type="expression" dxfId="0" priority="19">
      <formula>($C$62="Secondary Injection")</formula>
    </cfRule>
  </conditionalFormatting>
  <conditionalFormatting sqref="E73:AL73">
    <cfRule type="expression" dxfId="0" priority="20">
      <formula>($C$62="Primary Injection")</formula>
    </cfRule>
  </conditionalFormatting>
  <conditionalFormatting sqref="E73:AL73">
    <cfRule type="expression" dxfId="1" priority="21">
      <formula>($C$62="Primary Injection")</formula>
    </cfRule>
  </conditionalFormatting>
  <conditionalFormatting sqref="E73:AL73">
    <cfRule type="expression" dxfId="5" priority="22">
      <formula>($C$62="Primary Injection")</formula>
    </cfRule>
  </conditionalFormatting>
  <conditionalFormatting sqref="E73:AL74">
    <cfRule type="expression" dxfId="5" priority="23">
      <formula>NOT(ISNUMBER(FIND("I",$G$31)))</formula>
    </cfRule>
  </conditionalFormatting>
  <conditionalFormatting sqref="E70:AL70 E72:AL72 E74:AL74 E76:AL76">
    <cfRule type="expression" dxfId="5" priority="24">
      <formula>($C$62="Secondary Injection")</formula>
    </cfRule>
  </conditionalFormatting>
  <conditionalFormatting sqref="E74:AL74">
    <cfRule type="expression" dxfId="0" priority="25">
      <formula>NOT(ISNUMBER(FIND("I",$G$31)))</formula>
    </cfRule>
  </conditionalFormatting>
  <conditionalFormatting sqref="E75:AL76">
    <cfRule type="expression" dxfId="1" priority="26">
      <formula>NOT(ISNUMBER(FIND("G",$G$31)))</formula>
    </cfRule>
  </conditionalFormatting>
  <conditionalFormatting sqref="E75:AL76">
    <cfRule type="expression" dxfId="0" priority="27">
      <formula>NOT(ISNUMBER(FIND("G",$G$31)))</formula>
    </cfRule>
  </conditionalFormatting>
  <conditionalFormatting sqref="E75:AL76">
    <cfRule type="expression" dxfId="5" priority="28">
      <formula>NOT(ISNUMBER(FIND("G",$G$31)))</formula>
    </cfRule>
  </conditionalFormatting>
  <conditionalFormatting sqref="L73:N73">
    <cfRule type="expression" dxfId="1" priority="29">
      <formula>NOT(ISNUMBER(FIND("S",$G$31)))</formula>
    </cfRule>
  </conditionalFormatting>
  <conditionalFormatting sqref="L35:X35">
    <cfRule type="expression" dxfId="1" priority="30">
      <formula>OR(ISNUMBER(FIND("T",$G$31)),ISNUMBER(FIND("M",$G$31)))</formula>
    </cfRule>
  </conditionalFormatting>
  <conditionalFormatting sqref="L35:X36">
    <cfRule type="expression" dxfId="2" priority="31">
      <formula>OR(ISNUMBER(FIND("T",$G$31)),ISNUMBER(FIND("M",$G$31)))</formula>
    </cfRule>
  </conditionalFormatting>
  <conditionalFormatting sqref="M64:Y64">
    <cfRule type="expression" dxfId="1" priority="32">
      <formula>OR(ISNUMBER(FIND("T",$G$31)),ISNUMBER(FIND("M",$G$31)))</formula>
    </cfRule>
  </conditionalFormatting>
  <conditionalFormatting sqref="M64:Y65">
    <cfRule type="expression" dxfId="2" priority="33">
      <formula>OR(ISNUMBER(FIND("T",$G$31)),ISNUMBER(FIND("M",$G$31)))</formula>
    </cfRule>
  </conditionalFormatting>
  <conditionalFormatting sqref="Q33 R62 AE33">
    <cfRule type="expression" dxfId="6" priority="34">
      <formula>AND(NOT(ISNUMBER(FIND("L",$G$31))),NOT(ISNUMBER(FIND("T",$G$31))))</formula>
    </cfRule>
  </conditionalFormatting>
  <conditionalFormatting sqref="Q34 R63 AE34">
    <cfRule type="expression" dxfId="6" priority="35">
      <formula>AND(NOT(ISNUMBER(FIND("S",$G$31))),NOT(ISNUMBER(FIND("M",$G$31))))</formula>
    </cfRule>
  </conditionalFormatting>
  <conditionalFormatting sqref="Q35:V35 R64:W64 AE35:AJ35">
    <cfRule type="expression" dxfId="6" priority="36">
      <formula>NOT(ISNUMBER(FIND("I",$G$31)))</formula>
    </cfRule>
  </conditionalFormatting>
  <conditionalFormatting sqref="Q36:X36 R65:Y65 AE36:AL36">
    <cfRule type="expression" dxfId="6" priority="37">
      <formula>NOT(ISNUMBER(FIND("G",$G$31)))</formula>
    </cfRule>
  </conditionalFormatting>
  <conditionalFormatting sqref="T33 U62 AH33">
    <cfRule type="expression" dxfId="6" priority="38">
      <formula>AND(NOT(ISNUMBER(FIND("L",$G$31))),NOT(ISNUMBER(FIND("TMD",$G$31))),NOT(ISNUMBER(FIND("TA",$G$31))))</formula>
    </cfRule>
  </conditionalFormatting>
  <conditionalFormatting sqref="T34 U63 AH34">
    <cfRule type="expression" dxfId="6" priority="39">
      <formula>AND(NOT(ISNUMBER(FIND("S",$G$31))),NOT(ISNUMBER(FIND("TMA",$G$31))),NOT(ISNUMBER(FIND("MA",$G$31))))</formula>
    </cfRule>
  </conditionalFormatting>
  <conditionalFormatting sqref="U72 Z72 AE72">
    <cfRule type="cellIs" dxfId="7" priority="40" operator="notBetween">
      <formula>$O$72</formula>
      <formula>$R$72</formula>
    </cfRule>
  </conditionalFormatting>
  <conditionalFormatting sqref="U69:W69 Z69:AB69 AE69:AG69">
    <cfRule type="cellIs" dxfId="7" priority="41" operator="notBetween">
      <formula>$O$69</formula>
      <formula>$R$69</formula>
    </cfRule>
  </conditionalFormatting>
  <conditionalFormatting sqref="U70:W70 Z70:AB70 AE70:AG70">
    <cfRule type="cellIs" dxfId="7" priority="42" operator="notBetween">
      <formula>$O$70</formula>
      <formula>$R$70</formula>
    </cfRule>
  </conditionalFormatting>
  <conditionalFormatting sqref="U71:W71 Z71:AB71 AE71:AG71">
    <cfRule type="cellIs" dxfId="7" priority="43" operator="notBetween">
      <formula>$O$71</formula>
      <formula>$R$71</formula>
    </cfRule>
  </conditionalFormatting>
  <conditionalFormatting sqref="U73:W73 Z73:AB73 AE73:AG73">
    <cfRule type="cellIs" dxfId="7" priority="44" operator="notBetween">
      <formula>$O$73</formula>
      <formula>$R$73</formula>
    </cfRule>
  </conditionalFormatting>
  <conditionalFormatting sqref="U74:W74 Z74:AB74 AE74:AG74">
    <cfRule type="cellIs" dxfId="7" priority="45" operator="notBetween">
      <formula>$O$74</formula>
      <formula>$R$74</formula>
    </cfRule>
  </conditionalFormatting>
  <conditionalFormatting sqref="U75:W75 Z75:AB75 AE75:AG75">
    <cfRule type="cellIs" dxfId="7" priority="46" operator="notBetween">
      <formula>$O$75</formula>
      <formula>$R$75</formula>
    </cfRule>
  </conditionalFormatting>
  <conditionalFormatting sqref="U76:W76 Z76:AB76 AE76:AG76">
    <cfRule type="cellIs" dxfId="7" priority="47" operator="notBetween">
      <formula>$O$76</formula>
      <formula>$R$76</formula>
    </cfRule>
  </conditionalFormatting>
  <conditionalFormatting sqref="W34 X63 AK34">
    <cfRule type="expression" dxfId="6" priority="48">
      <formula>NOT(ISNUMBER(FIND("S",$G$31)))</formula>
    </cfRule>
  </conditionalFormatting>
  <conditionalFormatting sqref="X73:Y73 AC73:AD73 AH73:AI73">
    <cfRule type="expression" dxfId="1" priority="49">
      <formula>NOT(ISNUMBER(FIND("S",$G$31)))</formula>
    </cfRule>
  </conditionalFormatting>
  <conditionalFormatting sqref="Z42">
    <cfRule type="cellIs" dxfId="8" priority="50" operator="equal">
      <formula>"LIMITED SERVICE"</formula>
    </cfRule>
  </conditionalFormatting>
  <conditionalFormatting sqref="Z42">
    <cfRule type="cellIs" dxfId="9" priority="51" operator="equal">
      <formula>"FAIL"</formula>
    </cfRule>
  </conditionalFormatting>
  <conditionalFormatting sqref="Z42">
    <cfRule type="cellIs" dxfId="10" priority="52" operator="equal">
      <formula>"PASS"</formula>
    </cfRule>
  </conditionalFormatting>
  <conditionalFormatting sqref="Z42">
    <cfRule type="cellIs" dxfId="10" priority="53" operator="equal">
      <formula>"""PASS"""</formula>
    </cfRule>
  </conditionalFormatting>
  <conditionalFormatting sqref="Z35:AL35">
    <cfRule type="expression" dxfId="1" priority="54">
      <formula>OR(ISNUMBER(FIND("T",$G$31)),ISNUMBER(FIND("M",$G$31)))</formula>
    </cfRule>
  </conditionalFormatting>
  <conditionalFormatting sqref="Z35:AL36">
    <cfRule type="expression" dxfId="2" priority="55">
      <formula>OR(ISNUMBER(FIND("T",$G$31)),ISNUMBER(FIND("M",$G$31)))</formula>
    </cfRule>
  </conditionalFormatting>
  <conditionalFormatting sqref="AB61:AH62">
    <cfRule type="expression" dxfId="11" priority="56">
      <formula>NOT(ISNUMBER(FIND("L",$G$31)))</formula>
    </cfRule>
  </conditionalFormatting>
  <conditionalFormatting sqref="AJ2">
    <cfRule type="cellIs" dxfId="8" priority="57" operator="equal">
      <formula>"LIMITED SERVICE"</formula>
    </cfRule>
  </conditionalFormatting>
  <conditionalFormatting sqref="AJ2">
    <cfRule type="cellIs" dxfId="9" priority="58" operator="equal">
      <formula>"FAIL"</formula>
    </cfRule>
  </conditionalFormatting>
  <conditionalFormatting sqref="AJ2">
    <cfRule type="cellIs" dxfId="10" priority="59" operator="equal">
      <formula>"PASS"</formula>
    </cfRule>
  </conditionalFormatting>
  <conditionalFormatting sqref="AJ2">
    <cfRule type="cellIs" dxfId="10" priority="60" operator="equal">
      <formula>"""PASS"""</formula>
    </cfRule>
  </conditionalFormatting>
  <conditionalFormatting sqref="AJ52:AJ54">
    <cfRule type="cellIs" dxfId="8" priority="61" operator="equal">
      <formula>"LIMITED SERVICE"</formula>
    </cfRule>
  </conditionalFormatting>
  <conditionalFormatting sqref="AJ52:AJ54">
    <cfRule type="cellIs" dxfId="9" priority="62" operator="equal">
      <formula>"FAIL"</formula>
    </cfRule>
  </conditionalFormatting>
  <conditionalFormatting sqref="AJ52:AJ54">
    <cfRule type="cellIs" dxfId="10" priority="63" operator="equal">
      <formula>"PASS"</formula>
    </cfRule>
  </conditionalFormatting>
  <conditionalFormatting sqref="AJ52:AJ54">
    <cfRule type="cellIs" dxfId="10" priority="64" operator="equal">
      <formula>"""PASS"""</formula>
    </cfRule>
  </conditionalFormatting>
  <conditionalFormatting sqref="AJ69:AL76">
    <cfRule type="cellIs" dxfId="12" priority="65" operator="equal">
      <formula>"FAIL"</formula>
    </cfRule>
  </conditionalFormatting>
  <conditionalFormatting sqref="AJ69:AL76">
    <cfRule type="cellIs" dxfId="13" priority="66" operator="equal">
      <formula>"PASS"</formula>
    </cfRule>
  </conditionalFormatting>
  <conditionalFormatting sqref="AJ69:AL76">
    <cfRule type="expression" dxfId="14" priority="67">
      <formula>NOT(ISNUMBER(FIND("L",$G$31)))</formula>
    </cfRule>
  </conditionalFormatting>
  <conditionalFormatting sqref="AJ70:AL70">
    <cfRule type="expression" dxfId="14" priority="68">
      <formula>($AB$62="No")</formula>
    </cfRule>
  </conditionalFormatting>
  <conditionalFormatting sqref="E69:AL69 AJ70:AL76">
    <cfRule type="expression" dxfId="1" priority="69">
      <formula>NOT(ISNUMBER(FIND("L",$G$31)))</formula>
    </cfRule>
  </conditionalFormatting>
  <conditionalFormatting sqref="E69:AL69 AJ70:AL76">
    <cfRule type="expression" dxfId="0" priority="70">
      <formula>AND(NOT(ISNUMBER(FIND("L",$G$31))),NOT(ISNUMBER(FIND("T",$G$31))))</formula>
    </cfRule>
  </conditionalFormatting>
  <conditionalFormatting sqref="E69:AL69 AJ70:AL76">
    <cfRule type="expression" dxfId="5" priority="71">
      <formula>AND(NOT(ISNUMBER(FIND("L",$G$31))),NOT(ISNUMBER(FIND("T",$G$31))))</formula>
    </cfRule>
  </conditionalFormatting>
  <conditionalFormatting sqref="AJ71:AL72">
    <cfRule type="expression" dxfId="14" priority="72">
      <formula>NOT(ISNUMBER(FIND("S",$G$31)))</formula>
    </cfRule>
  </conditionalFormatting>
  <conditionalFormatting sqref="AJ73:AL73">
    <cfRule type="expression" dxfId="14" priority="73">
      <formula>($C$62="Primary Injection")</formula>
    </cfRule>
  </conditionalFormatting>
  <conditionalFormatting sqref="AJ73:AL74">
    <cfRule type="expression" dxfId="14" priority="74">
      <formula>NOT(ISNUMBER(FIND("I",$G$31)))</formula>
    </cfRule>
  </conditionalFormatting>
  <conditionalFormatting sqref="AJ75:AL76">
    <cfRule type="expression" dxfId="14" priority="75">
      <formula>NOT(ISNUMBER(FIND("G",$G$31)))</formula>
    </cfRule>
  </conditionalFormatting>
  <conditionalFormatting sqref="AL70 AL72 AL74 AL76">
    <cfRule type="expression" dxfId="14" priority="76">
      <formula>($C$62="Secondary Injection")</formula>
    </cfRule>
  </conditionalFormatting>
  <conditionalFormatting sqref="AL70">
    <cfRule type="expression" dxfId="14" priority="77">
      <formula>AND(NOT(ISNUMBER(FIND("L",$G$31))),NOT(ISNUMBER(FIND("M",$G$31))))</formula>
    </cfRule>
  </conditionalFormatting>
  <dataValidations>
    <dataValidation type="list" allowBlank="1" showErrorMessage="1" sqref="U43 U44:X44">
      <formula1>"&lt;50%,N/A"</formula1>
    </dataValidation>
    <dataValidation type="list" allowBlank="1" showErrorMessage="1" sqref="AF12">
      <formula1>"Bolt-In,Plug-in,Fixed-Mount,Bushing-Mount"</formula1>
    </dataValidation>
    <dataValidation type="list" allowBlank="1" showInputMessage="1" prompt="Used in formula - Please put a NUMBER here as it is used in formulas for the sheet" sqref="U12">
      <formula1>"250,480,600,1000"</formula1>
    </dataValidation>
    <dataValidation type="list" allowBlank="1" showErrorMessage="1" sqref="AJ43:AJ44">
      <formula1>"On,Off,In,Out"</formula1>
    </dataValidation>
    <dataValidation type="list" allowBlank="1" showErrorMessage="1" sqref="I52:I54 L52:L54 O52:O54">
      <formula1>"&gt;,&lt;"</formula1>
    </dataValidation>
    <dataValidation type="list" allowBlank="1" showErrorMessage="1" sqref="AB62">
      <formula1>"Yes,No"</formula1>
    </dataValidation>
    <dataValidation type="list" allowBlank="1" showErrorMessage="1" sqref="W34 AK34 W36 AK36 X63 X65">
      <formula1>"On,Off,In,Out,N/A"</formula1>
    </dataValidation>
    <dataValidation type="list" allowBlank="1" showErrorMessage="1" sqref="AF13">
      <formula1>"Yes,No,Enabled,Disabled,N/A"</formula1>
    </dataValidation>
    <dataValidation type="list" allowBlank="1" showInputMessage="1" showErrorMessage="1" prompt="Heads Up!! - This value is based off of the voltage rating in the Nameplate Data Section. You can manually change the value, but this will remove the formula. Please make sure you are not using the blank sheet!" sqref="AJ47">
      <formula1>"250,500,1000,2500,5000"</formula1>
    </dataValidation>
    <dataValidation type="list" allowBlank="1" showInputMessage="1" showErrorMessage="1" prompt="TMF = fixed thermal, fixed magnetic_x000a_TMD = adjustable thermal, fixed magnetic_x000a_TMA = fixed thermal, adjustable magnetic_x000a_TF = fixed thermal_x000a_TA = adjustable thermal_x000a_MF = adjustable magnetic_x000a_MA = fixed magnetic" sqref="G31">
      <formula1>"LI,LS,LSI,LIG,LSG,LSIG,G,TMF,TMD,TMA,TF,TA,MF,MA"</formula1>
    </dataValidation>
    <dataValidation type="list" allowBlank="1" showErrorMessage="1" sqref="AJ2">
      <formula1>"PASS,FAIL,LIMITED SERVICE"</formula1>
    </dataValidation>
    <dataValidation type="list" allowBlank="1" showErrorMessage="1" sqref="AF14">
      <formula1>"Yes,No,Simulated,Unknown,N/A"</formula1>
    </dataValidation>
    <dataValidation type="list" allowBlank="1" showErrorMessage="1" sqref="N43:N44">
      <formula1>"µΩ,mΩ,Ω"</formula1>
    </dataValidation>
    <dataValidation type="list" allowBlank="1" sqref="AA52:AA54">
      <formula1>"MΩ,GΩ"</formula1>
    </dataValidation>
    <dataValidation type="list" allowBlank="1" showInputMessage="1" prompt="Heads Up!! - This value is based off of the voltage rating in the Nameplate Data Section. You can manually change the value, but this will remove the formula. Please make sure you are not using the blank sheet!" sqref="AE52:AE54">
      <formula1>"25,100,N/A"</formula1>
    </dataValidation>
    <dataValidation type="list" allowBlank="1" sqref="AH20:AH26 AH27:AL27">
      <formula1>"Satisfactory,Unsatisfactory,Cleaned,See Comments,Not Applicable,By Others"</formula1>
    </dataValidation>
    <dataValidation type="list" allowBlank="1" showErrorMessage="1" sqref="C62">
      <formula1>"Primary Injection,Secondary Injection"</formula1>
    </dataValidation>
    <dataValidation type="list" allowBlank="1" showErrorMessage="1" sqref="AF11">
      <formula1>"Over-Center Handle,Two-Step Stored Energy"</formula1>
    </dataValidation>
  </dataValidations>
  <printOptions horizontalCentered="1"/>
  <pageMargins bottom="0.5" footer="0.0" header="0.0" left="0.5" right="0.5" top="1.0"/>
  <pageSetup fitToHeight="0" orientation="portrait"/>
  <headerFooter>
    <oddHeader>&amp;L                   &amp;CLow Voltage  Circuit Breaker Test Report&amp;R000000 ATS 7.6.1.2        </oddHeader>
    <oddFooter>&amp;L00-034AMPQES.COM&amp;CSheet &amp;P of &amp;R 00-034256-513-8255</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2009-06-02T15:38:13Z</dcterms:created>
  <dc:creator>Brian Rodgers</dc:creator>
</cp:coreProperties>
</file>
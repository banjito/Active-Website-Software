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AMP ALL\Client Files\04. Blank Test Reports\Blank Test Forms ATS 25\"/>
    </mc:Choice>
  </mc:AlternateContent>
  <xr:revisionPtr revIDLastSave="0" documentId="13_ncr:1_{6F29FEBF-1382-48C6-A8E0-C7A26377A1D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 Sheet" sheetId="1" r:id="rId1"/>
  </sheets>
  <definedNames>
    <definedName name="_xlnm.Print_Area" localSheetId="0">'Test Sheet'!$A$1:$AM$90</definedName>
  </definedNames>
  <calcPr calcId="191029"/>
  <fileRecoveryPr autoRecover="0"/>
</workbook>
</file>

<file path=xl/calcChain.xml><?xml version="1.0" encoding="utf-8"?>
<calcChain xmlns="http://schemas.openxmlformats.org/spreadsheetml/2006/main">
  <c r="V5" i="1" l="1"/>
  <c r="P5" i="1"/>
  <c r="R38" i="1" l="1"/>
  <c r="R39" i="1"/>
  <c r="R40" i="1"/>
  <c r="R41" i="1"/>
  <c r="M50" i="1"/>
  <c r="M49" i="1"/>
  <c r="M48" i="1"/>
  <c r="M47" i="1"/>
  <c r="O50" i="1"/>
  <c r="O49" i="1"/>
  <c r="AB49" i="1" s="1"/>
  <c r="O48" i="1"/>
  <c r="AB48" i="1" s="1"/>
  <c r="O47" i="1"/>
  <c r="AB47" i="1" s="1"/>
  <c r="Y57" i="1"/>
  <c r="W57" i="1"/>
  <c r="M57" i="1"/>
  <c r="Y56" i="1"/>
  <c r="W56" i="1"/>
  <c r="M56" i="1"/>
  <c r="Y55" i="1"/>
  <c r="W55" i="1"/>
  <c r="M55" i="1"/>
  <c r="Y54" i="1"/>
  <c r="W54" i="1"/>
  <c r="M54" i="1"/>
  <c r="H41" i="1"/>
  <c r="H40" i="1"/>
  <c r="AD40" i="1" s="1"/>
  <c r="H39" i="1"/>
  <c r="AD39" i="1" s="1"/>
  <c r="H38" i="1"/>
  <c r="AD38" i="1" s="1"/>
  <c r="C41" i="1"/>
  <c r="C50" i="1" s="1"/>
  <c r="C40" i="1"/>
  <c r="C49" i="1" s="1"/>
  <c r="C39" i="1"/>
  <c r="C48" i="1" s="1"/>
  <c r="W47" i="1"/>
  <c r="W48" i="1"/>
  <c r="W49" i="1"/>
  <c r="W50" i="1"/>
  <c r="Y48" i="1"/>
  <c r="Y49" i="1"/>
  <c r="Y50" i="1"/>
  <c r="Y47" i="1"/>
  <c r="C38" i="1"/>
  <c r="C47" i="1" s="1"/>
  <c r="AD41" i="1" l="1"/>
  <c r="C54" i="1"/>
  <c r="C57" i="1"/>
  <c r="C56" i="1"/>
  <c r="C55" i="1"/>
  <c r="AB50" i="1"/>
  <c r="O54" i="1" l="1"/>
  <c r="AB54" i="1" s="1"/>
  <c r="O57" i="1"/>
  <c r="AB57" i="1" s="1"/>
  <c r="O55" i="1"/>
  <c r="AB55" i="1" s="1"/>
  <c r="O56" i="1"/>
  <c r="AB56" i="1" s="1"/>
</calcChain>
</file>

<file path=xl/sharedStrings.xml><?xml version="1.0" encoding="utf-8"?>
<sst xmlns="http://schemas.openxmlformats.org/spreadsheetml/2006/main" count="129" uniqueCount="79">
  <si>
    <t>Customer</t>
  </si>
  <si>
    <t>Address</t>
  </si>
  <si>
    <t>Technicians</t>
  </si>
  <si>
    <t>User</t>
  </si>
  <si>
    <t>Date</t>
  </si>
  <si>
    <t>Temp.</t>
  </si>
  <si>
    <t>°C</t>
  </si>
  <si>
    <t>Humidity</t>
  </si>
  <si>
    <t>%</t>
  </si>
  <si>
    <t>Eqpt. Location</t>
  </si>
  <si>
    <t>Manufacturer</t>
  </si>
  <si>
    <t>Comments:</t>
  </si>
  <si>
    <t>Job #</t>
  </si>
  <si>
    <t>TCF</t>
  </si>
  <si>
    <t>°F</t>
  </si>
  <si>
    <t>Visual and Mechanical Inspection</t>
  </si>
  <si>
    <t>PASS</t>
  </si>
  <si>
    <t>MΩ</t>
  </si>
  <si>
    <t>Substation</t>
  </si>
  <si>
    <t>Identifier</t>
  </si>
  <si>
    <t>Test Equipment Used</t>
  </si>
  <si>
    <t>AMP ID:</t>
  </si>
  <si>
    <t>Megohmmeter:</t>
  </si>
  <si>
    <t>Serial Number:</t>
  </si>
  <si>
    <t>Results</t>
  </si>
  <si>
    <t>NETA Section</t>
  </si>
  <si>
    <t>Select One</t>
  </si>
  <si>
    <t>:</t>
  </si>
  <si>
    <t>Catalog Number</t>
  </si>
  <si>
    <t>Polarity Facing</t>
  </si>
  <si>
    <t>Type</t>
  </si>
  <si>
    <t>Frequency</t>
  </si>
  <si>
    <t>Inspect physical and mechanical condition.</t>
  </si>
  <si>
    <t>Use of a low-resistance ohmmeter in accordance with Section 7.10.1.B.1.</t>
  </si>
  <si>
    <t>Verify that all required grounding and shorting connections provide contact.</t>
  </si>
  <si>
    <t>Neutral</t>
  </si>
  <si>
    <t>Serial #</t>
  </si>
  <si>
    <t>CT Identification</t>
  </si>
  <si>
    <t>Ratio</t>
  </si>
  <si>
    <t>Measured Ratio</t>
  </si>
  <si>
    <t>Ratio dev.</t>
  </si>
  <si>
    <t>Polarity</t>
  </si>
  <si>
    <t>Units</t>
  </si>
  <si>
    <t>CT Ratio Test Set:</t>
  </si>
  <si>
    <t>Voltage Rating (V)</t>
  </si>
  <si>
    <t>7.10.1.A.1</t>
  </si>
  <si>
    <t>7.10.1.A.5</t>
  </si>
  <si>
    <t>7.10.1.A.3</t>
  </si>
  <si>
    <t>7.10.1.A.6</t>
  </si>
  <si>
    <t>Compare equipment nameplate data with drawings and specifications.</t>
  </si>
  <si>
    <t>Verify correct connection of transformers with system requirements.</t>
  </si>
  <si>
    <t>Verify that adequate clearances exist between primary and secondary circuit wiring.</t>
  </si>
  <si>
    <t>7.10.1.A.2</t>
  </si>
  <si>
    <t>7.10.1.A.4</t>
  </si>
  <si>
    <t>Verify the unit is clean.</t>
  </si>
  <si>
    <t>7.10.1.A.7</t>
  </si>
  <si>
    <t>7.10.1.A.8</t>
  </si>
  <si>
    <t>Verify appropriate lubrication on moving current-carrying parts and on moving and sliding surfaces.</t>
  </si>
  <si>
    <t>Phase A</t>
  </si>
  <si>
    <t>Phase B</t>
  </si>
  <si>
    <t>Phase C</t>
  </si>
  <si>
    <t>Electrical - Insulation Resistance Tests</t>
  </si>
  <si>
    <t>Table 100.5 Criteria</t>
  </si>
  <si>
    <t>Value</t>
  </si>
  <si>
    <t>≥</t>
  </si>
  <si>
    <t>Test Voltage (V):</t>
  </si>
  <si>
    <t>Temp. Corrected</t>
  </si>
  <si>
    <t>Measured Values</t>
  </si>
  <si>
    <t>V</t>
  </si>
  <si>
    <t>Primary Winding to Ground</t>
  </si>
  <si>
    <t>Nameplate Data</t>
  </si>
  <si>
    <t>Accuracy Class</t>
  </si>
  <si>
    <t>Phase</t>
  </si>
  <si>
    <t>Calculated Ratio</t>
  </si>
  <si>
    <t>Burden</t>
  </si>
  <si>
    <r>
      <t>Measured Burden (</t>
    </r>
    <r>
      <rPr>
        <sz val="9"/>
        <color theme="1"/>
        <rFont val="Calibri"/>
        <family val="2"/>
      </rPr>
      <t>Ω)</t>
    </r>
  </si>
  <si>
    <t>Ratio and Burden Test</t>
  </si>
  <si>
    <t>Secondary Winding to Ground</t>
  </si>
  <si>
    <t>Electrical - Ratio &amp; Burden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</si>
</sst>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9"/>
      <color rgb="FF351D13"/>
      <name val="Calibri"/>
      <family val="2"/>
      <scheme val="minor"/>
    </font>
    <font>
      <b/>
      <sz val="9"/>
      <color rgb="FF6633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rgb="FF351D13"/>
      <name val="Calibri"/>
      <family val="2"/>
      <scheme val="minor"/>
    </font>
    <font>
      <sz val="9"/>
      <color rgb="FF351D1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/>
      <bottom style="medium">
        <color rgb="FFDAB56C"/>
      </bottom>
      <diagonal/>
    </border>
    <border>
      <left/>
      <right/>
      <top style="thin">
        <color indexed="64"/>
      </top>
      <bottom style="medium">
        <color rgb="FFDAB56C"/>
      </bottom>
      <diagonal/>
    </border>
    <border>
      <left/>
      <right/>
      <top style="medium">
        <color rgb="FFDAB56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6" fillId="0" borderId="0" applyFont="0" applyFill="0" applyBorder="0" applyAlignment="0" applyProtection="0"/>
  </cellStyleXfs>
  <cellXfs count="112">
    <xf numFmtId="0" fontId="0" fillId="0" borderId="0" xfId="0"/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1" applyFont="1"/>
    <xf numFmtId="0" fontId="2" fillId="0" borderId="2" xfId="1" applyFont="1" applyBorder="1" applyAlignment="1">
      <alignment horizontal="center"/>
    </xf>
    <xf numFmtId="0" fontId="8" fillId="2" borderId="11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2" fillId="2" borderId="11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3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 applyProtection="1">
      <alignment horizontal="right" vertical="center"/>
      <protection locked="0"/>
    </xf>
    <xf numFmtId="0" fontId="2" fillId="0" borderId="2" xfId="0" applyFont="1" applyBorder="1" applyAlignment="1" applyProtection="1">
      <alignment horizontal="righ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2" fillId="0" borderId="2" xfId="1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2" fontId="2" fillId="0" borderId="3" xfId="2" applyNumberFormat="1" applyFont="1" applyBorder="1" applyAlignment="1" applyProtection="1">
      <alignment horizontal="center"/>
    </xf>
    <xf numFmtId="2" fontId="2" fillId="0" borderId="2" xfId="2" applyNumberFormat="1" applyFont="1" applyBorder="1" applyAlignment="1" applyProtection="1">
      <alignment horizontal="center"/>
    </xf>
    <xf numFmtId="2" fontId="2" fillId="0" borderId="4" xfId="2" applyNumberFormat="1" applyFont="1" applyBorder="1" applyAlignment="1" applyProtection="1">
      <alignment horizontal="center"/>
    </xf>
    <xf numFmtId="2" fontId="2" fillId="0" borderId="3" xfId="2" applyNumberFormat="1" applyFont="1" applyBorder="1" applyAlignment="1" applyProtection="1">
      <alignment horizontal="center"/>
      <protection locked="0"/>
    </xf>
    <xf numFmtId="2" fontId="2" fillId="0" borderId="2" xfId="2" applyNumberFormat="1" applyFont="1" applyBorder="1" applyAlignment="1" applyProtection="1">
      <alignment horizontal="center"/>
      <protection locked="0"/>
    </xf>
    <xf numFmtId="2" fontId="2" fillId="0" borderId="4" xfId="2" applyNumberFormat="1" applyFont="1" applyBorder="1" applyAlignment="1" applyProtection="1">
      <alignment horizontal="center"/>
      <protection locked="0"/>
    </xf>
    <xf numFmtId="0" fontId="2" fillId="2" borderId="5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2" fillId="2" borderId="1" xfId="0" quotePrefix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right" vertical="center"/>
    </xf>
    <xf numFmtId="0" fontId="13" fillId="2" borderId="0" xfId="0" applyFont="1" applyFill="1" applyAlignment="1" applyProtection="1">
      <alignment horizontal="center" vertical="center" wrapText="1"/>
      <protection locked="0"/>
    </xf>
  </cellXfs>
  <cellStyles count="3">
    <cellStyle name="Comma" xfId="2" builtinId="3"/>
    <cellStyle name="Normal" xfId="0" builtinId="0"/>
    <cellStyle name="Normal 2" xfId="1" xr:uid="{E83B42D4-D5D8-4E63-A629-97CFAD07F8DD}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DAB56C"/>
      <color rgb="FF9C0006"/>
      <color rgb="FFFFC7CE"/>
      <color rgb="FF006100"/>
      <color rgb="FFC6EFCE"/>
      <color rgb="FFC6EFFF"/>
      <color rgb="FF351D13"/>
      <color rgb="FF663300"/>
      <color rgb="FFF26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90"/>
  <sheetViews>
    <sheetView showGridLines="0" tabSelected="1" view="pageLayout" topLeftCell="A28" zoomScale="95" zoomScaleNormal="100" zoomScalePageLayoutView="95" workbookViewId="0">
      <selection activeCell="X38" sqref="X38:AC38"/>
    </sheetView>
  </sheetViews>
  <sheetFormatPr defaultColWidth="2.54296875" defaultRowHeight="11.5" customHeight="1" x14ac:dyDescent="0.35"/>
  <cols>
    <col min="1" max="16384" width="2.54296875" style="2"/>
  </cols>
  <sheetData>
    <row r="1" spans="1:39" ht="5.5" customHeight="1" x14ac:dyDescent="0.35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</row>
    <row r="2" spans="1:39" ht="11.5" customHeight="1" x14ac:dyDescent="0.35">
      <c r="A2" s="78" t="s">
        <v>0</v>
      </c>
      <c r="B2" s="78"/>
      <c r="C2" s="78"/>
      <c r="D2" s="78"/>
      <c r="E2" s="78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4"/>
      <c r="Z2" s="78" t="s">
        <v>12</v>
      </c>
      <c r="AA2" s="78"/>
      <c r="AB2" s="78"/>
      <c r="AC2" s="78"/>
      <c r="AD2" s="78"/>
      <c r="AE2" s="76"/>
      <c r="AF2" s="76"/>
      <c r="AG2" s="76"/>
      <c r="AH2" s="76"/>
      <c r="AI2" s="5"/>
      <c r="AJ2" s="111" t="s">
        <v>16</v>
      </c>
      <c r="AK2" s="111"/>
      <c r="AL2" s="111"/>
      <c r="AM2" s="6"/>
    </row>
    <row r="3" spans="1:39" ht="11.5" customHeight="1" x14ac:dyDescent="0.35">
      <c r="A3" s="78" t="s">
        <v>1</v>
      </c>
      <c r="B3" s="78"/>
      <c r="C3" s="78"/>
      <c r="D3" s="78"/>
      <c r="E3" s="78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4"/>
      <c r="Z3" s="78" t="s">
        <v>2</v>
      </c>
      <c r="AA3" s="78"/>
      <c r="AB3" s="78"/>
      <c r="AC3" s="78"/>
      <c r="AD3" s="78"/>
      <c r="AE3" s="80"/>
      <c r="AF3" s="80"/>
      <c r="AG3" s="80"/>
      <c r="AH3" s="80"/>
      <c r="AI3" s="5"/>
      <c r="AJ3" s="111"/>
      <c r="AK3" s="111"/>
      <c r="AL3" s="111"/>
      <c r="AM3" s="6"/>
    </row>
    <row r="4" spans="1:39" ht="11.5" customHeight="1" x14ac:dyDescent="0.35">
      <c r="A4" s="78" t="s">
        <v>3</v>
      </c>
      <c r="B4" s="78"/>
      <c r="C4" s="78"/>
      <c r="D4" s="78"/>
      <c r="E4" s="78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111"/>
      <c r="AK4" s="111"/>
      <c r="AL4" s="111"/>
      <c r="AM4" s="6"/>
    </row>
    <row r="5" spans="1:39" ht="11.5" customHeight="1" x14ac:dyDescent="0.35">
      <c r="A5" s="78" t="s">
        <v>4</v>
      </c>
      <c r="B5" s="78"/>
      <c r="C5" s="78"/>
      <c r="D5" s="78"/>
      <c r="E5" s="78"/>
      <c r="F5" s="107"/>
      <c r="G5" s="107"/>
      <c r="H5" s="107"/>
      <c r="I5" s="107"/>
      <c r="J5" s="5"/>
      <c r="K5" s="102" t="s">
        <v>5</v>
      </c>
      <c r="L5" s="102"/>
      <c r="M5" s="76">
        <v>68</v>
      </c>
      <c r="N5" s="76"/>
      <c r="O5" s="5" t="s">
        <v>14</v>
      </c>
      <c r="P5" s="103">
        <f>ROUND((M5-32)*5/9,1)</f>
        <v>20</v>
      </c>
      <c r="Q5" s="103"/>
      <c r="R5" s="5" t="s">
        <v>6</v>
      </c>
      <c r="S5" s="5"/>
      <c r="T5" s="102" t="s">
        <v>13</v>
      </c>
      <c r="U5" s="102"/>
      <c r="V5" s="104">
        <f>ROUND(0.1758*EXP(0.0256*M5),3)</f>
        <v>1.002</v>
      </c>
      <c r="W5" s="105"/>
      <c r="X5" s="105"/>
      <c r="Y5" s="5"/>
      <c r="Z5" s="78" t="s">
        <v>18</v>
      </c>
      <c r="AA5" s="78"/>
      <c r="AB5" s="78"/>
      <c r="AC5" s="78"/>
      <c r="AD5" s="78"/>
      <c r="AE5" s="108"/>
      <c r="AF5" s="108"/>
      <c r="AG5" s="108"/>
      <c r="AH5" s="108"/>
      <c r="AI5" s="108"/>
      <c r="AJ5" s="108"/>
      <c r="AK5" s="108"/>
      <c r="AL5" s="108"/>
      <c r="AM5" s="5"/>
    </row>
    <row r="6" spans="1:39" ht="11.5" customHeight="1" x14ac:dyDescent="0.35">
      <c r="A6" s="78" t="s">
        <v>19</v>
      </c>
      <c r="B6" s="78"/>
      <c r="C6" s="78"/>
      <c r="D6" s="78"/>
      <c r="E6" s="78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102" t="s">
        <v>7</v>
      </c>
      <c r="T6" s="102"/>
      <c r="U6" s="102"/>
      <c r="V6" s="102"/>
      <c r="W6" s="1"/>
      <c r="X6" s="8" t="s">
        <v>8</v>
      </c>
      <c r="Y6" s="5"/>
      <c r="Z6" s="78" t="s">
        <v>9</v>
      </c>
      <c r="AA6" s="78"/>
      <c r="AB6" s="78"/>
      <c r="AC6" s="78"/>
      <c r="AD6" s="78"/>
      <c r="AE6" s="106"/>
      <c r="AF6" s="106"/>
      <c r="AG6" s="106"/>
      <c r="AH6" s="106"/>
      <c r="AI6" s="106"/>
      <c r="AJ6" s="106"/>
      <c r="AK6" s="106"/>
      <c r="AL6" s="106"/>
      <c r="AM6" s="5"/>
    </row>
    <row r="7" spans="1:39" ht="11.5" customHeight="1" thickBot="1" x14ac:dyDescent="0.4">
      <c r="A7" s="9"/>
      <c r="B7" s="9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spans="1:39" ht="11.5" customHeight="1" x14ac:dyDescent="0.35">
      <c r="A8" s="11" t="s">
        <v>70</v>
      </c>
      <c r="B8" s="12"/>
      <c r="C8" s="12"/>
      <c r="D8" s="12"/>
      <c r="E8" s="12"/>
      <c r="F8" s="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5"/>
      <c r="X8" s="7"/>
      <c r="Y8" s="5"/>
      <c r="Z8" s="13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ht="11.5" customHeight="1" x14ac:dyDescent="0.35">
      <c r="A9" s="11"/>
      <c r="B9" s="12"/>
      <c r="C9" s="12"/>
      <c r="D9" s="12"/>
      <c r="E9" s="12"/>
      <c r="F9" s="4"/>
      <c r="G9" s="7"/>
      <c r="H9" s="77" t="s">
        <v>72</v>
      </c>
      <c r="I9" s="77"/>
      <c r="J9" s="77"/>
      <c r="K9" s="77"/>
      <c r="L9" s="77"/>
      <c r="M9" s="14"/>
      <c r="N9" s="77" t="s">
        <v>35</v>
      </c>
      <c r="O9" s="77"/>
      <c r="P9" s="77"/>
      <c r="Q9" s="77"/>
      <c r="R9" s="77"/>
      <c r="S9" s="14"/>
      <c r="T9" s="14"/>
      <c r="U9" s="14"/>
      <c r="V9" s="14"/>
      <c r="W9" s="4"/>
      <c r="X9" s="14"/>
      <c r="Y9" s="15"/>
      <c r="Z9" s="15"/>
      <c r="AA9" s="77" t="s">
        <v>72</v>
      </c>
      <c r="AB9" s="77"/>
      <c r="AC9" s="77"/>
      <c r="AD9" s="77"/>
      <c r="AE9" s="77"/>
      <c r="AF9" s="14"/>
      <c r="AG9" s="77" t="s">
        <v>35</v>
      </c>
      <c r="AH9" s="77"/>
      <c r="AI9" s="77"/>
      <c r="AJ9" s="77"/>
      <c r="AK9" s="77"/>
      <c r="AL9" s="5"/>
      <c r="AM9" s="5"/>
    </row>
    <row r="10" spans="1:39" ht="11.5" customHeight="1" x14ac:dyDescent="0.35">
      <c r="A10" s="11"/>
      <c r="B10" s="12"/>
      <c r="C10" s="12"/>
      <c r="D10" s="12"/>
      <c r="E10" s="12"/>
      <c r="F10" s="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5"/>
      <c r="X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5"/>
      <c r="AM10" s="5"/>
    </row>
    <row r="11" spans="1:39" ht="11.5" customHeight="1" x14ac:dyDescent="0.35">
      <c r="A11" s="16"/>
      <c r="C11" s="78" t="s">
        <v>10</v>
      </c>
      <c r="D11" s="78"/>
      <c r="E11" s="78"/>
      <c r="F11" s="78"/>
      <c r="G11" s="78"/>
      <c r="H11" s="76"/>
      <c r="I11" s="76"/>
      <c r="J11" s="76"/>
      <c r="K11" s="76"/>
      <c r="L11" s="76"/>
      <c r="M11" s="5"/>
      <c r="N11" s="76"/>
      <c r="O11" s="76"/>
      <c r="P11" s="76"/>
      <c r="Q11" s="76"/>
      <c r="R11" s="76"/>
      <c r="U11" s="79" t="s">
        <v>44</v>
      </c>
      <c r="V11" s="79"/>
      <c r="W11" s="79"/>
      <c r="X11" s="79"/>
      <c r="Y11" s="79"/>
      <c r="AA11" s="76"/>
      <c r="AB11" s="76"/>
      <c r="AC11" s="76"/>
      <c r="AD11" s="76"/>
      <c r="AE11" s="76"/>
      <c r="AG11" s="76"/>
      <c r="AH11" s="76"/>
      <c r="AI11" s="76"/>
      <c r="AJ11" s="76"/>
      <c r="AK11" s="76"/>
      <c r="AM11" s="5"/>
    </row>
    <row r="12" spans="1:39" ht="11.5" customHeight="1" x14ac:dyDescent="0.35">
      <c r="A12" s="16"/>
      <c r="C12" s="78" t="s">
        <v>28</v>
      </c>
      <c r="D12" s="78"/>
      <c r="E12" s="78"/>
      <c r="F12" s="78"/>
      <c r="G12" s="78"/>
      <c r="H12" s="80"/>
      <c r="I12" s="80"/>
      <c r="J12" s="80"/>
      <c r="K12" s="80"/>
      <c r="L12" s="80"/>
      <c r="M12" s="5"/>
      <c r="N12" s="80"/>
      <c r="O12" s="80"/>
      <c r="P12" s="80"/>
      <c r="Q12" s="80"/>
      <c r="R12" s="80"/>
      <c r="U12" s="79" t="s">
        <v>31</v>
      </c>
      <c r="V12" s="79"/>
      <c r="W12" s="79"/>
      <c r="X12" s="79"/>
      <c r="Y12" s="79"/>
      <c r="AA12" s="76"/>
      <c r="AB12" s="76"/>
      <c r="AC12" s="76"/>
      <c r="AD12" s="76"/>
      <c r="AE12" s="76"/>
      <c r="AG12" s="76"/>
      <c r="AH12" s="76"/>
      <c r="AI12" s="76"/>
      <c r="AJ12" s="76"/>
      <c r="AK12" s="76"/>
      <c r="AM12" s="5"/>
    </row>
    <row r="13" spans="1:39" ht="11.5" customHeight="1" x14ac:dyDescent="0.35">
      <c r="A13" s="16"/>
      <c r="C13" s="78" t="s">
        <v>30</v>
      </c>
      <c r="D13" s="78"/>
      <c r="E13" s="78"/>
      <c r="F13" s="78"/>
      <c r="G13" s="78"/>
      <c r="H13" s="80"/>
      <c r="I13" s="80"/>
      <c r="J13" s="80"/>
      <c r="K13" s="80"/>
      <c r="L13" s="80"/>
      <c r="M13" s="5"/>
      <c r="N13" s="80"/>
      <c r="O13" s="80"/>
      <c r="P13" s="80"/>
      <c r="Q13" s="80"/>
      <c r="R13" s="80"/>
      <c r="U13" s="78" t="s">
        <v>74</v>
      </c>
      <c r="V13" s="78"/>
      <c r="W13" s="78"/>
      <c r="X13" s="78"/>
      <c r="Y13" s="78"/>
      <c r="Z13" s="3"/>
      <c r="AA13" s="76"/>
      <c r="AB13" s="76"/>
      <c r="AC13" s="76"/>
      <c r="AD13" s="76"/>
      <c r="AE13" s="76"/>
      <c r="AG13" s="76"/>
      <c r="AH13" s="76"/>
      <c r="AI13" s="76"/>
      <c r="AJ13" s="76"/>
      <c r="AK13" s="76"/>
      <c r="AM13" s="5"/>
    </row>
    <row r="14" spans="1:39" ht="11.5" customHeight="1" x14ac:dyDescent="0.35">
      <c r="A14" s="16"/>
      <c r="C14" s="78" t="s">
        <v>71</v>
      </c>
      <c r="D14" s="78"/>
      <c r="E14" s="78"/>
      <c r="F14" s="78"/>
      <c r="G14" s="78"/>
      <c r="H14" s="80"/>
      <c r="I14" s="80"/>
      <c r="J14" s="80"/>
      <c r="K14" s="80"/>
      <c r="L14" s="80"/>
      <c r="M14" s="5"/>
      <c r="N14" s="80"/>
      <c r="O14" s="80"/>
      <c r="P14" s="80"/>
      <c r="Q14" s="80"/>
      <c r="R14" s="80"/>
      <c r="U14" s="78" t="s">
        <v>29</v>
      </c>
      <c r="V14" s="78"/>
      <c r="W14" s="78"/>
      <c r="X14" s="78"/>
      <c r="Y14" s="78"/>
      <c r="Z14" s="5"/>
      <c r="AA14" s="80"/>
      <c r="AB14" s="80"/>
      <c r="AC14" s="80"/>
      <c r="AD14" s="80"/>
      <c r="AE14" s="76"/>
      <c r="AG14" s="5"/>
      <c r="AH14" s="5"/>
      <c r="AI14" s="5"/>
      <c r="AJ14" s="5"/>
      <c r="AK14" s="5"/>
      <c r="AM14" s="5"/>
    </row>
    <row r="15" spans="1:39" ht="11.5" customHeight="1" thickBot="1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1:39" ht="11.5" customHeight="1" x14ac:dyDescent="0.35">
      <c r="A16" s="11" t="s">
        <v>15</v>
      </c>
      <c r="B16" s="18"/>
      <c r="C16" s="18"/>
      <c r="D16" s="18"/>
      <c r="E16" s="18"/>
      <c r="F16" s="18"/>
      <c r="G16" s="18"/>
      <c r="H16" s="18"/>
      <c r="I16" s="18"/>
      <c r="J16" s="4"/>
      <c r="K16" s="4"/>
      <c r="L16" s="3"/>
      <c r="M16" s="5"/>
      <c r="N16" s="7"/>
      <c r="O16" s="7"/>
      <c r="P16" s="7"/>
      <c r="Q16" s="7"/>
      <c r="R16" s="7"/>
      <c r="S16" s="7"/>
      <c r="T16" s="7"/>
      <c r="U16" s="7"/>
      <c r="V16" s="19"/>
      <c r="W16" s="19"/>
      <c r="X16" s="19"/>
      <c r="Y16" s="3"/>
      <c r="Z16" s="3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11.5" customHeigh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11.5" customHeight="1" x14ac:dyDescent="0.35">
      <c r="B18" s="5" t="s">
        <v>25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 t="s">
        <v>24</v>
      </c>
      <c r="AI18" s="5"/>
      <c r="AJ18" s="5"/>
      <c r="AK18" s="5"/>
      <c r="AL18" s="5"/>
      <c r="AM18" s="5"/>
    </row>
    <row r="19" spans="1:39" ht="11.5" customHeight="1" x14ac:dyDescent="0.35">
      <c r="B19" s="91" t="s">
        <v>45</v>
      </c>
      <c r="C19" s="91"/>
      <c r="D19" s="91"/>
      <c r="E19" s="91"/>
      <c r="F19" s="92" t="s">
        <v>49</v>
      </c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4"/>
      <c r="AH19" s="95" t="s">
        <v>26</v>
      </c>
      <c r="AI19" s="95"/>
      <c r="AJ19" s="95"/>
      <c r="AK19" s="95"/>
      <c r="AL19" s="95"/>
      <c r="AM19" s="5"/>
    </row>
    <row r="20" spans="1:39" ht="11.5" customHeight="1" x14ac:dyDescent="0.35">
      <c r="B20" s="91" t="s">
        <v>52</v>
      </c>
      <c r="C20" s="91"/>
      <c r="D20" s="91"/>
      <c r="E20" s="91"/>
      <c r="F20" s="92" t="s">
        <v>32</v>
      </c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4"/>
      <c r="AH20" s="99" t="s">
        <v>26</v>
      </c>
      <c r="AI20" s="80"/>
      <c r="AJ20" s="80"/>
      <c r="AK20" s="80"/>
      <c r="AL20" s="100"/>
      <c r="AM20" s="5"/>
    </row>
    <row r="21" spans="1:39" ht="11.5" customHeight="1" x14ac:dyDescent="0.35">
      <c r="B21" s="91" t="s">
        <v>47</v>
      </c>
      <c r="C21" s="91"/>
      <c r="D21" s="91"/>
      <c r="E21" s="91"/>
      <c r="F21" s="92" t="s">
        <v>50</v>
      </c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4"/>
      <c r="AH21" s="95" t="s">
        <v>26</v>
      </c>
      <c r="AI21" s="95"/>
      <c r="AJ21" s="95"/>
      <c r="AK21" s="95"/>
      <c r="AL21" s="95"/>
      <c r="AM21" s="5"/>
    </row>
    <row r="22" spans="1:39" ht="11" customHeight="1" x14ac:dyDescent="0.35">
      <c r="B22" s="91" t="s">
        <v>53</v>
      </c>
      <c r="C22" s="91"/>
      <c r="D22" s="91"/>
      <c r="E22" s="91"/>
      <c r="F22" s="96" t="s">
        <v>51</v>
      </c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8"/>
      <c r="AH22" s="95" t="s">
        <v>26</v>
      </c>
      <c r="AI22" s="95"/>
      <c r="AJ22" s="95"/>
      <c r="AK22" s="95"/>
      <c r="AL22" s="95"/>
      <c r="AM22" s="5"/>
    </row>
    <row r="23" spans="1:39" ht="11" customHeight="1" x14ac:dyDescent="0.35">
      <c r="B23" s="91" t="s">
        <v>46</v>
      </c>
      <c r="C23" s="91"/>
      <c r="D23" s="91"/>
      <c r="E23" s="91"/>
      <c r="F23" s="96" t="s">
        <v>54</v>
      </c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8"/>
      <c r="AH23" s="95" t="s">
        <v>26</v>
      </c>
      <c r="AI23" s="95"/>
      <c r="AJ23" s="95"/>
      <c r="AK23" s="95"/>
      <c r="AL23" s="95"/>
      <c r="AM23" s="5"/>
    </row>
    <row r="24" spans="1:39" ht="11" customHeight="1" x14ac:dyDescent="0.35">
      <c r="B24" s="91" t="s">
        <v>48</v>
      </c>
      <c r="C24" s="91"/>
      <c r="D24" s="91"/>
      <c r="E24" s="91"/>
      <c r="F24" s="92" t="s">
        <v>33</v>
      </c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4"/>
      <c r="AH24" s="95" t="s">
        <v>26</v>
      </c>
      <c r="AI24" s="95"/>
      <c r="AJ24" s="95"/>
      <c r="AK24" s="95"/>
      <c r="AL24" s="95"/>
      <c r="AM24" s="5"/>
    </row>
    <row r="25" spans="1:39" ht="11" customHeight="1" x14ac:dyDescent="0.35">
      <c r="B25" s="91" t="s">
        <v>55</v>
      </c>
      <c r="C25" s="91"/>
      <c r="D25" s="91"/>
      <c r="E25" s="91"/>
      <c r="F25" s="96" t="s">
        <v>34</v>
      </c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8"/>
      <c r="AH25" s="95" t="s">
        <v>26</v>
      </c>
      <c r="AI25" s="95"/>
      <c r="AJ25" s="95"/>
      <c r="AK25" s="95"/>
      <c r="AL25" s="95"/>
      <c r="AM25" s="5"/>
    </row>
    <row r="26" spans="1:39" ht="11" customHeight="1" x14ac:dyDescent="0.35">
      <c r="B26" s="91" t="s">
        <v>56</v>
      </c>
      <c r="C26" s="91"/>
      <c r="D26" s="91"/>
      <c r="E26" s="91"/>
      <c r="F26" s="96" t="s">
        <v>57</v>
      </c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8"/>
      <c r="AH26" s="95" t="s">
        <v>26</v>
      </c>
      <c r="AI26" s="95"/>
      <c r="AJ26" s="95"/>
      <c r="AK26" s="95"/>
      <c r="AL26" s="95"/>
      <c r="AM26" s="5"/>
    </row>
    <row r="27" spans="1:39" ht="11" customHeight="1" thickBot="1" x14ac:dyDescent="0.4">
      <c r="A27" s="21"/>
      <c r="B27" s="21"/>
      <c r="C27" s="21"/>
      <c r="D27" s="21"/>
      <c r="E27" s="21"/>
      <c r="F27" s="21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9"/>
      <c r="AL27" s="9"/>
      <c r="AM27" s="9"/>
    </row>
    <row r="28" spans="1:39" ht="11" customHeight="1" x14ac:dyDescent="0.35">
      <c r="A28" s="11" t="s">
        <v>37</v>
      </c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9" ht="11" customHeight="1" x14ac:dyDescent="0.35">
      <c r="B29" s="5"/>
      <c r="C29" s="5"/>
      <c r="D29" s="5"/>
      <c r="E29" s="5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5"/>
      <c r="AI29" s="5"/>
      <c r="AJ29" s="5"/>
      <c r="AK29" s="5"/>
      <c r="AL29" s="5"/>
      <c r="AM29" s="5"/>
    </row>
    <row r="30" spans="1:39" ht="11" customHeight="1" x14ac:dyDescent="0.3">
      <c r="C30" s="67" t="s">
        <v>58</v>
      </c>
      <c r="D30" s="67"/>
      <c r="E30" s="67"/>
      <c r="F30" s="81"/>
      <c r="G30" s="81"/>
      <c r="H30" s="81"/>
      <c r="I30" s="81"/>
      <c r="J30" s="81"/>
      <c r="K30" s="24"/>
      <c r="L30" s="67" t="s">
        <v>59</v>
      </c>
      <c r="M30" s="67"/>
      <c r="N30" s="67"/>
      <c r="O30" s="81"/>
      <c r="P30" s="81"/>
      <c r="Q30" s="81"/>
      <c r="R30" s="81"/>
      <c r="S30" s="81"/>
      <c r="U30" s="67" t="s">
        <v>60</v>
      </c>
      <c r="V30" s="67"/>
      <c r="W30" s="67"/>
      <c r="X30" s="81"/>
      <c r="Y30" s="81"/>
      <c r="Z30" s="81"/>
      <c r="AA30" s="81"/>
      <c r="AB30" s="81"/>
      <c r="AD30" s="67" t="s">
        <v>35</v>
      </c>
      <c r="AE30" s="67"/>
      <c r="AF30" s="67"/>
      <c r="AG30" s="81"/>
      <c r="AH30" s="81"/>
      <c r="AI30" s="81"/>
      <c r="AJ30" s="81"/>
      <c r="AK30" s="81"/>
      <c r="AM30" s="24"/>
    </row>
    <row r="31" spans="1:39" ht="11" customHeight="1" x14ac:dyDescent="0.3">
      <c r="C31" s="67" t="s">
        <v>36</v>
      </c>
      <c r="D31" s="67"/>
      <c r="E31" s="67"/>
      <c r="F31" s="68"/>
      <c r="G31" s="68"/>
      <c r="H31" s="68"/>
      <c r="I31" s="68"/>
      <c r="J31" s="68"/>
      <c r="K31" s="24"/>
      <c r="L31" s="67" t="s">
        <v>36</v>
      </c>
      <c r="M31" s="67"/>
      <c r="N31" s="67"/>
      <c r="O31" s="68"/>
      <c r="P31" s="68"/>
      <c r="Q31" s="68"/>
      <c r="R31" s="68"/>
      <c r="S31" s="68"/>
      <c r="U31" s="67" t="s">
        <v>36</v>
      </c>
      <c r="V31" s="67"/>
      <c r="W31" s="67"/>
      <c r="X31" s="68"/>
      <c r="Y31" s="68"/>
      <c r="Z31" s="68"/>
      <c r="AA31" s="68"/>
      <c r="AB31" s="68"/>
      <c r="AD31" s="67" t="s">
        <v>36</v>
      </c>
      <c r="AE31" s="67"/>
      <c r="AF31" s="67"/>
      <c r="AG31" s="68"/>
      <c r="AH31" s="68"/>
      <c r="AI31" s="68"/>
      <c r="AJ31" s="68"/>
      <c r="AK31" s="68"/>
      <c r="AM31" s="24"/>
    </row>
    <row r="32" spans="1:39" ht="11" customHeight="1" x14ac:dyDescent="0.3">
      <c r="C32" s="67" t="s">
        <v>38</v>
      </c>
      <c r="D32" s="67"/>
      <c r="E32" s="67"/>
      <c r="F32" s="68"/>
      <c r="G32" s="68"/>
      <c r="H32" s="25" t="s">
        <v>27</v>
      </c>
      <c r="I32" s="68"/>
      <c r="J32" s="68"/>
      <c r="K32" s="24"/>
      <c r="L32" s="67" t="s">
        <v>38</v>
      </c>
      <c r="M32" s="67"/>
      <c r="N32" s="67"/>
      <c r="O32" s="68"/>
      <c r="P32" s="68"/>
      <c r="Q32" s="25" t="s">
        <v>27</v>
      </c>
      <c r="R32" s="68"/>
      <c r="S32" s="68"/>
      <c r="U32" s="67" t="s">
        <v>38</v>
      </c>
      <c r="V32" s="67"/>
      <c r="W32" s="67"/>
      <c r="X32" s="68"/>
      <c r="Y32" s="68"/>
      <c r="Z32" s="25" t="s">
        <v>27</v>
      </c>
      <c r="AA32" s="68"/>
      <c r="AB32" s="68"/>
      <c r="AD32" s="67" t="s">
        <v>38</v>
      </c>
      <c r="AE32" s="67"/>
      <c r="AF32" s="67"/>
      <c r="AG32" s="68"/>
      <c r="AH32" s="68"/>
      <c r="AI32" s="25" t="s">
        <v>27</v>
      </c>
      <c r="AJ32" s="68"/>
      <c r="AK32" s="68"/>
      <c r="AM32" s="24"/>
    </row>
    <row r="33" spans="1:39" ht="11.5" customHeight="1" thickBot="1" x14ac:dyDescent="0.4">
      <c r="A33" s="21"/>
      <c r="B33" s="21"/>
      <c r="C33" s="21"/>
      <c r="D33" s="21"/>
      <c r="E33" s="21"/>
      <c r="F33" s="2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9"/>
      <c r="AL33" s="9"/>
      <c r="AM33" s="9"/>
    </row>
    <row r="34" spans="1:39" ht="11.5" customHeight="1" x14ac:dyDescent="0.35">
      <c r="A34" s="26" t="s">
        <v>78</v>
      </c>
      <c r="B34" s="27"/>
      <c r="C34" s="27"/>
      <c r="D34" s="27"/>
      <c r="E34" s="27"/>
      <c r="F34" s="27"/>
      <c r="G34" s="28"/>
      <c r="H34" s="2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9" ht="11.5" customHeight="1" x14ac:dyDescent="0.35">
      <c r="A35" s="29"/>
      <c r="B35" s="3"/>
      <c r="C35" s="3"/>
      <c r="D35" s="3"/>
      <c r="AF35" s="5"/>
      <c r="AG35" s="5"/>
      <c r="AH35" s="5"/>
      <c r="AI35" s="5"/>
      <c r="AJ35" s="5"/>
      <c r="AK35" s="5"/>
      <c r="AL35" s="5"/>
      <c r="AM35" s="5"/>
    </row>
    <row r="36" spans="1:39" ht="11.5" customHeight="1" x14ac:dyDescent="0.3">
      <c r="A36" s="23"/>
      <c r="C36" s="63" t="s">
        <v>76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H36" s="30"/>
      <c r="AI36" s="30"/>
      <c r="AJ36" s="30"/>
      <c r="AK36" s="30"/>
      <c r="AL36" s="30"/>
      <c r="AM36" s="23"/>
    </row>
    <row r="37" spans="1:39" ht="11.5" customHeight="1" x14ac:dyDescent="0.3">
      <c r="A37" s="23"/>
      <c r="C37" s="41" t="s">
        <v>19</v>
      </c>
      <c r="D37" s="41"/>
      <c r="E37" s="41"/>
      <c r="F37" s="41"/>
      <c r="G37" s="41"/>
      <c r="H37" s="82" t="s">
        <v>73</v>
      </c>
      <c r="I37" s="83"/>
      <c r="J37" s="83"/>
      <c r="K37" s="83"/>
      <c r="L37" s="84"/>
      <c r="M37" s="82" t="s">
        <v>39</v>
      </c>
      <c r="N37" s="83"/>
      <c r="O37" s="83"/>
      <c r="P37" s="83"/>
      <c r="Q37" s="84"/>
      <c r="R37" s="82" t="s">
        <v>40</v>
      </c>
      <c r="S37" s="83"/>
      <c r="T37" s="84"/>
      <c r="U37" s="41" t="s">
        <v>41</v>
      </c>
      <c r="V37" s="41"/>
      <c r="W37" s="41"/>
      <c r="X37" s="51" t="s">
        <v>75</v>
      </c>
      <c r="Y37" s="51"/>
      <c r="Z37" s="51"/>
      <c r="AA37" s="51"/>
      <c r="AB37" s="51"/>
      <c r="AC37" s="51"/>
      <c r="AD37" s="51" t="s">
        <v>24</v>
      </c>
      <c r="AE37" s="51"/>
      <c r="AF37" s="51"/>
    </row>
    <row r="38" spans="1:39" ht="11.5" customHeight="1" x14ac:dyDescent="0.3">
      <c r="A38" s="23"/>
      <c r="C38" s="63" t="str">
        <f>IF(F30="","",F30)</f>
        <v/>
      </c>
      <c r="D38" s="63"/>
      <c r="E38" s="63"/>
      <c r="F38" s="63"/>
      <c r="G38" s="69"/>
      <c r="H38" s="69" t="str">
        <f>IF(F32&amp;I32="","",(F32/I32))</f>
        <v/>
      </c>
      <c r="I38" s="70"/>
      <c r="J38" s="70"/>
      <c r="K38" s="70"/>
      <c r="L38" s="71"/>
      <c r="M38" s="72"/>
      <c r="N38" s="73"/>
      <c r="O38" s="73"/>
      <c r="P38" s="73"/>
      <c r="Q38" s="74"/>
      <c r="R38" s="85" t="str">
        <f>IF(M38="","",(((H38)-(M38))/(H38))*100)</f>
        <v/>
      </c>
      <c r="S38" s="86"/>
      <c r="T38" s="87"/>
      <c r="U38" s="54"/>
      <c r="V38" s="54"/>
      <c r="W38" s="54"/>
      <c r="X38" s="75"/>
      <c r="Y38" s="75"/>
      <c r="Z38" s="75"/>
      <c r="AA38" s="75"/>
      <c r="AB38" s="75"/>
      <c r="AC38" s="75"/>
      <c r="AD38" s="39" t="str">
        <f>IF(OR($H$14="", $AA$13=""),"",
   IF(
      AND(
         U38="YES",
         IF($H$14="Revenue Metering", R38&lt;0.1, R38&lt;1.2),
         OR(
            AND($AA$13="B-0.1", X38&lt;=0.09),
            AND($AA$13="B-0.2", X38&lt;=0.18),
            AND($AA$13="B-0.5", X38&lt;=0.45),
            AND($AA$13="B-0.9", X38&lt;=0.81),
            AND($AA$13="B-1.8", X38&lt;=1.62),
            AND($AA$13="B-1",  X38&lt;=0.5),
            AND($AA$13="B-2",  X38&lt;=1),
            AND($AA$13="B-4",  X38&lt;=2),
            AND($AA$13="B-8",  X38&lt;=4)
         )
      ),
      "Pass",
      "Fail"
   )
)</f>
        <v/>
      </c>
      <c r="AE38" s="39"/>
      <c r="AF38" s="39"/>
    </row>
    <row r="39" spans="1:39" ht="11.5" customHeight="1" x14ac:dyDescent="0.3">
      <c r="A39" s="23"/>
      <c r="C39" s="63" t="str">
        <f>IF(O30="","",O30)</f>
        <v/>
      </c>
      <c r="D39" s="63"/>
      <c r="E39" s="63"/>
      <c r="F39" s="63"/>
      <c r="G39" s="69"/>
      <c r="H39" s="69" t="str">
        <f>IF(O32&amp;R32="","",(O32/R32))</f>
        <v/>
      </c>
      <c r="I39" s="70"/>
      <c r="J39" s="70"/>
      <c r="K39" s="70"/>
      <c r="L39" s="71"/>
      <c r="M39" s="72"/>
      <c r="N39" s="73"/>
      <c r="O39" s="73"/>
      <c r="P39" s="73"/>
      <c r="Q39" s="74"/>
      <c r="R39" s="85" t="str">
        <f t="shared" ref="R39:R41" si="0">IF(M39="","",(((H39)-(M39))/(H39))*100)</f>
        <v/>
      </c>
      <c r="S39" s="86"/>
      <c r="T39" s="87"/>
      <c r="U39" s="54"/>
      <c r="V39" s="54"/>
      <c r="W39" s="54"/>
      <c r="X39" s="75"/>
      <c r="Y39" s="75"/>
      <c r="Z39" s="75"/>
      <c r="AA39" s="75"/>
      <c r="AB39" s="75"/>
      <c r="AC39" s="75"/>
      <c r="AD39" s="39" t="str">
        <f>IF(OR($H$14="", $AA$13=""),"",
   IF(
      AND(
         U39="YES",
         IF($H$14="Revenue Metering", R39&lt;0.1, R39&lt;1.2),
         OR(
            AND($AA$13="B-0.1", X39&lt;=0.09),
            AND($AA$13="B-0.2", X39&lt;=0.18),
            AND($AA$13="B-0.5", X39&lt;=0.45),
            AND($AA$13="B-0.9", X39&lt;=0.81),
            AND($AA$13="B-1.8", X39&lt;=1.62),
            AND($AA$13="B-1",  X39&lt;=0.5),
            AND($AA$13="B-2",  X39&lt;=1),
            AND($AA$13="B-4",  X39&lt;=2),
            AND($AA$13="B-8",  X39&lt;=4)
         )
      ),
      "Pass",
      "Fail"
   )
)</f>
        <v/>
      </c>
      <c r="AE39" s="39"/>
      <c r="AF39" s="39"/>
    </row>
    <row r="40" spans="1:39" ht="11.5" customHeight="1" x14ac:dyDescent="0.3">
      <c r="A40" s="23"/>
      <c r="C40" s="63" t="str">
        <f>IF(X30="","",X30)</f>
        <v/>
      </c>
      <c r="D40" s="63"/>
      <c r="E40" s="63"/>
      <c r="F40" s="63"/>
      <c r="G40" s="69"/>
      <c r="H40" s="69" t="str">
        <f>IF(X32&amp;AA32="","",(X32/AA32))</f>
        <v/>
      </c>
      <c r="I40" s="70"/>
      <c r="J40" s="70"/>
      <c r="K40" s="70"/>
      <c r="L40" s="71"/>
      <c r="M40" s="72"/>
      <c r="N40" s="73"/>
      <c r="O40" s="73"/>
      <c r="P40" s="73"/>
      <c r="Q40" s="74"/>
      <c r="R40" s="88" t="str">
        <f t="shared" si="0"/>
        <v/>
      </c>
      <c r="S40" s="89"/>
      <c r="T40" s="90"/>
      <c r="U40" s="54"/>
      <c r="V40" s="54"/>
      <c r="W40" s="54"/>
      <c r="X40" s="75"/>
      <c r="Y40" s="75"/>
      <c r="Z40" s="75"/>
      <c r="AA40" s="75"/>
      <c r="AB40" s="75"/>
      <c r="AC40" s="75"/>
      <c r="AD40" s="39" t="str">
        <f>IF(OR($H$14="", $AA$13=""),"",
   IF(
      AND(
         U40="YES",
         IF($H$14="Revenue Metering", R40&lt;0.1, R40&lt;1.2),
         OR(
            AND($AA$13="B-0.1", X40&lt;=0.09),
            AND($AA$13="B-0.2", X40&lt;=0.18),
            AND($AA$13="B-0.5", X40&lt;=0.45),
            AND($AA$13="B-0.9", X40&lt;=0.81),
            AND($AA$13="B-1.8", X40&lt;=1.62),
            AND($AA$13="B-1",  X40&lt;=0.5),
            AND($AA$13="B-2",  X40&lt;=1),
            AND($AA$13="B-4",  X40&lt;=2),
            AND($AA$13="B-8",  X40&lt;=4)
         )
      ),
      "Pass",
      "Fail"
   )
)</f>
        <v/>
      </c>
      <c r="AE40" s="39"/>
      <c r="AF40" s="39"/>
    </row>
    <row r="41" spans="1:39" ht="11.5" customHeight="1" x14ac:dyDescent="0.3">
      <c r="A41" s="23"/>
      <c r="C41" s="63" t="str">
        <f>IF(AG30="","",AG30)</f>
        <v/>
      </c>
      <c r="D41" s="63"/>
      <c r="E41" s="63"/>
      <c r="F41" s="63"/>
      <c r="G41" s="69"/>
      <c r="H41" s="69" t="str">
        <f>IF(AG32&amp;AJ32="","",(AG32/AJ32))</f>
        <v/>
      </c>
      <c r="I41" s="70"/>
      <c r="J41" s="70"/>
      <c r="K41" s="70"/>
      <c r="L41" s="71"/>
      <c r="M41" s="72"/>
      <c r="N41" s="73"/>
      <c r="O41" s="73"/>
      <c r="P41" s="73"/>
      <c r="Q41" s="74"/>
      <c r="R41" s="85" t="str">
        <f t="shared" si="0"/>
        <v/>
      </c>
      <c r="S41" s="86"/>
      <c r="T41" s="87"/>
      <c r="U41" s="54"/>
      <c r="V41" s="54"/>
      <c r="W41" s="54"/>
      <c r="X41" s="75"/>
      <c r="Y41" s="75"/>
      <c r="Z41" s="75"/>
      <c r="AA41" s="75"/>
      <c r="AB41" s="75"/>
      <c r="AC41" s="75"/>
      <c r="AD41" s="39" t="str">
        <f>IF(OR(N14="",AG13=""),"",
   IF(
      AND(
         U41="YES",
         IF(N14="Revenue Metering", R41&lt;0.1, R41&lt;1.2),
         OR(
            AND(AG13="B-0.1", X41&lt;=0.09),
            AND(AG13="B-0.2", X41&lt;=0.18),
            AND(AG13="B-0.5", X41&lt;=0.45),
            AND(AG13="B-0.9", X41&lt;=0.81),
            AND(AG13="B-1.8", X41&lt;=1.62),
            AND(AG13="B-1",  X41&lt;=0.5),
            AND(AG13="B-2",  X41&lt;=1),
            AND(AG13="B-4",  X41&lt;=2),
            AND(AG13="B-8",  X41&lt;=4)
         )
      ),
      "Pass",
      "Fail"
   )
)</f>
        <v/>
      </c>
      <c r="AE41" s="39"/>
      <c r="AF41" s="39"/>
    </row>
    <row r="42" spans="1:39" ht="11.5" customHeight="1" thickBot="1" x14ac:dyDescent="0.4">
      <c r="A42" s="21"/>
      <c r="B42" s="21"/>
      <c r="C42" s="21"/>
      <c r="D42" s="21"/>
      <c r="E42" s="21"/>
      <c r="F42" s="2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9"/>
      <c r="AL42" s="9"/>
      <c r="AM42" s="9"/>
    </row>
    <row r="43" spans="1:39" ht="11.5" customHeight="1" x14ac:dyDescent="0.35">
      <c r="A43" s="11" t="s">
        <v>61</v>
      </c>
      <c r="B43" s="4"/>
      <c r="C43" s="4"/>
      <c r="D43" s="4"/>
      <c r="E43" s="4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9" ht="11.5" customHeight="1" x14ac:dyDescent="0.35">
      <c r="A44" s="11"/>
      <c r="D44" s="4"/>
      <c r="E44" s="4"/>
      <c r="F44" s="4"/>
      <c r="G44" s="4"/>
      <c r="H44" s="4"/>
      <c r="I44" s="5"/>
      <c r="J44" s="5"/>
      <c r="K44" s="5"/>
      <c r="L44" s="5"/>
      <c r="M44" s="5"/>
    </row>
    <row r="45" spans="1:39" ht="11.5" customHeight="1" x14ac:dyDescent="0.35">
      <c r="A45" s="23"/>
      <c r="C45" s="59" t="s">
        <v>69</v>
      </c>
      <c r="D45" s="59"/>
      <c r="E45" s="59"/>
      <c r="F45" s="59"/>
      <c r="G45" s="59"/>
      <c r="H45" s="59"/>
      <c r="I45" s="59"/>
      <c r="J45" s="59"/>
      <c r="K45" s="59"/>
      <c r="L45" s="59"/>
      <c r="M45" s="60" t="s">
        <v>65</v>
      </c>
      <c r="N45" s="60"/>
      <c r="O45" s="60"/>
      <c r="P45" s="60"/>
      <c r="Q45" s="61"/>
      <c r="R45" s="61">
        <v>1000</v>
      </c>
      <c r="S45" s="62"/>
      <c r="T45" s="20" t="s">
        <v>68</v>
      </c>
      <c r="V45" s="51" t="s">
        <v>62</v>
      </c>
      <c r="W45" s="51"/>
      <c r="X45" s="51"/>
      <c r="Y45" s="51"/>
      <c r="Z45" s="51"/>
      <c r="AB45" s="51" t="s">
        <v>24</v>
      </c>
      <c r="AC45" s="51"/>
      <c r="AD45" s="51"/>
    </row>
    <row r="46" spans="1:39" ht="11.5" customHeight="1" x14ac:dyDescent="0.3">
      <c r="A46" s="23"/>
      <c r="C46" s="63" t="s">
        <v>19</v>
      </c>
      <c r="D46" s="63"/>
      <c r="E46" s="63"/>
      <c r="F46" s="63"/>
      <c r="G46" s="63"/>
      <c r="H46" s="51" t="s">
        <v>67</v>
      </c>
      <c r="I46" s="51"/>
      <c r="J46" s="51"/>
      <c r="K46" s="51"/>
      <c r="L46" s="51"/>
      <c r="M46" s="64" t="s">
        <v>66</v>
      </c>
      <c r="N46" s="64"/>
      <c r="O46" s="64"/>
      <c r="P46" s="64"/>
      <c r="Q46" s="50"/>
      <c r="R46" s="63" t="s">
        <v>42</v>
      </c>
      <c r="S46" s="63"/>
      <c r="T46" s="63"/>
      <c r="V46" s="65" t="s">
        <v>63</v>
      </c>
      <c r="W46" s="65"/>
      <c r="X46" s="65"/>
      <c r="Y46" s="66" t="s">
        <v>42</v>
      </c>
      <c r="Z46" s="66"/>
      <c r="AA46" s="5"/>
      <c r="AB46" s="51"/>
      <c r="AC46" s="51"/>
      <c r="AD46" s="51"/>
      <c r="AF46" s="5"/>
    </row>
    <row r="47" spans="1:39" ht="11.5" customHeight="1" x14ac:dyDescent="0.3">
      <c r="A47" s="23"/>
      <c r="C47" s="41" t="str">
        <f>IF(C38="","",C38)</f>
        <v/>
      </c>
      <c r="D47" s="41"/>
      <c r="E47" s="41"/>
      <c r="F47" s="41"/>
      <c r="G47" s="41"/>
      <c r="H47" s="55"/>
      <c r="I47" s="56"/>
      <c r="J47" s="57"/>
      <c r="K47" s="57"/>
      <c r="L47" s="58"/>
      <c r="M47" s="46" t="str">
        <f>IF(OR(COUNTIF(H47,"*&gt;*"),COUNTIF(H47,"*&lt;*")),H47,IF(H47="","",H47*$V$5))</f>
        <v/>
      </c>
      <c r="N47" s="47"/>
      <c r="O47" s="52" t="str">
        <f>IF(OR(COUNTIF(J47,"*&gt;*"),COUNTIF(J47,"*&lt;*")),J47,IF(J47="","",J47*$V$5))</f>
        <v/>
      </c>
      <c r="P47" s="52"/>
      <c r="Q47" s="53"/>
      <c r="R47" s="54" t="s">
        <v>17</v>
      </c>
      <c r="S47" s="54"/>
      <c r="T47" s="54"/>
      <c r="V47" s="31" t="s">
        <v>64</v>
      </c>
      <c r="W47" s="48" t="str">
        <f>IF(J47="","",
IF(AND($R$45=1000,R47="MΩ"),500,
IF(AND($R$45=1000,R47="GΩ"),0.5,
IF(AND($R$45=2500,R47="MΩ"),5000,
IF(AND($R$45=2500,R47="GΩ"),5,
IF(AND($R$45=5000,R47="MΩ"),25000,
IF(AND($R$45=5000,R47="GΩ"),25
)))))))</f>
        <v/>
      </c>
      <c r="X47" s="49"/>
      <c r="Y47" s="50" t="str">
        <f>IF(R47="","",R47)</f>
        <v>MΩ</v>
      </c>
      <c r="Z47" s="51"/>
      <c r="AB47" s="39" t="str">
        <f>IF(O47="","N/A",IF(O47&gt;=W47,"PASS","FAIL"))</f>
        <v>N/A</v>
      </c>
      <c r="AC47" s="39"/>
      <c r="AD47" s="39"/>
      <c r="AF47" s="5"/>
    </row>
    <row r="48" spans="1:39" ht="11.5" customHeight="1" x14ac:dyDescent="0.3">
      <c r="A48" s="23"/>
      <c r="C48" s="63" t="str">
        <f>IF(C39="","",C39)</f>
        <v/>
      </c>
      <c r="D48" s="63"/>
      <c r="E48" s="63"/>
      <c r="F48" s="63"/>
      <c r="G48" s="63"/>
      <c r="H48" s="55"/>
      <c r="I48" s="56"/>
      <c r="J48" s="57"/>
      <c r="K48" s="57"/>
      <c r="L48" s="58"/>
      <c r="M48" s="46" t="str">
        <f>IF(OR(COUNTIF(H48,"*&gt;*"),COUNTIF(H48,"*&lt;*")),H48,IF(H48="","",H48*$V$5))</f>
        <v/>
      </c>
      <c r="N48" s="47"/>
      <c r="O48" s="52" t="str">
        <f>IF(OR(COUNTIF(J48,"*&gt;*"),COUNTIF(J48,"*&lt;*")),J48,IF(J48="","",J48*$V$5))</f>
        <v/>
      </c>
      <c r="P48" s="52"/>
      <c r="Q48" s="53"/>
      <c r="R48" s="54" t="s">
        <v>17</v>
      </c>
      <c r="S48" s="54"/>
      <c r="T48" s="54"/>
      <c r="V48" s="31" t="s">
        <v>64</v>
      </c>
      <c r="W48" s="48" t="str">
        <f>IF(J48="","",
IF(AND($R$45=1000,R48="MΩ"),500,
IF(AND($R$45=1000,R48="GΩ"),0.5,
IF(AND($R$45=2500,R48="MΩ"),5000,
IF(AND($R$45=2500,R48="GΩ"),5,
IF(AND($R$45=5000,R48="MΩ"),25000,
IF(AND($R$45=5000,R48="GΩ"),25
)))))))</f>
        <v/>
      </c>
      <c r="X48" s="49"/>
      <c r="Y48" s="50" t="str">
        <f>IF(R48="","",R48)</f>
        <v>MΩ</v>
      </c>
      <c r="Z48" s="51"/>
      <c r="AB48" s="39" t="str">
        <f t="shared" ref="AB48:AB50" si="1">IF(O48="","N/A",IF(O48&gt;=W48,"PASS","FAIL"))</f>
        <v>N/A</v>
      </c>
      <c r="AC48" s="39"/>
      <c r="AD48" s="39"/>
      <c r="AF48" s="5"/>
    </row>
    <row r="49" spans="1:39" ht="11.5" customHeight="1" x14ac:dyDescent="0.3">
      <c r="A49" s="23"/>
      <c r="C49" s="63" t="str">
        <f>IF(C40="","",C40)</f>
        <v/>
      </c>
      <c r="D49" s="63"/>
      <c r="E49" s="63"/>
      <c r="F49" s="63"/>
      <c r="G49" s="63"/>
      <c r="H49" s="55"/>
      <c r="I49" s="56"/>
      <c r="J49" s="57"/>
      <c r="K49" s="57"/>
      <c r="L49" s="58"/>
      <c r="M49" s="46" t="str">
        <f>IF(OR(COUNTIF(H49,"*&gt;*"),COUNTIF(H49,"*&lt;*")),H49,IF(H49="","",H49*$V$5))</f>
        <v/>
      </c>
      <c r="N49" s="47"/>
      <c r="O49" s="52" t="str">
        <f>IF(OR(COUNTIF(J49,"*&gt;*"),COUNTIF(J49,"*&lt;*")),J49,IF(J49="","",J49*$V$5))</f>
        <v/>
      </c>
      <c r="P49" s="52"/>
      <c r="Q49" s="53"/>
      <c r="R49" s="54" t="s">
        <v>17</v>
      </c>
      <c r="S49" s="54"/>
      <c r="T49" s="54"/>
      <c r="V49" s="31" t="s">
        <v>64</v>
      </c>
      <c r="W49" s="48" t="str">
        <f>IF(J49="","",
IF(AND($R$45=1000,R49="MΩ"),500,
IF(AND($R$45=1000,R49="GΩ"),0.5,
IF(AND($R$45=2500,R49="MΩ"),5000,
IF(AND($R$45=2500,R49="GΩ"),5,
IF(AND($R$45=5000,R49="MΩ"),25000,
IF(AND($R$45=5000,R49="GΩ"),25
)))))))</f>
        <v/>
      </c>
      <c r="X49" s="49"/>
      <c r="Y49" s="50" t="str">
        <f>IF(R49="","",R49)</f>
        <v>MΩ</v>
      </c>
      <c r="Z49" s="51"/>
      <c r="AB49" s="39" t="str">
        <f t="shared" si="1"/>
        <v>N/A</v>
      </c>
      <c r="AC49" s="39"/>
      <c r="AD49" s="39"/>
    </row>
    <row r="50" spans="1:39" ht="11.5" customHeight="1" x14ac:dyDescent="0.3">
      <c r="A50" s="23"/>
      <c r="C50" s="63" t="str">
        <f>IF(C41="","",C41)</f>
        <v/>
      </c>
      <c r="D50" s="63"/>
      <c r="E50" s="63"/>
      <c r="F50" s="63"/>
      <c r="G50" s="63"/>
      <c r="H50" s="55"/>
      <c r="I50" s="56"/>
      <c r="J50" s="57"/>
      <c r="K50" s="57"/>
      <c r="L50" s="58"/>
      <c r="M50" s="46" t="str">
        <f>IF(OR(COUNTIF(H50,"*&gt;*"),COUNTIF(H50,"*&lt;*")),H50,IF(H50="","",H50*$V$5))</f>
        <v/>
      </c>
      <c r="N50" s="47"/>
      <c r="O50" s="52" t="str">
        <f>IF(OR(COUNTIF(J50,"*&gt;*"),COUNTIF(J50,"*&lt;*")),J50,IF(J50="","",J50*$V$5))</f>
        <v/>
      </c>
      <c r="P50" s="52"/>
      <c r="Q50" s="53"/>
      <c r="R50" s="54" t="s">
        <v>17</v>
      </c>
      <c r="S50" s="54"/>
      <c r="T50" s="54"/>
      <c r="V50" s="31" t="s">
        <v>64</v>
      </c>
      <c r="W50" s="48" t="str">
        <f>IF(J50="","",
IF(AND($R$45=1000,R50="MΩ"),500,
IF(AND($R$45=1000,R50="GΩ"),0.5,
IF(AND($R$45=2500,R50="MΩ"),5000,
IF(AND($R$45=2500,R50="GΩ"),5,
IF(AND($R$45=5000,R50="MΩ"),25000,
IF(AND($R$45=5000,R50="GΩ"),25
)))))))</f>
        <v/>
      </c>
      <c r="X50" s="49"/>
      <c r="Y50" s="50" t="str">
        <f>IF(R50="","",R50)</f>
        <v>MΩ</v>
      </c>
      <c r="Z50" s="51"/>
      <c r="AB50" s="39" t="str">
        <f t="shared" si="1"/>
        <v>N/A</v>
      </c>
      <c r="AC50" s="39"/>
      <c r="AD50" s="39"/>
    </row>
    <row r="51" spans="1:39" ht="11.5" customHeight="1" x14ac:dyDescent="0.3">
      <c r="A51" s="23"/>
      <c r="W51" s="30"/>
    </row>
    <row r="52" spans="1:39" ht="11.5" customHeight="1" x14ac:dyDescent="0.35">
      <c r="A52" s="23"/>
      <c r="C52" s="59" t="s">
        <v>77</v>
      </c>
      <c r="D52" s="59"/>
      <c r="E52" s="59"/>
      <c r="F52" s="59"/>
      <c r="G52" s="59"/>
      <c r="H52" s="59"/>
      <c r="I52" s="59"/>
      <c r="J52" s="59"/>
      <c r="K52" s="59"/>
      <c r="L52" s="59"/>
      <c r="M52" s="60" t="s">
        <v>65</v>
      </c>
      <c r="N52" s="60"/>
      <c r="O52" s="60"/>
      <c r="P52" s="60"/>
      <c r="Q52" s="61"/>
      <c r="R52" s="61">
        <v>1000</v>
      </c>
      <c r="S52" s="62"/>
      <c r="T52" s="20" t="s">
        <v>68</v>
      </c>
      <c r="V52" s="51" t="s">
        <v>62</v>
      </c>
      <c r="W52" s="51"/>
      <c r="X52" s="51"/>
      <c r="Y52" s="51"/>
      <c r="Z52" s="51"/>
      <c r="AB52" s="51" t="s">
        <v>24</v>
      </c>
      <c r="AC52" s="51"/>
      <c r="AD52" s="51"/>
    </row>
    <row r="53" spans="1:39" ht="11.5" customHeight="1" x14ac:dyDescent="0.3">
      <c r="A53" s="23"/>
      <c r="C53" s="63" t="s">
        <v>19</v>
      </c>
      <c r="D53" s="63"/>
      <c r="E53" s="63"/>
      <c r="F53" s="63"/>
      <c r="G53" s="63"/>
      <c r="H53" s="51" t="s">
        <v>67</v>
      </c>
      <c r="I53" s="51"/>
      <c r="J53" s="51"/>
      <c r="K53" s="51"/>
      <c r="L53" s="51"/>
      <c r="M53" s="64" t="s">
        <v>66</v>
      </c>
      <c r="N53" s="64"/>
      <c r="O53" s="64"/>
      <c r="P53" s="64"/>
      <c r="Q53" s="50"/>
      <c r="R53" s="63" t="s">
        <v>42</v>
      </c>
      <c r="S53" s="63"/>
      <c r="T53" s="63"/>
      <c r="V53" s="65" t="s">
        <v>63</v>
      </c>
      <c r="W53" s="65"/>
      <c r="X53" s="65"/>
      <c r="Y53" s="66" t="s">
        <v>42</v>
      </c>
      <c r="Z53" s="66"/>
      <c r="AA53" s="5"/>
      <c r="AB53" s="51"/>
      <c r="AC53" s="51"/>
      <c r="AD53" s="51"/>
    </row>
    <row r="54" spans="1:39" ht="11.5" customHeight="1" x14ac:dyDescent="0.3">
      <c r="A54" s="23"/>
      <c r="C54" s="41" t="str">
        <f>IF(C38="","",C38)</f>
        <v/>
      </c>
      <c r="D54" s="41"/>
      <c r="E54" s="41"/>
      <c r="F54" s="41"/>
      <c r="G54" s="41"/>
      <c r="H54" s="55"/>
      <c r="I54" s="56"/>
      <c r="J54" s="57"/>
      <c r="K54" s="57"/>
      <c r="L54" s="58"/>
      <c r="M54" s="46" t="str">
        <f>IF(OR(COUNTIF(H54,"*&gt;*"),COUNTIF(H54,"*&lt;*")),H54,IF(H54="","",H54*$V$5))</f>
        <v/>
      </c>
      <c r="N54" s="47"/>
      <c r="O54" s="52" t="str">
        <f>IF(OR(COUNTIF(J54,"*&gt;*"),COUNTIF(J54,"*&lt;*")),J54,IF(J54="","",J54*$V$5))</f>
        <v/>
      </c>
      <c r="P54" s="52"/>
      <c r="Q54" s="53"/>
      <c r="R54" s="54" t="s">
        <v>17</v>
      </c>
      <c r="S54" s="54"/>
      <c r="T54" s="54"/>
      <c r="V54" s="31" t="s">
        <v>64</v>
      </c>
      <c r="W54" s="48" t="str">
        <f>IF(J54="","",
IF(AND($R$45=1000,R54="MΩ"),500,
IF(AND($R$45=1000,R54="GΩ"),0.5,
IF(AND($R$45=2500,R54="MΩ"),5000,
IF(AND($R$45=2500,R54="GΩ"),5,
IF(AND($R$45=5000,R54="MΩ"),25000,
IF(AND($R$45=5000,R54="GΩ"),25
)))))))</f>
        <v/>
      </c>
      <c r="X54" s="49"/>
      <c r="Y54" s="50" t="str">
        <f>IF(R54="","",R54)</f>
        <v>MΩ</v>
      </c>
      <c r="Z54" s="51"/>
      <c r="AB54" s="39" t="str">
        <f>IF(O54="","N/A",IF(O54&gt;=W54,"PASS","FAIL"))</f>
        <v>N/A</v>
      </c>
      <c r="AC54" s="39"/>
      <c r="AD54" s="39"/>
    </row>
    <row r="55" spans="1:39" ht="11.5" customHeight="1" x14ac:dyDescent="0.3">
      <c r="A55" s="23"/>
      <c r="C55" s="41" t="str">
        <f t="shared" ref="C55:C57" si="2">IF(C39="","",C39)</f>
        <v/>
      </c>
      <c r="D55" s="41"/>
      <c r="E55" s="41"/>
      <c r="F55" s="41"/>
      <c r="G55" s="41"/>
      <c r="H55" s="42"/>
      <c r="I55" s="43"/>
      <c r="J55" s="44"/>
      <c r="K55" s="44"/>
      <c r="L55" s="45"/>
      <c r="M55" s="46" t="str">
        <f>IF(OR(COUNTIF(H55,"*&gt;*"),COUNTIF(H55,"*&lt;*")),H55,IF(H55="","",H55*$V$5))</f>
        <v/>
      </c>
      <c r="N55" s="47"/>
      <c r="O55" s="52" t="str">
        <f>IF(OR(COUNTIF(J55,"*&gt;*"),COUNTIF(J55,"*&lt;*")),J55,IF(J55="","",J55*$V$5))</f>
        <v/>
      </c>
      <c r="P55" s="52"/>
      <c r="Q55" s="53"/>
      <c r="R55" s="54" t="s">
        <v>17</v>
      </c>
      <c r="S55" s="54"/>
      <c r="T55" s="54"/>
      <c r="V55" s="31" t="s">
        <v>64</v>
      </c>
      <c r="W55" s="48" t="str">
        <f>IF(J55="","",
IF(AND($R$45=1000,R55="MΩ"),500,
IF(AND($R$45=1000,R55="GΩ"),0.5,
IF(AND($R$45=2500,R55="MΩ"),5000,
IF(AND($R$45=2500,R55="GΩ"),5,
IF(AND($R$45=5000,R55="MΩ"),25000,
IF(AND($R$45=5000,R55="GΩ"),25
)))))))</f>
        <v/>
      </c>
      <c r="X55" s="49"/>
      <c r="Y55" s="50" t="str">
        <f>IF(R55="","",R55)</f>
        <v>MΩ</v>
      </c>
      <c r="Z55" s="51"/>
      <c r="AB55" s="39" t="str">
        <f t="shared" ref="AB55:AB57" si="3">IF(O55="","N/A",IF(O55&gt;=W55,"PASS","FAIL"))</f>
        <v>N/A</v>
      </c>
      <c r="AC55" s="39"/>
      <c r="AD55" s="39"/>
    </row>
    <row r="56" spans="1:39" ht="11.5" customHeight="1" x14ac:dyDescent="0.3">
      <c r="A56" s="23"/>
      <c r="C56" s="41" t="str">
        <f t="shared" si="2"/>
        <v/>
      </c>
      <c r="D56" s="41"/>
      <c r="E56" s="41"/>
      <c r="F56" s="41"/>
      <c r="G56" s="41"/>
      <c r="H56" s="42"/>
      <c r="I56" s="43"/>
      <c r="J56" s="44"/>
      <c r="K56" s="44"/>
      <c r="L56" s="45"/>
      <c r="M56" s="46" t="str">
        <f>IF(OR(COUNTIF(H56,"*&gt;*"),COUNTIF(H56,"*&lt;*")),H56,IF(H56="","",H56*$V$5))</f>
        <v/>
      </c>
      <c r="N56" s="47"/>
      <c r="O56" s="52" t="str">
        <f>IF(OR(COUNTIF(J56,"*&gt;*"),COUNTIF(J56,"*&lt;*")),J56,IF(J56="","",J56*$V$5))</f>
        <v/>
      </c>
      <c r="P56" s="52"/>
      <c r="Q56" s="53"/>
      <c r="R56" s="54" t="s">
        <v>17</v>
      </c>
      <c r="S56" s="54"/>
      <c r="T56" s="54"/>
      <c r="V56" s="31" t="s">
        <v>64</v>
      </c>
      <c r="W56" s="48" t="str">
        <f>IF(J56="","",
IF(AND($R$45=1000,R56="MΩ"),500,
IF(AND($R$45=1000,R56="GΩ"),0.5,
IF(AND($R$45=2500,R56="MΩ"),5000,
IF(AND($R$45=2500,R56="GΩ"),5,
IF(AND($R$45=5000,R56="MΩ"),25000,
IF(AND($R$45=5000,R56="GΩ"),25
)))))))</f>
        <v/>
      </c>
      <c r="X56" s="49"/>
      <c r="Y56" s="50" t="str">
        <f>IF(R56="","",R56)</f>
        <v>MΩ</v>
      </c>
      <c r="Z56" s="51"/>
      <c r="AB56" s="39" t="str">
        <f t="shared" si="3"/>
        <v>N/A</v>
      </c>
      <c r="AC56" s="39"/>
      <c r="AD56" s="39"/>
    </row>
    <row r="57" spans="1:39" ht="11.5" customHeight="1" x14ac:dyDescent="0.3">
      <c r="A57" s="23"/>
      <c r="C57" s="41" t="str">
        <f t="shared" si="2"/>
        <v/>
      </c>
      <c r="D57" s="41"/>
      <c r="E57" s="41"/>
      <c r="F57" s="41"/>
      <c r="G57" s="41"/>
      <c r="H57" s="42"/>
      <c r="I57" s="43"/>
      <c r="J57" s="44"/>
      <c r="K57" s="44"/>
      <c r="L57" s="45"/>
      <c r="M57" s="46" t="str">
        <f>IF(OR(COUNTIF(H57,"*&gt;*"),COUNTIF(H57,"*&lt;*")),H57,IF(H57="","",H57*$V$5))</f>
        <v/>
      </c>
      <c r="N57" s="47"/>
      <c r="O57" s="52" t="str">
        <f>IF(OR(COUNTIF(J57,"*&gt;*"),COUNTIF(J57,"*&lt;*")),J57,IF(J57="","",J57*$V$5))</f>
        <v/>
      </c>
      <c r="P57" s="52"/>
      <c r="Q57" s="53"/>
      <c r="R57" s="54" t="s">
        <v>17</v>
      </c>
      <c r="S57" s="54"/>
      <c r="T57" s="54"/>
      <c r="V57" s="31" t="s">
        <v>64</v>
      </c>
      <c r="W57" s="48" t="str">
        <f>IF(J57="","",
IF(AND($R$45=1000,R57="MΩ"),500,
IF(AND($R$45=1000,R57="GΩ"),0.5,
IF(AND($R$45=2500,R57="MΩ"),5000,
IF(AND($R$45=2500,R57="GΩ"),5,
IF(AND($R$45=5000,R57="MΩ"),25000,
IF(AND($R$45=5000,R57="GΩ"),25
)))))))</f>
        <v/>
      </c>
      <c r="X57" s="49"/>
      <c r="Y57" s="50" t="str">
        <f>IF(R57="","",R57)</f>
        <v>MΩ</v>
      </c>
      <c r="Z57" s="51"/>
      <c r="AB57" s="39" t="str">
        <f t="shared" si="3"/>
        <v>N/A</v>
      </c>
      <c r="AC57" s="39"/>
      <c r="AD57" s="39"/>
    </row>
    <row r="58" spans="1:39" ht="11.5" customHeight="1" x14ac:dyDescent="0.3">
      <c r="A58" s="23"/>
      <c r="C58" s="32"/>
      <c r="D58" s="32"/>
      <c r="E58" s="32"/>
      <c r="F58" s="32"/>
      <c r="G58" s="32"/>
      <c r="H58" s="33"/>
      <c r="I58" s="33"/>
      <c r="J58" s="17"/>
      <c r="K58" s="17"/>
      <c r="L58" s="17"/>
      <c r="M58" s="34"/>
      <c r="N58" s="34"/>
      <c r="O58" s="35"/>
      <c r="P58" s="35"/>
      <c r="Q58" s="35"/>
      <c r="R58" s="32"/>
      <c r="S58" s="32"/>
      <c r="T58" s="32"/>
      <c r="V58" s="33"/>
      <c r="W58" s="17"/>
      <c r="X58" s="17"/>
      <c r="Y58" s="36"/>
      <c r="Z58" s="36"/>
      <c r="AB58" s="37"/>
      <c r="AC58" s="37"/>
      <c r="AD58" s="37"/>
    </row>
    <row r="59" spans="1:39" ht="11.5" customHeight="1" x14ac:dyDescent="0.3">
      <c r="A59" s="23"/>
      <c r="C59" s="32"/>
      <c r="D59" s="32"/>
      <c r="E59" s="32"/>
      <c r="F59" s="32"/>
      <c r="G59" s="32"/>
      <c r="H59" s="33"/>
      <c r="I59" s="33"/>
      <c r="J59" s="17"/>
      <c r="K59" s="17"/>
      <c r="L59" s="17"/>
      <c r="M59" s="34"/>
      <c r="N59" s="34"/>
      <c r="O59" s="35"/>
      <c r="P59" s="35"/>
      <c r="Q59" s="35"/>
      <c r="R59" s="32"/>
      <c r="S59" s="32"/>
      <c r="T59" s="32"/>
      <c r="V59" s="33"/>
      <c r="W59" s="17"/>
      <c r="X59" s="17"/>
      <c r="Y59" s="36"/>
      <c r="Z59" s="36"/>
      <c r="AB59" s="37"/>
      <c r="AC59" s="37"/>
      <c r="AD59" s="37"/>
    </row>
    <row r="60" spans="1:39" ht="11.5" customHeight="1" x14ac:dyDescent="0.3">
      <c r="A60" s="23"/>
      <c r="C60" s="32"/>
      <c r="D60" s="32"/>
      <c r="E60" s="32"/>
      <c r="F60" s="32"/>
      <c r="G60" s="32"/>
      <c r="H60" s="33"/>
      <c r="I60" s="33"/>
      <c r="J60" s="17"/>
      <c r="K60" s="17"/>
      <c r="L60" s="17"/>
      <c r="M60" s="34"/>
      <c r="N60" s="34"/>
      <c r="O60" s="35"/>
      <c r="P60" s="35"/>
      <c r="Q60" s="35"/>
      <c r="R60" s="32"/>
      <c r="S60" s="32"/>
      <c r="T60" s="32"/>
      <c r="V60" s="33"/>
      <c r="W60" s="17"/>
      <c r="X60" s="17"/>
      <c r="Y60" s="36"/>
      <c r="Z60" s="36"/>
      <c r="AB60" s="37"/>
      <c r="AC60" s="37"/>
      <c r="AD60" s="37"/>
    </row>
    <row r="61" spans="1:39" ht="11.5" customHeight="1" x14ac:dyDescent="0.3">
      <c r="A61" s="23"/>
      <c r="C61" s="32"/>
      <c r="D61" s="32"/>
      <c r="E61" s="32"/>
      <c r="F61" s="32"/>
      <c r="G61" s="32"/>
      <c r="H61" s="33"/>
      <c r="I61" s="33"/>
      <c r="J61" s="17"/>
      <c r="K61" s="17"/>
      <c r="L61" s="17"/>
      <c r="M61" s="34"/>
      <c r="N61" s="34"/>
      <c r="O61" s="35"/>
      <c r="P61" s="35"/>
      <c r="Q61" s="35"/>
      <c r="R61" s="32"/>
      <c r="S61" s="32"/>
      <c r="T61" s="32"/>
      <c r="V61" s="33"/>
      <c r="W61" s="17"/>
      <c r="X61" s="17"/>
      <c r="Y61" s="36"/>
      <c r="Z61" s="36"/>
      <c r="AB61" s="37"/>
      <c r="AC61" s="37"/>
      <c r="AD61" s="37"/>
    </row>
    <row r="62" spans="1:39" ht="11.5" customHeight="1" thickBot="1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spans="1:39" ht="11.5" customHeight="1" x14ac:dyDescent="0.35">
      <c r="A63" s="26" t="s">
        <v>20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</row>
    <row r="64" spans="1:39" ht="11.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1.5" customHeight="1" x14ac:dyDescent="0.35">
      <c r="A65" s="5"/>
      <c r="B65" s="110" t="s">
        <v>22</v>
      </c>
      <c r="C65" s="110"/>
      <c r="D65" s="110"/>
      <c r="E65" s="110"/>
      <c r="F65" s="110"/>
      <c r="G65" s="110"/>
      <c r="H65" s="110"/>
      <c r="I65" s="110"/>
      <c r="J65" s="109"/>
      <c r="K65" s="109"/>
      <c r="L65" s="109"/>
      <c r="M65" s="109"/>
      <c r="N65" s="109"/>
      <c r="O65" s="109"/>
      <c r="P65" s="109"/>
      <c r="Q65" s="110" t="s">
        <v>23</v>
      </c>
      <c r="R65" s="110"/>
      <c r="S65" s="110"/>
      <c r="T65" s="110"/>
      <c r="U65" s="110"/>
      <c r="V65" s="109"/>
      <c r="W65" s="109"/>
      <c r="X65" s="109"/>
      <c r="Y65" s="109"/>
      <c r="Z65" s="109"/>
      <c r="AA65" s="109"/>
      <c r="AB65" s="5"/>
      <c r="AC65" s="110" t="s">
        <v>21</v>
      </c>
      <c r="AD65" s="110"/>
      <c r="AE65" s="110"/>
      <c r="AF65" s="109"/>
      <c r="AG65" s="109"/>
      <c r="AH65" s="109"/>
      <c r="AI65" s="109"/>
      <c r="AJ65" s="5"/>
      <c r="AK65" s="5"/>
      <c r="AL65" s="5"/>
      <c r="AM65" s="5"/>
    </row>
    <row r="66" spans="1:39" ht="11.5" customHeight="1" x14ac:dyDescent="0.35">
      <c r="A66" s="5"/>
      <c r="B66" s="19"/>
      <c r="C66" s="19"/>
      <c r="D66" s="19"/>
      <c r="E66" s="19"/>
      <c r="F66" s="19"/>
      <c r="G66" s="19"/>
      <c r="H66" s="19"/>
      <c r="I66" s="19"/>
      <c r="J66" s="13"/>
      <c r="K66" s="13"/>
      <c r="L66" s="13"/>
      <c r="M66" s="13"/>
      <c r="N66" s="13"/>
      <c r="O66" s="13"/>
      <c r="P66" s="13"/>
      <c r="Q66" s="19"/>
      <c r="R66" s="19"/>
      <c r="S66" s="19"/>
      <c r="T66" s="19"/>
      <c r="U66" s="19"/>
      <c r="V66" s="13"/>
      <c r="W66" s="13"/>
      <c r="X66" s="13"/>
      <c r="Y66" s="13"/>
      <c r="Z66" s="13"/>
      <c r="AA66" s="13"/>
      <c r="AB66" s="5"/>
      <c r="AC66" s="19"/>
      <c r="AD66" s="19"/>
      <c r="AE66" s="19"/>
      <c r="AF66" s="13"/>
      <c r="AG66" s="13"/>
      <c r="AH66" s="13"/>
      <c r="AI66" s="13"/>
      <c r="AJ66" s="5"/>
      <c r="AK66" s="5"/>
      <c r="AL66" s="5"/>
      <c r="AM66" s="5"/>
    </row>
    <row r="67" spans="1:39" ht="11.5" customHeight="1" x14ac:dyDescent="0.35">
      <c r="A67" s="5"/>
      <c r="B67" s="110" t="s">
        <v>43</v>
      </c>
      <c r="C67" s="110"/>
      <c r="D67" s="110"/>
      <c r="E67" s="110"/>
      <c r="F67" s="110"/>
      <c r="G67" s="110"/>
      <c r="H67" s="110"/>
      <c r="I67" s="110"/>
      <c r="J67" s="109"/>
      <c r="K67" s="109"/>
      <c r="L67" s="109"/>
      <c r="M67" s="109"/>
      <c r="N67" s="109"/>
      <c r="O67" s="109"/>
      <c r="P67" s="109"/>
      <c r="Q67" s="110" t="s">
        <v>23</v>
      </c>
      <c r="R67" s="110"/>
      <c r="S67" s="110"/>
      <c r="T67" s="110"/>
      <c r="U67" s="110"/>
      <c r="V67" s="109"/>
      <c r="W67" s="109"/>
      <c r="X67" s="109"/>
      <c r="Y67" s="109"/>
      <c r="Z67" s="109"/>
      <c r="AA67" s="109"/>
      <c r="AB67" s="5"/>
      <c r="AC67" s="110" t="s">
        <v>21</v>
      </c>
      <c r="AD67" s="110"/>
      <c r="AE67" s="110"/>
      <c r="AF67" s="109"/>
      <c r="AG67" s="109"/>
      <c r="AH67" s="109"/>
      <c r="AI67" s="109"/>
      <c r="AJ67" s="5"/>
      <c r="AK67" s="5"/>
      <c r="AL67" s="5"/>
      <c r="AM67" s="5"/>
    </row>
    <row r="68" spans="1:39" ht="11.5" customHeight="1" thickBot="1" x14ac:dyDescent="0.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 spans="1:39" ht="11.5" customHeight="1" x14ac:dyDescent="0.35">
      <c r="A69" s="11" t="s">
        <v>11</v>
      </c>
      <c r="C69" s="5"/>
      <c r="D69" s="5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5"/>
    </row>
    <row r="70" spans="1:39" ht="11.5" customHeight="1" x14ac:dyDescent="0.35">
      <c r="A70" s="11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1.5" customHeight="1" x14ac:dyDescent="0.35">
      <c r="A71" s="11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5"/>
    </row>
    <row r="72" spans="1:39" ht="11.5" customHeight="1" x14ac:dyDescent="0.35">
      <c r="A72" s="11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5"/>
    </row>
    <row r="73" spans="1:39" ht="11.5" customHeight="1" x14ac:dyDescent="0.35">
      <c r="A73" s="11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5"/>
    </row>
    <row r="74" spans="1:39" ht="11.5" customHeight="1" x14ac:dyDescent="0.35">
      <c r="A74" s="11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5"/>
    </row>
    <row r="75" spans="1:39" ht="11.5" customHeight="1" x14ac:dyDescent="0.35">
      <c r="A75" s="11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5"/>
    </row>
    <row r="76" spans="1:39" ht="11.5" customHeight="1" x14ac:dyDescent="0.35">
      <c r="A76" s="11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5"/>
    </row>
    <row r="77" spans="1:39" ht="11.5" customHeight="1" x14ac:dyDescent="0.35">
      <c r="A77" s="11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5"/>
    </row>
    <row r="78" spans="1:39" ht="11.5" customHeight="1" x14ac:dyDescent="0.35">
      <c r="A78" s="11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5"/>
    </row>
    <row r="79" spans="1:39" ht="11.5" customHeight="1" x14ac:dyDescent="0.35">
      <c r="A79" s="11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5"/>
    </row>
    <row r="80" spans="1:39" ht="11.5" customHeight="1" x14ac:dyDescent="0.35">
      <c r="A80" s="11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5"/>
    </row>
    <row r="81" spans="1:39" ht="11.5" customHeight="1" x14ac:dyDescent="0.35">
      <c r="A81" s="11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5"/>
    </row>
    <row r="82" spans="1:39" ht="11.5" customHeight="1" x14ac:dyDescent="0.35">
      <c r="A82" s="11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5"/>
    </row>
    <row r="83" spans="1:39" ht="11.5" customHeight="1" x14ac:dyDescent="0.35">
      <c r="A83" s="11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5"/>
    </row>
    <row r="84" spans="1:39" ht="11.5" customHeight="1" x14ac:dyDescent="0.35">
      <c r="A84" s="11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5"/>
    </row>
    <row r="85" spans="1:39" ht="11.5" customHeight="1" x14ac:dyDescent="0.35">
      <c r="A85" s="11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5"/>
    </row>
    <row r="86" spans="1:39" ht="11.5" customHeight="1" x14ac:dyDescent="0.35">
      <c r="A86" s="11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5"/>
    </row>
    <row r="87" spans="1:39" ht="11.5" customHeight="1" x14ac:dyDescent="0.35">
      <c r="A87" s="11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5"/>
    </row>
    <row r="88" spans="1:39" ht="11.5" customHeight="1" x14ac:dyDescent="0.35">
      <c r="A88" s="11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5"/>
    </row>
    <row r="89" spans="1:39" ht="11.5" customHeight="1" x14ac:dyDescent="0.35">
      <c r="A89" s="11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5"/>
    </row>
    <row r="90" spans="1:39" ht="11.5" customHeight="1" thickBot="1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</sheetData>
  <sheetProtection algorithmName="SHA-512" hashValue="gnwLOGLH3aiavzkjAjKlMweGHZBC7rA6yPjqGpOxZODeq+Opone9nkzgNIUkvsMq0rGyQob3kPDqH48nbluqcw==" saltValue="XG8bb1DFyR4ok/OMPw4B2g==" spinCount="100000" sheet="1" formatCells="0" selectLockedCells="1"/>
  <dataConsolidate/>
  <mergeCells count="248">
    <mergeCell ref="B67:I67"/>
    <mergeCell ref="B65:I65"/>
    <mergeCell ref="J65:P65"/>
    <mergeCell ref="Q65:U65"/>
    <mergeCell ref="V65:AA65"/>
    <mergeCell ref="AC65:AE65"/>
    <mergeCell ref="AF65:AI65"/>
    <mergeCell ref="C30:E30"/>
    <mergeCell ref="L30:N30"/>
    <mergeCell ref="U30:W30"/>
    <mergeCell ref="AD30:AF30"/>
    <mergeCell ref="C31:E31"/>
    <mergeCell ref="L31:N31"/>
    <mergeCell ref="U31:W31"/>
    <mergeCell ref="AD31:AF31"/>
    <mergeCell ref="AG30:AK30"/>
    <mergeCell ref="AG31:AK31"/>
    <mergeCell ref="Z5:AD5"/>
    <mergeCell ref="AE5:AL5"/>
    <mergeCell ref="H14:L14"/>
    <mergeCell ref="F22:AG22"/>
    <mergeCell ref="AA11:AE11"/>
    <mergeCell ref="AA14:AE14"/>
    <mergeCell ref="H11:L11"/>
    <mergeCell ref="H13:L13"/>
    <mergeCell ref="H12:L12"/>
    <mergeCell ref="U11:Y11"/>
    <mergeCell ref="N11:R11"/>
    <mergeCell ref="A1:AM1"/>
    <mergeCell ref="A5:E5"/>
    <mergeCell ref="A6:E6"/>
    <mergeCell ref="K5:L5"/>
    <mergeCell ref="F6:R6"/>
    <mergeCell ref="S6:V6"/>
    <mergeCell ref="Z6:AD6"/>
    <mergeCell ref="Z2:AD2"/>
    <mergeCell ref="AE2:AH2"/>
    <mergeCell ref="M5:N5"/>
    <mergeCell ref="P5:Q5"/>
    <mergeCell ref="V5:X5"/>
    <mergeCell ref="A2:E2"/>
    <mergeCell ref="A3:E3"/>
    <mergeCell ref="T5:U5"/>
    <mergeCell ref="Z3:AD3"/>
    <mergeCell ref="F3:X3"/>
    <mergeCell ref="AE6:AL6"/>
    <mergeCell ref="A4:E4"/>
    <mergeCell ref="F4:X4"/>
    <mergeCell ref="F5:I5"/>
    <mergeCell ref="F2:X2"/>
    <mergeCell ref="AJ2:AL4"/>
    <mergeCell ref="AE3:AH3"/>
    <mergeCell ref="B19:E19"/>
    <mergeCell ref="F19:AG19"/>
    <mergeCell ref="AH19:AL19"/>
    <mergeCell ref="B26:E26"/>
    <mergeCell ref="F26:AG26"/>
    <mergeCell ref="AH26:AL26"/>
    <mergeCell ref="B20:E20"/>
    <mergeCell ref="F20:AG20"/>
    <mergeCell ref="AH20:AL20"/>
    <mergeCell ref="B21:E21"/>
    <mergeCell ref="F21:AG21"/>
    <mergeCell ref="AH21:AL21"/>
    <mergeCell ref="B22:E22"/>
    <mergeCell ref="AH22:AL22"/>
    <mergeCell ref="B23:E23"/>
    <mergeCell ref="F23:AG23"/>
    <mergeCell ref="AH23:AL23"/>
    <mergeCell ref="B24:E24"/>
    <mergeCell ref="F24:AG24"/>
    <mergeCell ref="AH24:AL24"/>
    <mergeCell ref="B25:E25"/>
    <mergeCell ref="F25:AG25"/>
    <mergeCell ref="AH25:AL25"/>
    <mergeCell ref="X39:AC39"/>
    <mergeCell ref="X40:AC40"/>
    <mergeCell ref="C36:AF36"/>
    <mergeCell ref="H37:L37"/>
    <mergeCell ref="U37:W37"/>
    <mergeCell ref="U38:W38"/>
    <mergeCell ref="U39:W39"/>
    <mergeCell ref="U40:W40"/>
    <mergeCell ref="U41:W41"/>
    <mergeCell ref="X41:AC41"/>
    <mergeCell ref="C38:G38"/>
    <mergeCell ref="C40:G40"/>
    <mergeCell ref="C37:G37"/>
    <mergeCell ref="C39:G39"/>
    <mergeCell ref="C41:G41"/>
    <mergeCell ref="M45:Q45"/>
    <mergeCell ref="R45:S45"/>
    <mergeCell ref="W48:X48"/>
    <mergeCell ref="Y48:Z48"/>
    <mergeCell ref="W49:X49"/>
    <mergeCell ref="Y49:Z49"/>
    <mergeCell ref="W50:X50"/>
    <mergeCell ref="Y50:Z50"/>
    <mergeCell ref="AB45:AD46"/>
    <mergeCell ref="R49:T49"/>
    <mergeCell ref="R50:T50"/>
    <mergeCell ref="V45:Z45"/>
    <mergeCell ref="V46:X46"/>
    <mergeCell ref="Y46:Z46"/>
    <mergeCell ref="W47:X47"/>
    <mergeCell ref="Y47:Z47"/>
    <mergeCell ref="AB47:AD47"/>
    <mergeCell ref="AB48:AD48"/>
    <mergeCell ref="AB49:AD49"/>
    <mergeCell ref="AB50:AD50"/>
    <mergeCell ref="R46:T46"/>
    <mergeCell ref="R47:T47"/>
    <mergeCell ref="R48:T48"/>
    <mergeCell ref="H47:I47"/>
    <mergeCell ref="J47:L47"/>
    <mergeCell ref="M47:N47"/>
    <mergeCell ref="O47:Q47"/>
    <mergeCell ref="C46:G46"/>
    <mergeCell ref="C47:G47"/>
    <mergeCell ref="C48:G48"/>
    <mergeCell ref="C49:G49"/>
    <mergeCell ref="C50:G50"/>
    <mergeCell ref="J48:L48"/>
    <mergeCell ref="J49:L49"/>
    <mergeCell ref="J50:L50"/>
    <mergeCell ref="H48:I48"/>
    <mergeCell ref="H49:I49"/>
    <mergeCell ref="H50:I50"/>
    <mergeCell ref="M48:N48"/>
    <mergeCell ref="O48:Q48"/>
    <mergeCell ref="M49:N49"/>
    <mergeCell ref="O49:Q49"/>
    <mergeCell ref="M50:N50"/>
    <mergeCell ref="O50:Q50"/>
    <mergeCell ref="M46:Q46"/>
    <mergeCell ref="C45:L45"/>
    <mergeCell ref="X30:AB30"/>
    <mergeCell ref="X31:AB31"/>
    <mergeCell ref="O30:S30"/>
    <mergeCell ref="O31:S31"/>
    <mergeCell ref="F30:J30"/>
    <mergeCell ref="F31:J31"/>
    <mergeCell ref="C32:E32"/>
    <mergeCell ref="F32:G32"/>
    <mergeCell ref="I32:J32"/>
    <mergeCell ref="L32:N32"/>
    <mergeCell ref="O32:P32"/>
    <mergeCell ref="R32:S32"/>
    <mergeCell ref="U32:W32"/>
    <mergeCell ref="X32:Y32"/>
    <mergeCell ref="AA32:AB32"/>
    <mergeCell ref="H46:L46"/>
    <mergeCell ref="U14:Y14"/>
    <mergeCell ref="U13:Y13"/>
    <mergeCell ref="U12:Y12"/>
    <mergeCell ref="C11:G11"/>
    <mergeCell ref="C12:G12"/>
    <mergeCell ref="C13:G13"/>
    <mergeCell ref="C14:G14"/>
    <mergeCell ref="N12:R12"/>
    <mergeCell ref="N13:R13"/>
    <mergeCell ref="N14:R14"/>
    <mergeCell ref="AG11:AK11"/>
    <mergeCell ref="AG13:AK13"/>
    <mergeCell ref="H9:L9"/>
    <mergeCell ref="N9:R9"/>
    <mergeCell ref="AA9:AE9"/>
    <mergeCell ref="AG9:AK9"/>
    <mergeCell ref="AA13:AE13"/>
    <mergeCell ref="AA12:AE12"/>
    <mergeCell ref="AG12:AK12"/>
    <mergeCell ref="AD32:AF32"/>
    <mergeCell ref="AG32:AH32"/>
    <mergeCell ref="AJ32:AK32"/>
    <mergeCell ref="H38:L38"/>
    <mergeCell ref="H39:L39"/>
    <mergeCell ref="H40:L40"/>
    <mergeCell ref="H41:L41"/>
    <mergeCell ref="M38:Q38"/>
    <mergeCell ref="M39:Q39"/>
    <mergeCell ref="M40:Q40"/>
    <mergeCell ref="M41:Q41"/>
    <mergeCell ref="AD37:AF37"/>
    <mergeCell ref="AD38:AF38"/>
    <mergeCell ref="AD39:AF39"/>
    <mergeCell ref="AD40:AF40"/>
    <mergeCell ref="AD41:AF41"/>
    <mergeCell ref="X37:AC37"/>
    <mergeCell ref="X38:AC38"/>
    <mergeCell ref="M37:Q37"/>
    <mergeCell ref="R37:T37"/>
    <mergeCell ref="R38:T38"/>
    <mergeCell ref="R39:T39"/>
    <mergeCell ref="R40:T40"/>
    <mergeCell ref="R41:T41"/>
    <mergeCell ref="C52:L52"/>
    <mergeCell ref="M52:Q52"/>
    <mergeCell ref="R52:S52"/>
    <mergeCell ref="V52:Z52"/>
    <mergeCell ref="AB52:AD53"/>
    <mergeCell ref="C53:G53"/>
    <mergeCell ref="H53:L53"/>
    <mergeCell ref="M53:Q53"/>
    <mergeCell ref="R53:T53"/>
    <mergeCell ref="V53:X53"/>
    <mergeCell ref="Y53:Z53"/>
    <mergeCell ref="C54:G54"/>
    <mergeCell ref="H54:I54"/>
    <mergeCell ref="J54:L54"/>
    <mergeCell ref="M54:N54"/>
    <mergeCell ref="W54:X54"/>
    <mergeCell ref="Y54:Z54"/>
    <mergeCell ref="AB54:AD54"/>
    <mergeCell ref="C55:G55"/>
    <mergeCell ref="H55:I55"/>
    <mergeCell ref="J55:L55"/>
    <mergeCell ref="M55:N55"/>
    <mergeCell ref="W55:X55"/>
    <mergeCell ref="Y55:Z55"/>
    <mergeCell ref="O54:Q54"/>
    <mergeCell ref="R54:T54"/>
    <mergeCell ref="O55:Q55"/>
    <mergeCell ref="R55:T55"/>
    <mergeCell ref="AB55:AD55"/>
    <mergeCell ref="AB57:AD57"/>
    <mergeCell ref="B71:AL89"/>
    <mergeCell ref="C56:G56"/>
    <mergeCell ref="H56:I56"/>
    <mergeCell ref="J56:L56"/>
    <mergeCell ref="M56:N56"/>
    <mergeCell ref="W56:X56"/>
    <mergeCell ref="Y56:Z56"/>
    <mergeCell ref="C57:G57"/>
    <mergeCell ref="H57:I57"/>
    <mergeCell ref="J57:L57"/>
    <mergeCell ref="M57:N57"/>
    <mergeCell ref="O57:Q57"/>
    <mergeCell ref="R57:T57"/>
    <mergeCell ref="W57:X57"/>
    <mergeCell ref="Y57:Z57"/>
    <mergeCell ref="O56:Q56"/>
    <mergeCell ref="R56:T56"/>
    <mergeCell ref="AB56:AD56"/>
    <mergeCell ref="J67:P67"/>
    <mergeCell ref="Q67:U67"/>
    <mergeCell ref="V67:AA67"/>
    <mergeCell ref="AC67:AE67"/>
    <mergeCell ref="AF67:AI67"/>
  </mergeCells>
  <phoneticPr fontId="1" type="noConversion"/>
  <conditionalFormatting sqref="AB47:AB50">
    <cfRule type="cellIs" dxfId="19" priority="17" operator="equal">
      <formula>"LIMITED SERVICE"</formula>
    </cfRule>
    <cfRule type="cellIs" dxfId="18" priority="18" operator="equal">
      <formula>"Fail"</formula>
    </cfRule>
    <cfRule type="cellIs" dxfId="17" priority="19" operator="equal">
      <formula>"Pass"</formula>
    </cfRule>
    <cfRule type="cellIs" dxfId="16" priority="20" operator="equal">
      <formula>"""PASS"""</formula>
    </cfRule>
  </conditionalFormatting>
  <conditionalFormatting sqref="AB54:AB61">
    <cfRule type="cellIs" dxfId="15" priority="5" operator="equal">
      <formula>"LIMITED SERVICE"</formula>
    </cfRule>
    <cfRule type="cellIs" dxfId="14" priority="6" operator="equal">
      <formula>"Fail"</formula>
    </cfRule>
    <cfRule type="cellIs" dxfId="13" priority="7" operator="equal">
      <formula>"Pass"</formula>
    </cfRule>
    <cfRule type="cellIs" dxfId="12" priority="8" operator="equal">
      <formula>"""PASS"""</formula>
    </cfRule>
  </conditionalFormatting>
  <conditionalFormatting sqref="AD38:AD41">
    <cfRule type="cellIs" dxfId="11" priority="13" operator="equal">
      <formula>"LIMITED SERVICE"</formula>
    </cfRule>
    <cfRule type="cellIs" dxfId="10" priority="14" operator="equal">
      <formula>"Fail"</formula>
    </cfRule>
    <cfRule type="cellIs" dxfId="9" priority="15" operator="equal">
      <formula>"Pass"</formula>
    </cfRule>
    <cfRule type="cellIs" dxfId="8" priority="16" operator="equal">
      <formula>"""PASS"""</formula>
    </cfRule>
  </conditionalFormatting>
  <conditionalFormatting sqref="AJ63">
    <cfRule type="cellIs" dxfId="7" priority="26" operator="equal">
      <formula>"""PASS"""</formula>
    </cfRule>
  </conditionalFormatting>
  <conditionalFormatting sqref="AJ2">
    <cfRule type="cellIs" dxfId="3" priority="1" operator="equal">
      <formula>"LIMITED SERVICE"</formula>
    </cfRule>
    <cfRule type="cellIs" dxfId="2" priority="2" operator="equal">
      <formula>"FAIL"</formula>
    </cfRule>
    <cfRule type="cellIs" dxfId="1" priority="3" operator="equal">
      <formula>"PASS"</formula>
    </cfRule>
    <cfRule type="cellIs" dxfId="0" priority="4" operator="equal">
      <formula>"""PASS"""</formula>
    </cfRule>
  </conditionalFormatting>
  <dataValidations count="10">
    <dataValidation type="list" allowBlank="1" showInputMessage="1" showErrorMessage="1" sqref="U38:U41" xr:uid="{8F97B214-D81F-4776-938C-0EA555242200}">
      <formula1>"Yes,No"</formula1>
    </dataValidation>
    <dataValidation type="list" allowBlank="1" showInputMessage="1" showErrorMessage="1" sqref="R45 R52" xr:uid="{5BD99751-6532-4420-83D8-1B2D6A708F99}">
      <formula1>"1000,2500,5000"</formula1>
    </dataValidation>
    <dataValidation type="list" allowBlank="1" showInputMessage="1" showErrorMessage="1" sqref="H54:H61 H47:H50" xr:uid="{16C018CB-D8CA-4758-B51E-37AE60CB9E7E}">
      <formula1>"&gt;,&lt;"</formula1>
    </dataValidation>
    <dataValidation type="list" allowBlank="1" showInputMessage="1" showErrorMessage="1" sqref="AA14:AE14" xr:uid="{27F287F9-6397-46CD-8A59-336AADDB9EE6}">
      <formula1>"Line,Load"</formula1>
    </dataValidation>
    <dataValidation type="list" allowBlank="1" showInputMessage="1" showErrorMessage="1" sqref="N13:R13 H13:L13" xr:uid="{66D0B1E3-0AB8-4724-BE44-AA347B086B62}">
      <formula1>"Medium Voltage,Window,Busbar"</formula1>
    </dataValidation>
    <dataValidation type="list" allowBlank="1" showInputMessage="1" showErrorMessage="1" sqref="R47:T50 R54:T61" xr:uid="{BF8DFBB2-1EA5-49BB-BB7D-8F4D8C9905C2}">
      <formula1>"MΩ,GΩ"</formula1>
    </dataValidation>
    <dataValidation type="list" allowBlank="1" showInputMessage="1" showErrorMessage="1" sqref="H14:L14 N14:R14" xr:uid="{4EF062A4-E1B5-411D-9C9D-A08A36F699AC}">
      <formula1>"Protection, Metering, Revenue Metering"</formula1>
    </dataValidation>
    <dataValidation type="list" allowBlank="1" showInputMessage="1" showErrorMessage="1" sqref="AA13:AE13 AG13:AK13" xr:uid="{DE9A8639-7A86-4FF1-8255-91A5043E5298}">
      <formula1>"B-0.1,B-0.2,B-0.5,B-0.9,B-1.8,B-1,B-2,B-4,B-8"</formula1>
    </dataValidation>
    <dataValidation type="list" allowBlank="1" showInputMessage="1" showErrorMessage="1" sqref="AH29:AI29 AM3:AM4 AJ2" xr:uid="{FD88D42F-4C2C-4489-B3FE-AA52572567EE}">
      <formula1>#REF!</formula1>
    </dataValidation>
    <dataValidation type="list" errorStyle="warning" allowBlank="1" showInputMessage="1" showErrorMessage="1" sqref="AH19:AL26" xr:uid="{1B499C98-B651-499C-978A-67DD19C8E517}">
      <formula1>#REF!</formula1>
    </dataValidation>
  </dataValidations>
  <printOptions horizontalCentered="1"/>
  <pageMargins left="0.5" right="0.5" top="1" bottom="0.5" header="0.3" footer="0.3"/>
  <pageSetup scale="96" fitToHeight="0" orientation="portrait" r:id="rId1"/>
  <headerFooter>
    <oddHeader xml:space="preserve">&amp;L  &amp;G
                &amp;C&amp;"-,Bold"&amp;13Current Transformers Test&amp;R&amp;"-,Bold"&amp;12&amp;K000000&amp;G
ATS 7.10.1      
&amp;14 </oddHeader>
    <oddFooter>&amp;L&amp;8&amp;K00-039AMPQES.COM&amp;C&amp;"Arial,Regular"&amp;9Sheet &amp;P of &amp;N&amp;R&amp;8 &amp;K00-039256-513-8255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Sheet</vt:lpstr>
      <vt:lpstr>'Test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Rodgers</dc:creator>
  <cp:lastModifiedBy>Ryan Marthaler</cp:lastModifiedBy>
  <cp:lastPrinted>2025-12-03T06:54:32Z</cp:lastPrinted>
  <dcterms:created xsi:type="dcterms:W3CDTF">2009-06-02T15:38:13Z</dcterms:created>
  <dcterms:modified xsi:type="dcterms:W3CDTF">2025-12-05T19:30:23Z</dcterms:modified>
</cp:coreProperties>
</file>
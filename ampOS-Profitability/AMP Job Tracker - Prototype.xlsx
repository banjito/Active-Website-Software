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481b3127ff98f7e/Focus CFO/Clients/AMP/Analysis/Job Profitability/"/>
    </mc:Choice>
  </mc:AlternateContent>
  <xr:revisionPtr revIDLastSave="3" documentId="11_148E9D4A43C14262E9EFACE8D0DD7AF77FE1F65E" xr6:coauthVersionLast="47" xr6:coauthVersionMax="47" xr10:uidLastSave="{B91E089D-26C4-4401-B1EA-7839FCECFE36}"/>
  <bookViews>
    <workbookView xWindow="-103" yWindow="-103" windowWidth="24892" windowHeight="14914" activeTab="1" xr2:uid="{00000000-000D-0000-FFFF-FFFF00000000}"/>
  </bookViews>
  <sheets>
    <sheet name="Company Margin" sheetId="1" r:id="rId1"/>
    <sheet name="Job Scorecard" sheetId="2" r:id="rId2"/>
    <sheet name="26011 Detail" sheetId="3" r:id="rId3"/>
    <sheet name="26061 Detai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3" i="3"/>
</calcChain>
</file>

<file path=xl/sharedStrings.xml><?xml version="1.0" encoding="utf-8"?>
<sst xmlns="http://schemas.openxmlformats.org/spreadsheetml/2006/main" count="222" uniqueCount="185">
  <si>
    <t>AMP Quality Energy Services — Company Margin (YTD Jan–Jun 2026)</t>
  </si>
  <si>
    <t>From QBO P&amp;L, accrual. The 40% target is a per-job GROSS margin floor; this shows where the company sits overall.</t>
  </si>
  <si>
    <t>Line</t>
  </si>
  <si>
    <t>Amount $</t>
  </si>
  <si>
    <t>% of Revenue</t>
  </si>
  <si>
    <t>Revenue</t>
  </si>
  <si>
    <t>Direct job cost (COGS)</t>
  </si>
  <si>
    <t>Gross Profit</t>
  </si>
  <si>
    <t>Overhead / Operating expense</t>
  </si>
  <si>
    <t>Net Operating Income</t>
  </si>
  <si>
    <t>Other income / adj (net)</t>
  </si>
  <si>
    <t>Net Income</t>
  </si>
  <si>
    <t>Gross margin 60% (well above the 40% job floor); net operating only 10.5% — overhead is the drag. The job tracker flags individual jobs that fall below 40% gross.</t>
  </si>
  <si>
    <t>Job Scorecard — Are we ahead or behind the quote?</t>
  </si>
  <si>
    <t>As of 2026-06-30. Gross margin vs 40% target. Green ≥40%, red &lt;40%.</t>
  </si>
  <si>
    <t>Metric</t>
  </si>
  <si>
    <t>26011</t>
  </si>
  <si>
    <t>26061</t>
  </si>
  <si>
    <t>Job #</t>
  </si>
  <si>
    <t>Title</t>
  </si>
  <si>
    <t>DC Blox ATL-1B Tenant Fit Out</t>
  </si>
  <si>
    <t>Test (8) sets of 13.8 kV Cables, June 18-19</t>
  </si>
  <si>
    <t>Type</t>
  </si>
  <si>
    <t>Multi-month</t>
  </si>
  <si>
    <t>Short (multi-day)</t>
  </si>
  <si>
    <t>Status</t>
  </si>
  <si>
    <t>in_progress</t>
  </si>
  <si>
    <t>ready_to_bill</t>
  </si>
  <si>
    <t>Quoted $</t>
  </si>
  <si>
    <t>Billed $</t>
  </si>
  <si>
    <t>Collected $</t>
  </si>
  <si>
    <t>Open AR $</t>
  </si>
  <si>
    <t>— BUDGET vs ACTUAL —</t>
  </si>
  <si>
    <t>Budget hours</t>
  </si>
  <si>
    <t>Actual hours</t>
  </si>
  <si>
    <t>Hours variance %</t>
  </si>
  <si>
    <t>— COST —</t>
  </si>
  <si>
    <t>Labor (burdened) $</t>
  </si>
  <si>
    <t>Other direct $</t>
  </si>
  <si>
    <t>Cost to date $</t>
  </si>
  <si>
    <t>— PROGRESS &amp; PROJECTED MARGIN —</t>
  </si>
  <si>
    <t>% complete (billed ÷ quote)</t>
  </si>
  <si>
    <t>Projected total cost (EAC) $</t>
  </si>
  <si>
    <t>Projected gross margin % (at completion)</t>
  </si>
  <si>
    <t>vs 40% target (projected)</t>
  </si>
  <si>
    <t>ON TARGET</t>
  </si>
  <si>
    <t>— pace check —</t>
  </si>
  <si>
    <t>Cost budget for 40% GM $</t>
  </si>
  <si>
    <t>Expected cost @ % complete $</t>
  </si>
  <si>
    <t>Cost-pace variance $ (actual − expected)</t>
  </si>
  <si>
    <t>GM % on billed-to-date (snapshot)</t>
  </si>
  <si>
    <t>26011 — DC Blox ATL-1B Tenant Fit Out</t>
  </si>
  <si>
    <t>Multi-month · quote #4015 · status in_progress · as of 2026-06-30</t>
  </si>
  <si>
    <t>Cost by category — Bid budget vs Actual</t>
  </si>
  <si>
    <t>Category</t>
  </si>
  <si>
    <t>Bid $ (where quoted)</t>
  </si>
  <si>
    <t>Actual $</t>
  </si>
  <si>
    <t>Notes</t>
  </si>
  <si>
    <t>Date</t>
  </si>
  <si>
    <t>Cum Hours</t>
  </si>
  <si>
    <t>Cum Labor $</t>
  </si>
  <si>
    <t>Labor (W-2 + burden)</t>
  </si>
  <si>
    <t>2704 actual hrs (budget 728 hrs)</t>
  </si>
  <si>
    <t>2026-02-02</t>
  </si>
  <si>
    <t>Contract Labor</t>
  </si>
  <si>
    <t>2026-02-03</t>
  </si>
  <si>
    <t>Travel &amp; Lodging</t>
  </si>
  <si>
    <t>bid = travel labor + mileage</t>
  </si>
  <si>
    <t>2026-02-04</t>
  </si>
  <si>
    <t>Per Diem / Meals</t>
  </si>
  <si>
    <t>2026-02-05</t>
  </si>
  <si>
    <t>Materials</t>
  </si>
  <si>
    <t>2026-02-06</t>
  </si>
  <si>
    <t>Rental Equipment</t>
  </si>
  <si>
    <t>2026-02-09</t>
  </si>
  <si>
    <t>Other</t>
  </si>
  <si>
    <t>2026-02-10</t>
  </si>
  <si>
    <t>TOTAL COST</t>
  </si>
  <si>
    <t>2026-02-11</t>
  </si>
  <si>
    <t>2026-02-12</t>
  </si>
  <si>
    <t>MARGIN — projected at completion (not flattered by stage)</t>
  </si>
  <si>
    <t>2026-02-13</t>
  </si>
  <si>
    <t>Quoted (plan)</t>
  </si>
  <si>
    <t>2026-02-16</t>
  </si>
  <si>
    <t>Billed revenue</t>
  </si>
  <si>
    <t>2026-02-17</t>
  </si>
  <si>
    <t>Collected</t>
  </si>
  <si>
    <t>2026-02-18</t>
  </si>
  <si>
    <t>Cost to date</t>
  </si>
  <si>
    <t>2026-02-19</t>
  </si>
  <si>
    <t>2026-02-20</t>
  </si>
  <si>
    <t>Projected total cost (EAC)</t>
  </si>
  <si>
    <t>2026-02-21</t>
  </si>
  <si>
    <t>2026-02-23</t>
  </si>
  <si>
    <t>Target</t>
  </si>
  <si>
    <t>2026-02-24</t>
  </si>
  <si>
    <t>Cost-pace variance (actual − expected @ %)</t>
  </si>
  <si>
    <t>2026-02-25</t>
  </si>
  <si>
    <t>GM % on billed-to-date (snapshot only)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</si>
  <si>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</si>
  <si>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</si>
  <si>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</si>
  <si>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</si>
  <si>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</si>
  <si>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</si>
  <si>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</si>
  <si>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</si>
  <si>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</si>
  <si>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</si>
  <si>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</si>
  <si>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</si>
  <si>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</si>
  <si>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</si>
  <si>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</si>
  <si>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</si>
  <si>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</si>
  <si>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</si>
  <si>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</si>
  <si>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</si>
  <si>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</si>
  <si>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</si>
  <si>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</si>
  <si>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</si>
  <si>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</si>
  <si>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</si>
  <si>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</si>
  <si>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</si>
  <si>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</si>
  <si>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</si>
  <si>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</si>
  <si>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</si>
  <si>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</si>
  <si>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</si>
  <si>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</si>
  <si>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</si>
  <si>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</si>
  <si>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</si>
  <si>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</si>
  <si>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</si>
  <si>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</si>
  <si>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</si>
  <si>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</si>
  <si>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</si>
  <si>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</si>
  <si>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</si>
  <si>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</si>
  <si>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</si>
  <si>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</si>
  <si>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</si>
  <si>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</si>
  <si>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</si>
  <si>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</si>
  <si>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</si>
  <si>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</si>
  <si>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</si>
  <si>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</si>
  <si>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</si>
  <si>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</si>
  <si>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</si>
  <si>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</si>
  <si>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</si>
  <si>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</si>
  <si>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</si>
  <si>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</si>
  <si>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</si>
  <si>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</si>
  <si>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</si>
  <si>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</si>
  <si>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</si>
  <si>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</si>
  <si>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</si>
  <si>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</si>
  <si>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</si>
  <si>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</si>
  <si>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</si>
  <si>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</si>
  <si>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</si>
  <si>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</si>
  <si>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</si>
  <si>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</si>
  <si>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</si>
  <si>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</si>
  <si>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26061 — Test (8) sets of 13.8 kV Cables, June 18-19</t>
  </si>
  <si>
    <t>Short (multi-day) · quote #4224 · status ready_to_bill · as of 2026-06-30</t>
  </si>
  <si>
    <t>93 actual hrs (budget 80 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</si>
</sst>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"/>
    <numFmt numFmtId="165" formatCode="0.0%"/>
    <numFmt numFmtId="166" formatCode="#,##0.0"/>
  </numFmts>
  <fonts count="7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i/>
      <sz val="9"/>
      <color rgb="FF666666"/>
      <name val="Calibri"/>
    </font>
    <font>
      <b/>
      <sz val="10"/>
      <color rgb="FFFFFFFF"/>
      <name val="Calibri"/>
    </font>
    <font>
      <sz val="11"/>
      <name val="Calibri"/>
    </font>
    <font>
      <b/>
      <sz val="11"/>
      <name val="Calibri"/>
    </font>
    <font>
      <b/>
      <sz val="12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5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6" fillId="0" borderId="0" xfId="0" applyFont="1"/>
    <xf numFmtId="0" fontId="0" fillId="4" borderId="0" xfId="0" applyFill="1"/>
    <xf numFmtId="166" fontId="0" fillId="0" borderId="0" xfId="0" applyNumberFormat="1"/>
    <xf numFmtId="165" fontId="0" fillId="5" borderId="0" xfId="0" applyNumberFormat="1" applyFill="1"/>
    <xf numFmtId="165" fontId="5" fillId="6" borderId="0" xfId="0" applyNumberFormat="1" applyFont="1" applyFill="1"/>
    <xf numFmtId="0" fontId="5" fillId="6" borderId="0" xfId="0" applyFont="1" applyFill="1"/>
    <xf numFmtId="164" fontId="0" fillId="6" borderId="0" xfId="0" applyNumberFormat="1" applyFill="1"/>
    <xf numFmtId="0" fontId="5" fillId="0" borderId="0" xfId="0" applyFont="1"/>
    <xf numFmtId="164" fontId="5" fillId="0" borderId="0" xfId="0" applyNumberFormat="1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26011 cumulative labor hours (to-the-day)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'26011 Detail'!$H$5</c:f>
              <c:strCache>
                <c:ptCount val="1"/>
                <c:pt idx="0">
                  <c:v>Cum Hours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'26011 Detail'!$G$6:$G$107</c:f>
              <c:strCache>
                <c:ptCount val="102"/>
                <c:pt idx="0">
                  <c:v>2026-02-02</c:v>
                </c:pt>
                <c:pt idx="1">
                  <c:v>2026-02-03</c:v>
                </c:pt>
                <c:pt idx="2">
                  <c:v>2026-02-04</c:v>
                </c:pt>
                <c:pt idx="3">
                  <c:v>2026-02-05</c:v>
                </c:pt>
                <c:pt idx="4">
                  <c:v>2026-02-06</c:v>
                </c:pt>
                <c:pt idx="5">
                  <c:v>2026-02-09</c:v>
                </c:pt>
                <c:pt idx="6">
                  <c:v>2026-02-10</c:v>
                </c:pt>
                <c:pt idx="7">
                  <c:v>2026-02-11</c:v>
                </c:pt>
                <c:pt idx="8">
                  <c:v>2026-02-12</c:v>
                </c:pt>
                <c:pt idx="9">
                  <c:v>2026-02-13</c:v>
                </c:pt>
                <c:pt idx="10">
                  <c:v>2026-02-16</c:v>
                </c:pt>
                <c:pt idx="11">
                  <c:v>2026-02-17</c:v>
                </c:pt>
                <c:pt idx="12">
                  <c:v>2026-02-18</c:v>
                </c:pt>
                <c:pt idx="13">
                  <c:v>2026-02-19</c:v>
                </c:pt>
                <c:pt idx="14">
                  <c:v>2026-02-20</c:v>
                </c:pt>
                <c:pt idx="15">
                  <c:v>2026-02-21</c:v>
                </c:pt>
                <c:pt idx="16">
                  <c:v>2026-02-23</c:v>
                </c:pt>
                <c:pt idx="17">
                  <c:v>2026-02-24</c:v>
                </c:pt>
                <c:pt idx="18">
                  <c:v>2026-02-25</c:v>
                </c:pt>
                <c:pt idx="19">
                  <c:v>2026-02-26</c:v>
                </c:pt>
                <c:pt idx="20">
                  <c:v>2026-02-27</c:v>
                </c:pt>
                <c:pt idx="21">
                  <c:v>2026-03-02</c:v>
                </c:pt>
                <c:pt idx="22">
                  <c:v>2026-03-04</c:v>
                </c:pt>
                <c:pt idx="23">
                  <c:v>2026-03-05</c:v>
                </c:pt>
                <c:pt idx="24">
                  <c:v>2026-03-06</c:v>
                </c:pt>
                <c:pt idx="25">
                  <c:v>2026-03-09</c:v>
                </c:pt>
                <c:pt idx="26">
                  <c:v>2026-03-10</c:v>
                </c:pt>
                <c:pt idx="27">
                  <c:v>2026-03-11</c:v>
                </c:pt>
                <c:pt idx="28">
                  <c:v>2026-03-12</c:v>
                </c:pt>
                <c:pt idx="29">
                  <c:v>2026-03-13</c:v>
                </c:pt>
                <c:pt idx="30">
                  <c:v>2026-03-16</c:v>
                </c:pt>
                <c:pt idx="31">
                  <c:v>2026-03-17</c:v>
                </c:pt>
                <c:pt idx="32">
                  <c:v>2026-03-18</c:v>
                </c:pt>
                <c:pt idx="33">
                  <c:v>2026-03-19</c:v>
                </c:pt>
                <c:pt idx="34">
                  <c:v>2026-03-20</c:v>
                </c:pt>
                <c:pt idx="35">
                  <c:v>2026-03-23</c:v>
                </c:pt>
                <c:pt idx="36">
                  <c:v>2026-03-24</c:v>
                </c:pt>
                <c:pt idx="37">
                  <c:v>2026-03-25</c:v>
                </c:pt>
                <c:pt idx="38">
                  <c:v>2026-03-26</c:v>
                </c:pt>
                <c:pt idx="39">
                  <c:v>2026-03-30</c:v>
                </c:pt>
                <c:pt idx="40">
                  <c:v>2026-03-31</c:v>
                </c:pt>
                <c:pt idx="41">
                  <c:v>2026-04-01</c:v>
                </c:pt>
                <c:pt idx="42">
                  <c:v>2026-04-02</c:v>
                </c:pt>
                <c:pt idx="43">
                  <c:v>2026-04-06</c:v>
                </c:pt>
                <c:pt idx="44">
                  <c:v>2026-04-07</c:v>
                </c:pt>
                <c:pt idx="45">
                  <c:v>2026-04-08</c:v>
                </c:pt>
                <c:pt idx="46">
                  <c:v>2026-04-09</c:v>
                </c:pt>
                <c:pt idx="47">
                  <c:v>2026-04-10</c:v>
                </c:pt>
                <c:pt idx="48">
                  <c:v>2026-04-13</c:v>
                </c:pt>
                <c:pt idx="49">
                  <c:v>2026-04-14</c:v>
                </c:pt>
                <c:pt idx="50">
                  <c:v>2026-04-15</c:v>
                </c:pt>
                <c:pt idx="51">
                  <c:v>2026-04-16</c:v>
                </c:pt>
                <c:pt idx="52">
                  <c:v>2026-04-17</c:v>
                </c:pt>
                <c:pt idx="53">
                  <c:v>2026-04-20</c:v>
                </c:pt>
                <c:pt idx="54">
                  <c:v>2026-04-21</c:v>
                </c:pt>
                <c:pt idx="55">
                  <c:v>2026-04-22</c:v>
                </c:pt>
                <c:pt idx="56">
                  <c:v>2026-04-23</c:v>
                </c:pt>
                <c:pt idx="57">
                  <c:v>2026-04-27</c:v>
                </c:pt>
                <c:pt idx="58">
                  <c:v>2026-04-28</c:v>
                </c:pt>
                <c:pt idx="59">
                  <c:v>2026-04-29</c:v>
                </c:pt>
                <c:pt idx="60">
                  <c:v>2026-04-30</c:v>
                </c:pt>
                <c:pt idx="61">
                  <c:v>2026-05-01</c:v>
                </c:pt>
                <c:pt idx="62">
                  <c:v>2026-05-04</c:v>
                </c:pt>
                <c:pt idx="63">
                  <c:v>2026-05-05</c:v>
                </c:pt>
                <c:pt idx="64">
                  <c:v>2026-05-06</c:v>
                </c:pt>
                <c:pt idx="65">
                  <c:v>2026-05-07</c:v>
                </c:pt>
                <c:pt idx="66">
                  <c:v>2026-05-08</c:v>
                </c:pt>
                <c:pt idx="67">
                  <c:v>2026-05-11</c:v>
                </c:pt>
                <c:pt idx="68">
                  <c:v>2026-05-12</c:v>
                </c:pt>
                <c:pt idx="69">
                  <c:v>2026-05-13</c:v>
                </c:pt>
                <c:pt idx="70">
                  <c:v>2026-05-14</c:v>
                </c:pt>
                <c:pt idx="71">
                  <c:v>2026-05-15</c:v>
                </c:pt>
                <c:pt idx="72">
                  <c:v>2026-05-16</c:v>
                </c:pt>
                <c:pt idx="73">
                  <c:v>2026-05-18</c:v>
                </c:pt>
                <c:pt idx="74">
                  <c:v>2026-05-19</c:v>
                </c:pt>
                <c:pt idx="75">
                  <c:v>2026-05-20</c:v>
                </c:pt>
                <c:pt idx="76">
                  <c:v>2026-05-21</c:v>
                </c:pt>
                <c:pt idx="77">
                  <c:v>2026-05-22</c:v>
                </c:pt>
                <c:pt idx="78">
                  <c:v>2026-05-26</c:v>
                </c:pt>
                <c:pt idx="79">
                  <c:v>2026-05-27</c:v>
                </c:pt>
                <c:pt idx="80">
                  <c:v>2026-05-28</c:v>
                </c:pt>
                <c:pt idx="81">
                  <c:v>2026-05-29</c:v>
                </c:pt>
                <c:pt idx="82">
                  <c:v>2026-06-01</c:v>
                </c:pt>
                <c:pt idx="83">
                  <c:v>2026-06-02</c:v>
                </c:pt>
                <c:pt idx="84">
                  <c:v>2026-06-03</c:v>
                </c:pt>
                <c:pt idx="85">
                  <c:v>2026-06-04</c:v>
                </c:pt>
                <c:pt idx="86">
                  <c:v>2026-06-05</c:v>
                </c:pt>
                <c:pt idx="87">
                  <c:v>2026-06-08</c:v>
                </c:pt>
                <c:pt idx="88">
                  <c:v>2026-06-09</c:v>
                </c:pt>
                <c:pt idx="89">
                  <c:v>2026-06-10</c:v>
                </c:pt>
                <c:pt idx="90">
                  <c:v>2026-06-11</c:v>
                </c:pt>
                <c:pt idx="91">
                  <c:v>2026-06-12</c:v>
                </c:pt>
                <c:pt idx="92">
                  <c:v>2026-06-15</c:v>
                </c:pt>
                <c:pt idx="93">
                  <c:v>2026-06-16</c:v>
                </c:pt>
                <c:pt idx="94">
                  <c:v>2026-06-17</c:v>
                </c:pt>
                <c:pt idx="95">
                  <c:v>2026-06-18</c:v>
                </c:pt>
                <c:pt idx="96">
                  <c:v>2026-06-19</c:v>
                </c:pt>
                <c:pt idx="97">
                  <c:v>2026-06-22</c:v>
                </c:pt>
                <c:pt idx="98">
                  <c:v>2026-06-23</c:v>
                </c:pt>
                <c:pt idx="99">
                  <c:v>2026-06-24</c:v>
                </c:pt>
                <c:pt idx="100">
                  <c:v>2026-06-25</c:v>
                </c:pt>
                <c:pt idx="101">
                  <c:v>2026-06-26</c:v>
                </c:pt>
              </c:strCache>
            </c:strRef>
          </c:cat>
          <c:val>
            <c:numRef>
              <c:f>'26011 Detail'!$H$6:$H$107</c:f>
              <c:numCache>
                <c:formatCode>#,##0.0</c:formatCode>
                <c:ptCount val="102"/>
                <c:pt idx="0">
                  <c:v>23.1</c:v>
                </c:pt>
                <c:pt idx="1">
                  <c:v>24.3</c:v>
                </c:pt>
                <c:pt idx="2">
                  <c:v>42.7</c:v>
                </c:pt>
                <c:pt idx="3">
                  <c:v>53.2</c:v>
                </c:pt>
                <c:pt idx="4">
                  <c:v>77.7</c:v>
                </c:pt>
                <c:pt idx="5">
                  <c:v>107.2</c:v>
                </c:pt>
                <c:pt idx="6">
                  <c:v>145.4</c:v>
                </c:pt>
                <c:pt idx="7">
                  <c:v>181.4</c:v>
                </c:pt>
                <c:pt idx="8">
                  <c:v>199.4</c:v>
                </c:pt>
                <c:pt idx="9">
                  <c:v>218.4</c:v>
                </c:pt>
                <c:pt idx="10">
                  <c:v>260.89999999999998</c:v>
                </c:pt>
                <c:pt idx="11">
                  <c:v>298.2</c:v>
                </c:pt>
                <c:pt idx="12">
                  <c:v>309.7</c:v>
                </c:pt>
                <c:pt idx="13">
                  <c:v>321.2</c:v>
                </c:pt>
                <c:pt idx="14">
                  <c:v>333.2</c:v>
                </c:pt>
                <c:pt idx="15">
                  <c:v>342.2</c:v>
                </c:pt>
                <c:pt idx="16">
                  <c:v>363.4</c:v>
                </c:pt>
                <c:pt idx="17">
                  <c:v>381.2</c:v>
                </c:pt>
                <c:pt idx="18">
                  <c:v>408.2</c:v>
                </c:pt>
                <c:pt idx="19">
                  <c:v>424.7</c:v>
                </c:pt>
                <c:pt idx="20">
                  <c:v>437.7</c:v>
                </c:pt>
                <c:pt idx="21">
                  <c:v>448.4</c:v>
                </c:pt>
                <c:pt idx="22">
                  <c:v>463.9</c:v>
                </c:pt>
                <c:pt idx="23">
                  <c:v>481.4</c:v>
                </c:pt>
                <c:pt idx="24">
                  <c:v>492.7</c:v>
                </c:pt>
                <c:pt idx="25">
                  <c:v>521.4</c:v>
                </c:pt>
                <c:pt idx="26">
                  <c:v>534.9</c:v>
                </c:pt>
                <c:pt idx="27">
                  <c:v>553.70000000000005</c:v>
                </c:pt>
                <c:pt idx="28">
                  <c:v>563.4</c:v>
                </c:pt>
                <c:pt idx="29">
                  <c:v>578.20000000000005</c:v>
                </c:pt>
                <c:pt idx="30">
                  <c:v>587.9</c:v>
                </c:pt>
                <c:pt idx="31">
                  <c:v>599.70000000000005</c:v>
                </c:pt>
                <c:pt idx="32">
                  <c:v>608.9</c:v>
                </c:pt>
                <c:pt idx="33">
                  <c:v>612.9</c:v>
                </c:pt>
                <c:pt idx="34">
                  <c:v>622.4</c:v>
                </c:pt>
                <c:pt idx="35">
                  <c:v>626.4</c:v>
                </c:pt>
                <c:pt idx="36">
                  <c:v>645.29999999999995</c:v>
                </c:pt>
                <c:pt idx="37">
                  <c:v>649.1</c:v>
                </c:pt>
                <c:pt idx="38">
                  <c:v>678.8</c:v>
                </c:pt>
                <c:pt idx="39">
                  <c:v>702.1</c:v>
                </c:pt>
                <c:pt idx="40">
                  <c:v>733.3</c:v>
                </c:pt>
                <c:pt idx="41">
                  <c:v>772.3</c:v>
                </c:pt>
                <c:pt idx="42">
                  <c:v>804.6</c:v>
                </c:pt>
                <c:pt idx="43">
                  <c:v>830.6</c:v>
                </c:pt>
                <c:pt idx="44">
                  <c:v>852.8</c:v>
                </c:pt>
                <c:pt idx="45">
                  <c:v>879.6</c:v>
                </c:pt>
                <c:pt idx="46">
                  <c:v>902.1</c:v>
                </c:pt>
                <c:pt idx="47">
                  <c:v>923.6</c:v>
                </c:pt>
                <c:pt idx="48">
                  <c:v>933.1</c:v>
                </c:pt>
                <c:pt idx="49">
                  <c:v>954.6</c:v>
                </c:pt>
                <c:pt idx="50">
                  <c:v>975.3</c:v>
                </c:pt>
                <c:pt idx="51">
                  <c:v>995.8</c:v>
                </c:pt>
                <c:pt idx="52">
                  <c:v>1026.8</c:v>
                </c:pt>
                <c:pt idx="53">
                  <c:v>1068.3</c:v>
                </c:pt>
                <c:pt idx="54">
                  <c:v>1108.8</c:v>
                </c:pt>
                <c:pt idx="55">
                  <c:v>1146.8</c:v>
                </c:pt>
                <c:pt idx="56">
                  <c:v>1164.8</c:v>
                </c:pt>
                <c:pt idx="57">
                  <c:v>1203</c:v>
                </c:pt>
                <c:pt idx="58">
                  <c:v>1237.5</c:v>
                </c:pt>
                <c:pt idx="59">
                  <c:v>1259.0999999999999</c:v>
                </c:pt>
                <c:pt idx="60">
                  <c:v>1294.5999999999999</c:v>
                </c:pt>
                <c:pt idx="61">
                  <c:v>1306.0999999999999</c:v>
                </c:pt>
                <c:pt idx="62">
                  <c:v>1330.3</c:v>
                </c:pt>
                <c:pt idx="63">
                  <c:v>1349.3</c:v>
                </c:pt>
                <c:pt idx="64">
                  <c:v>1393</c:v>
                </c:pt>
                <c:pt idx="65">
                  <c:v>1439.5</c:v>
                </c:pt>
                <c:pt idx="66">
                  <c:v>1469</c:v>
                </c:pt>
                <c:pt idx="67">
                  <c:v>1507</c:v>
                </c:pt>
                <c:pt idx="68">
                  <c:v>1545</c:v>
                </c:pt>
                <c:pt idx="69">
                  <c:v>1594.8</c:v>
                </c:pt>
                <c:pt idx="70">
                  <c:v>1642.3</c:v>
                </c:pt>
                <c:pt idx="71">
                  <c:v>1712</c:v>
                </c:pt>
                <c:pt idx="72">
                  <c:v>1781</c:v>
                </c:pt>
                <c:pt idx="73">
                  <c:v>1845.3</c:v>
                </c:pt>
                <c:pt idx="74">
                  <c:v>1909</c:v>
                </c:pt>
                <c:pt idx="75">
                  <c:v>1953.3</c:v>
                </c:pt>
                <c:pt idx="76">
                  <c:v>2001</c:v>
                </c:pt>
                <c:pt idx="77">
                  <c:v>2034</c:v>
                </c:pt>
                <c:pt idx="78">
                  <c:v>2073.5</c:v>
                </c:pt>
                <c:pt idx="79">
                  <c:v>2128.5</c:v>
                </c:pt>
                <c:pt idx="80">
                  <c:v>2185.3000000000002</c:v>
                </c:pt>
                <c:pt idx="81">
                  <c:v>2228.3000000000002</c:v>
                </c:pt>
                <c:pt idx="82">
                  <c:v>2282.3000000000002</c:v>
                </c:pt>
                <c:pt idx="83">
                  <c:v>2319.3000000000002</c:v>
                </c:pt>
                <c:pt idx="84">
                  <c:v>2336.8000000000002</c:v>
                </c:pt>
                <c:pt idx="85">
                  <c:v>2356.8000000000002</c:v>
                </c:pt>
                <c:pt idx="86">
                  <c:v>2381.8000000000002</c:v>
                </c:pt>
                <c:pt idx="87">
                  <c:v>2409.5</c:v>
                </c:pt>
                <c:pt idx="88">
                  <c:v>2454</c:v>
                </c:pt>
                <c:pt idx="89">
                  <c:v>2494.5</c:v>
                </c:pt>
                <c:pt idx="90">
                  <c:v>2531.5</c:v>
                </c:pt>
                <c:pt idx="91">
                  <c:v>2553.3000000000002</c:v>
                </c:pt>
                <c:pt idx="92">
                  <c:v>2572.8000000000002</c:v>
                </c:pt>
                <c:pt idx="93">
                  <c:v>2586.3000000000002</c:v>
                </c:pt>
                <c:pt idx="94">
                  <c:v>2596.3000000000002</c:v>
                </c:pt>
                <c:pt idx="95">
                  <c:v>2605.8000000000002</c:v>
                </c:pt>
                <c:pt idx="96">
                  <c:v>2617.3000000000002</c:v>
                </c:pt>
                <c:pt idx="97">
                  <c:v>2635.8</c:v>
                </c:pt>
                <c:pt idx="98">
                  <c:v>2662.8</c:v>
                </c:pt>
                <c:pt idx="99">
                  <c:v>2690.8</c:v>
                </c:pt>
                <c:pt idx="100">
                  <c:v>2696</c:v>
                </c:pt>
                <c:pt idx="101">
                  <c:v>2703.5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95-439C-B623-66A56E5BB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26061 cumulative labor hours (to-the-day)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'26061 Detail'!$H$5</c:f>
              <c:strCache>
                <c:ptCount val="1"/>
                <c:pt idx="0">
                  <c:v>Cum Hours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'26061 Detail'!$G$6:$G$9</c:f>
              <c:strCache>
                <c:ptCount val="4"/>
                <c:pt idx="0">
                  <c:v>2026-06-16</c:v>
                </c:pt>
                <c:pt idx="1">
                  <c:v>2026-06-18</c:v>
                </c:pt>
                <c:pt idx="2">
                  <c:v>2026-06-19</c:v>
                </c:pt>
                <c:pt idx="3">
                  <c:v>2026-06-22</c:v>
                </c:pt>
              </c:strCache>
            </c:strRef>
          </c:cat>
          <c:val>
            <c:numRef>
              <c:f>'26061 Detail'!$H$6:$H$9</c:f>
              <c:numCache>
                <c:formatCode>#,##0.0</c:formatCode>
                <c:ptCount val="4"/>
                <c:pt idx="0">
                  <c:v>2</c:v>
                </c:pt>
                <c:pt idx="1">
                  <c:v>62</c:v>
                </c:pt>
                <c:pt idx="2">
                  <c:v>89.7</c:v>
                </c:pt>
                <c:pt idx="3">
                  <c:v>92.7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EF-456C-950D-674530B70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workbookViewId="0"/>
  </sheetViews>
  <sheetFormatPr defaultRowHeight="15" x14ac:dyDescent="0.25"/>
  <cols>
    <col min="1" max="1" width="34" customWidth="1"/>
    <col min="2" max="2" width="16" customWidth="1"/>
    <col min="3" max="3" width="14" customWidth="1"/>
  </cols>
  <sheetData>
    <row r="1" spans="1:6" ht="19.5" x14ac:dyDescent="0.3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</row>
    <row r="5" spans="1:6" x14ac:dyDescent="0.25">
      <c r="A5" s="4" t="s">
        <v>5</v>
      </c>
      <c r="B5" s="5">
        <v>3398268</v>
      </c>
      <c r="C5" s="6">
        <v>1</v>
      </c>
    </row>
    <row r="6" spans="1:6" x14ac:dyDescent="0.25">
      <c r="A6" s="4" t="s">
        <v>6</v>
      </c>
      <c r="B6" s="5">
        <v>-1362049</v>
      </c>
      <c r="C6" s="6">
        <v>-0.40100000000000002</v>
      </c>
    </row>
    <row r="7" spans="1:6" x14ac:dyDescent="0.25">
      <c r="A7" s="7" t="s">
        <v>7</v>
      </c>
      <c r="B7" s="8">
        <v>2036220</v>
      </c>
      <c r="C7" s="9">
        <v>0.59899999999999998</v>
      </c>
    </row>
    <row r="8" spans="1:6" x14ac:dyDescent="0.25">
      <c r="A8" s="4" t="s">
        <v>8</v>
      </c>
      <c r="B8" s="5">
        <v>-1679004</v>
      </c>
      <c r="C8" s="6">
        <v>-0.49399999999999999</v>
      </c>
    </row>
    <row r="9" spans="1:6" x14ac:dyDescent="0.25">
      <c r="A9" s="7" t="s">
        <v>9</v>
      </c>
      <c r="B9" s="8">
        <v>357215</v>
      </c>
      <c r="C9" s="9">
        <v>0.105</v>
      </c>
    </row>
    <row r="10" spans="1:6" x14ac:dyDescent="0.25">
      <c r="A10" s="4" t="s">
        <v>10</v>
      </c>
      <c r="B10" s="5">
        <v>142468</v>
      </c>
      <c r="C10" s="6">
        <v>4.2000000000000003E-2</v>
      </c>
    </row>
    <row r="11" spans="1:6" x14ac:dyDescent="0.25">
      <c r="A11" s="7" t="s">
        <v>11</v>
      </c>
      <c r="B11" s="8">
        <v>499683</v>
      </c>
      <c r="C11" s="9">
        <v>0.14699999999999999</v>
      </c>
    </row>
    <row r="13" spans="1:6" x14ac:dyDescent="0.25">
      <c r="A13" s="19" t="s">
        <v>12</v>
      </c>
      <c r="B13" s="20"/>
      <c r="C13" s="20"/>
      <c r="D13" s="20"/>
      <c r="E13" s="20"/>
      <c r="F13" s="20"/>
    </row>
  </sheetData>
  <mergeCells count="1">
    <mergeCell ref="A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H21" sqref="H21"/>
    </sheetView>
  </sheetViews>
  <sheetFormatPr defaultRowHeight="15" x14ac:dyDescent="0.25"/>
  <cols>
    <col min="1" max="1" width="30" customWidth="1"/>
    <col min="2" max="2" width="34.140625" customWidth="1"/>
    <col min="3" max="3" width="38.140625" bestFit="1" customWidth="1"/>
  </cols>
  <sheetData>
    <row r="1" spans="1:3" ht="19.5" x14ac:dyDescent="0.3">
      <c r="A1" s="1" t="s">
        <v>13</v>
      </c>
    </row>
    <row r="2" spans="1:3" x14ac:dyDescent="0.25">
      <c r="A2" s="2" t="s">
        <v>14</v>
      </c>
    </row>
    <row r="4" spans="1:3" x14ac:dyDescent="0.25">
      <c r="A4" s="3" t="s">
        <v>15</v>
      </c>
      <c r="B4" s="3" t="s">
        <v>16</v>
      </c>
      <c r="C4" s="3" t="s">
        <v>17</v>
      </c>
    </row>
    <row r="5" spans="1:3" x14ac:dyDescent="0.25">
      <c r="A5" t="s">
        <v>18</v>
      </c>
      <c r="B5" t="s">
        <v>16</v>
      </c>
      <c r="C5" t="s">
        <v>17</v>
      </c>
    </row>
    <row r="6" spans="1:3" x14ac:dyDescent="0.25">
      <c r="A6" t="s">
        <v>19</v>
      </c>
      <c r="B6" t="s">
        <v>20</v>
      </c>
      <c r="C6" t="s">
        <v>21</v>
      </c>
    </row>
    <row r="7" spans="1:3" x14ac:dyDescent="0.25">
      <c r="A7" t="s">
        <v>22</v>
      </c>
      <c r="B7" t="s">
        <v>23</v>
      </c>
      <c r="C7" t="s">
        <v>24</v>
      </c>
    </row>
    <row r="8" spans="1:3" x14ac:dyDescent="0.25">
      <c r="A8" t="s">
        <v>25</v>
      </c>
      <c r="B8" t="s">
        <v>26</v>
      </c>
      <c r="C8" t="s">
        <v>27</v>
      </c>
    </row>
    <row r="9" spans="1:3" x14ac:dyDescent="0.25">
      <c r="A9" t="s">
        <v>28</v>
      </c>
      <c r="B9" s="5">
        <v>1652107</v>
      </c>
      <c r="C9" s="5">
        <v>24695</v>
      </c>
    </row>
    <row r="10" spans="1:3" x14ac:dyDescent="0.25">
      <c r="A10" t="s">
        <v>29</v>
      </c>
      <c r="B10" s="5">
        <v>922052</v>
      </c>
      <c r="C10" s="5">
        <v>0</v>
      </c>
    </row>
    <row r="11" spans="1:3" x14ac:dyDescent="0.25">
      <c r="A11" t="s">
        <v>30</v>
      </c>
      <c r="B11" s="5">
        <v>720014</v>
      </c>
      <c r="C11" s="5">
        <v>0</v>
      </c>
    </row>
    <row r="12" spans="1:3" x14ac:dyDescent="0.25">
      <c r="A12" t="s">
        <v>31</v>
      </c>
      <c r="B12" s="5">
        <v>202038</v>
      </c>
      <c r="C12" s="5">
        <v>0</v>
      </c>
    </row>
    <row r="13" spans="1:3" ht="15.75" x14ac:dyDescent="0.25">
      <c r="A13" s="10" t="s">
        <v>32</v>
      </c>
      <c r="B13" s="11"/>
      <c r="C13" s="11"/>
    </row>
    <row r="14" spans="1:3" x14ac:dyDescent="0.25">
      <c r="A14" t="s">
        <v>33</v>
      </c>
      <c r="B14" s="12">
        <v>728</v>
      </c>
      <c r="C14" s="12">
        <v>80.16</v>
      </c>
    </row>
    <row r="15" spans="1:3" x14ac:dyDescent="0.25">
      <c r="A15" t="s">
        <v>34</v>
      </c>
      <c r="B15" s="12">
        <v>2703.5166666666669</v>
      </c>
      <c r="C15" s="12">
        <v>92.666666666666657</v>
      </c>
    </row>
    <row r="16" spans="1:3" x14ac:dyDescent="0.25">
      <c r="A16" t="s">
        <v>35</v>
      </c>
      <c r="B16" s="13">
        <v>2.7136217948717949</v>
      </c>
      <c r="C16" s="13">
        <v>0.15602129075182961</v>
      </c>
    </row>
    <row r="17" spans="1:3" ht="15.75" x14ac:dyDescent="0.25">
      <c r="A17" s="10" t="s">
        <v>36</v>
      </c>
      <c r="B17" s="11"/>
      <c r="C17" s="11"/>
    </row>
    <row r="18" spans="1:3" x14ac:dyDescent="0.25">
      <c r="A18" t="s">
        <v>37</v>
      </c>
      <c r="B18" s="5">
        <v>120496.04</v>
      </c>
      <c r="C18" s="5">
        <v>3566.4650000000011</v>
      </c>
    </row>
    <row r="19" spans="1:3" x14ac:dyDescent="0.25">
      <c r="A19" t="s">
        <v>38</v>
      </c>
      <c r="B19" s="5">
        <v>44450.540000000008</v>
      </c>
      <c r="C19" s="5">
        <v>1105.24</v>
      </c>
    </row>
    <row r="20" spans="1:3" x14ac:dyDescent="0.25">
      <c r="A20" t="s">
        <v>39</v>
      </c>
      <c r="B20" s="5">
        <v>164946.57999999999</v>
      </c>
      <c r="C20" s="5">
        <v>4671.7050000000008</v>
      </c>
    </row>
    <row r="21" spans="1:3" ht="15.75" x14ac:dyDescent="0.25">
      <c r="A21" s="10" t="s">
        <v>40</v>
      </c>
      <c r="B21" s="11"/>
      <c r="C21" s="11"/>
    </row>
    <row r="22" spans="1:3" x14ac:dyDescent="0.25">
      <c r="A22" t="s">
        <v>41</v>
      </c>
      <c r="B22" s="6">
        <v>0.55810670858485556</v>
      </c>
      <c r="C22" s="6">
        <v>1</v>
      </c>
    </row>
    <row r="23" spans="1:3" x14ac:dyDescent="0.25">
      <c r="A23" t="s">
        <v>42</v>
      </c>
      <c r="B23" s="5">
        <v>295546.67138519313</v>
      </c>
      <c r="C23" s="5">
        <v>4671.7050000000008</v>
      </c>
    </row>
    <row r="24" spans="1:3" x14ac:dyDescent="0.25">
      <c r="A24" t="s">
        <v>43</v>
      </c>
      <c r="B24" s="14">
        <v>0.8211092432964735</v>
      </c>
      <c r="C24" s="14">
        <v>0.81082385098198007</v>
      </c>
    </row>
    <row r="25" spans="1:3" x14ac:dyDescent="0.25">
      <c r="A25" t="s">
        <v>44</v>
      </c>
      <c r="B25" s="15" t="s">
        <v>45</v>
      </c>
      <c r="C25" s="15" t="s">
        <v>45</v>
      </c>
    </row>
    <row r="26" spans="1:3" ht="15.75" x14ac:dyDescent="0.25">
      <c r="A26" s="10" t="s">
        <v>46</v>
      </c>
      <c r="B26" s="11"/>
      <c r="C26" s="11"/>
    </row>
    <row r="27" spans="1:3" x14ac:dyDescent="0.25">
      <c r="A27" t="s">
        <v>47</v>
      </c>
      <c r="B27" s="5">
        <v>991264.2</v>
      </c>
      <c r="C27" s="5">
        <v>14817</v>
      </c>
    </row>
    <row r="28" spans="1:3" x14ac:dyDescent="0.25">
      <c r="A28" t="s">
        <v>48</v>
      </c>
      <c r="B28" s="5">
        <v>553231.19999999995</v>
      </c>
      <c r="C28" s="5">
        <v>14817</v>
      </c>
    </row>
    <row r="29" spans="1:3" x14ac:dyDescent="0.25">
      <c r="A29" t="s">
        <v>49</v>
      </c>
      <c r="B29" s="16">
        <v>-388284.61999999988</v>
      </c>
      <c r="C29" s="16">
        <v>-10145.295</v>
      </c>
    </row>
    <row r="30" spans="1:3" x14ac:dyDescent="0.25">
      <c r="A30" t="s">
        <v>50</v>
      </c>
      <c r="B30" s="6">
        <v>0.82110924329647339</v>
      </c>
      <c r="C30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7"/>
  <sheetViews>
    <sheetView showGridLines="0" workbookViewId="0"/>
  </sheetViews>
  <sheetFormatPr defaultRowHeight="15" x14ac:dyDescent="0.25"/>
  <cols>
    <col min="1" max="1" width="26" customWidth="1"/>
    <col min="2" max="2" width="18" customWidth="1"/>
    <col min="3" max="3" width="16" customWidth="1"/>
    <col min="4" max="4" width="34" customWidth="1"/>
    <col min="7" max="8" width="12" customWidth="1"/>
    <col min="9" max="9" width="14" customWidth="1"/>
  </cols>
  <sheetData>
    <row r="1" spans="1:9" ht="19.5" x14ac:dyDescent="0.3">
      <c r="A1" s="1" t="s">
        <v>51</v>
      </c>
    </row>
    <row r="2" spans="1:9" x14ac:dyDescent="0.25">
      <c r="A2" s="2" t="s">
        <v>52</v>
      </c>
    </row>
    <row r="4" spans="1:9" ht="15.75" x14ac:dyDescent="0.25">
      <c r="A4" s="10" t="s">
        <v>53</v>
      </c>
    </row>
    <row r="5" spans="1:9" x14ac:dyDescent="0.25">
      <c r="A5" s="3" t="s">
        <v>54</v>
      </c>
      <c r="B5" s="3" t="s">
        <v>55</v>
      </c>
      <c r="C5" s="3" t="s">
        <v>56</v>
      </c>
      <c r="D5" s="3" t="s">
        <v>57</v>
      </c>
      <c r="G5" s="3" t="s">
        <v>58</v>
      </c>
      <c r="H5" s="3" t="s">
        <v>59</v>
      </c>
      <c r="I5" s="3" t="s">
        <v>60</v>
      </c>
    </row>
    <row r="6" spans="1:9" x14ac:dyDescent="0.25">
      <c r="A6" t="s">
        <v>61</v>
      </c>
      <c r="B6" s="5"/>
      <c r="C6" s="5">
        <v>120496.04</v>
      </c>
      <c r="D6" s="2" t="s">
        <v>62</v>
      </c>
      <c r="G6" t="s">
        <v>63</v>
      </c>
      <c r="H6" s="12">
        <v>23.1</v>
      </c>
      <c r="I6" s="5">
        <v>60</v>
      </c>
    </row>
    <row r="7" spans="1:9" x14ac:dyDescent="0.25">
      <c r="A7" t="s">
        <v>64</v>
      </c>
      <c r="B7" s="5"/>
      <c r="C7" s="5">
        <v>20280.43</v>
      </c>
      <c r="D7" s="2"/>
      <c r="G7" t="s">
        <v>65</v>
      </c>
      <c r="H7" s="12">
        <v>24.3</v>
      </c>
      <c r="I7" s="5">
        <v>60</v>
      </c>
    </row>
    <row r="8" spans="1:9" x14ac:dyDescent="0.25">
      <c r="A8" t="s">
        <v>66</v>
      </c>
      <c r="B8" s="5">
        <v>15120</v>
      </c>
      <c r="C8" s="5">
        <v>22220.37000000001</v>
      </c>
      <c r="D8" s="2" t="s">
        <v>67</v>
      </c>
      <c r="G8" t="s">
        <v>68</v>
      </c>
      <c r="H8" s="12">
        <v>42.7</v>
      </c>
      <c r="I8" s="5">
        <v>60</v>
      </c>
    </row>
    <row r="9" spans="1:9" x14ac:dyDescent="0.25">
      <c r="A9" t="s">
        <v>69</v>
      </c>
      <c r="B9" s="5">
        <v>0</v>
      </c>
      <c r="C9" s="5">
        <v>14.73</v>
      </c>
      <c r="D9" s="2"/>
      <c r="G9" t="s">
        <v>70</v>
      </c>
      <c r="H9" s="12">
        <v>53.2</v>
      </c>
      <c r="I9" s="5">
        <v>60</v>
      </c>
    </row>
    <row r="10" spans="1:9" x14ac:dyDescent="0.25">
      <c r="A10" t="s">
        <v>71</v>
      </c>
      <c r="B10" s="5">
        <v>0</v>
      </c>
      <c r="C10" s="5">
        <v>1935.01</v>
      </c>
      <c r="D10" s="2"/>
      <c r="G10" t="s">
        <v>72</v>
      </c>
      <c r="H10" s="12">
        <v>77.7</v>
      </c>
      <c r="I10" s="5">
        <v>80</v>
      </c>
    </row>
    <row r="11" spans="1:9" x14ac:dyDescent="0.25">
      <c r="A11" t="s">
        <v>73</v>
      </c>
      <c r="B11" s="5"/>
      <c r="C11" s="5">
        <v>0</v>
      </c>
      <c r="D11" s="2"/>
      <c r="G11" t="s">
        <v>74</v>
      </c>
      <c r="H11" s="12">
        <v>107.2</v>
      </c>
      <c r="I11" s="5">
        <v>735</v>
      </c>
    </row>
    <row r="12" spans="1:9" x14ac:dyDescent="0.25">
      <c r="A12" t="s">
        <v>75</v>
      </c>
      <c r="B12" s="5"/>
      <c r="C12" s="5">
        <v>0</v>
      </c>
      <c r="D12" s="2"/>
      <c r="G12" t="s">
        <v>76</v>
      </c>
      <c r="H12" s="12">
        <v>145.4</v>
      </c>
      <c r="I12" s="5">
        <v>1664</v>
      </c>
    </row>
    <row r="13" spans="1:9" x14ac:dyDescent="0.25">
      <c r="A13" s="17" t="s">
        <v>77</v>
      </c>
      <c r="C13" s="18">
        <f>SUM(C6:C12)</f>
        <v>164946.58000000005</v>
      </c>
      <c r="G13" t="s">
        <v>78</v>
      </c>
      <c r="H13" s="12">
        <v>181.4</v>
      </c>
      <c r="I13" s="5">
        <v>2482</v>
      </c>
    </row>
    <row r="14" spans="1:9" x14ac:dyDescent="0.25">
      <c r="G14" t="s">
        <v>79</v>
      </c>
      <c r="H14" s="12">
        <v>199.4</v>
      </c>
      <c r="I14" s="5">
        <v>3100</v>
      </c>
    </row>
    <row r="15" spans="1:9" ht="15.75" x14ac:dyDescent="0.25">
      <c r="A15" s="10" t="s">
        <v>80</v>
      </c>
      <c r="G15" t="s">
        <v>81</v>
      </c>
      <c r="H15" s="12">
        <v>218.4</v>
      </c>
      <c r="I15" s="5">
        <v>3752</v>
      </c>
    </row>
    <row r="16" spans="1:9" x14ac:dyDescent="0.25">
      <c r="A16" t="s">
        <v>82</v>
      </c>
      <c r="B16" s="5">
        <v>1652107</v>
      </c>
      <c r="G16" t="s">
        <v>83</v>
      </c>
      <c r="H16" s="12">
        <v>260.89999999999998</v>
      </c>
      <c r="I16" s="5">
        <v>5584</v>
      </c>
    </row>
    <row r="17" spans="1:9" x14ac:dyDescent="0.25">
      <c r="A17" t="s">
        <v>84</v>
      </c>
      <c r="B17" s="5">
        <v>922052</v>
      </c>
      <c r="G17" t="s">
        <v>85</v>
      </c>
      <c r="H17" s="12">
        <v>298.2</v>
      </c>
      <c r="I17" s="5">
        <v>6944</v>
      </c>
    </row>
    <row r="18" spans="1:9" x14ac:dyDescent="0.25">
      <c r="A18" t="s">
        <v>86</v>
      </c>
      <c r="B18" s="5">
        <v>720014</v>
      </c>
      <c r="G18" t="s">
        <v>87</v>
      </c>
      <c r="H18" s="12">
        <v>309.7</v>
      </c>
      <c r="I18" s="5">
        <v>7342</v>
      </c>
    </row>
    <row r="19" spans="1:9" x14ac:dyDescent="0.25">
      <c r="A19" t="s">
        <v>88</v>
      </c>
      <c r="B19" s="5">
        <v>164946.57999999999</v>
      </c>
      <c r="G19" t="s">
        <v>89</v>
      </c>
      <c r="H19" s="12">
        <v>321.2</v>
      </c>
      <c r="I19" s="5">
        <v>7741</v>
      </c>
    </row>
    <row r="20" spans="1:9" x14ac:dyDescent="0.25">
      <c r="A20" t="s">
        <v>41</v>
      </c>
      <c r="B20" s="6">
        <v>0.55810670858485556</v>
      </c>
      <c r="G20" t="s">
        <v>90</v>
      </c>
      <c r="H20" s="12">
        <v>333.2</v>
      </c>
      <c r="I20" s="5">
        <v>8156</v>
      </c>
    </row>
    <row r="21" spans="1:9" x14ac:dyDescent="0.25">
      <c r="A21" t="s">
        <v>91</v>
      </c>
      <c r="B21" s="5">
        <v>295546.67138519313</v>
      </c>
      <c r="G21" t="s">
        <v>92</v>
      </c>
      <c r="H21" s="12">
        <v>342.2</v>
      </c>
      <c r="I21" s="5">
        <v>8468</v>
      </c>
    </row>
    <row r="22" spans="1:9" x14ac:dyDescent="0.25">
      <c r="A22" t="s">
        <v>43</v>
      </c>
      <c r="B22" s="14">
        <v>0.8211092432964735</v>
      </c>
      <c r="G22" t="s">
        <v>93</v>
      </c>
      <c r="H22" s="12">
        <v>363.4</v>
      </c>
      <c r="I22" s="5">
        <v>9173</v>
      </c>
    </row>
    <row r="23" spans="1:9" x14ac:dyDescent="0.25">
      <c r="A23" t="s">
        <v>94</v>
      </c>
      <c r="B23" s="6">
        <v>0.4</v>
      </c>
      <c r="G23" t="s">
        <v>95</v>
      </c>
      <c r="H23" s="12">
        <v>381.2</v>
      </c>
      <c r="I23" s="5">
        <v>9792</v>
      </c>
    </row>
    <row r="24" spans="1:9" x14ac:dyDescent="0.25">
      <c r="A24" t="s">
        <v>96</v>
      </c>
      <c r="B24" s="16">
        <v>-388284.61999999988</v>
      </c>
      <c r="G24" t="s">
        <v>97</v>
      </c>
      <c r="H24" s="12">
        <v>408.2</v>
      </c>
      <c r="I24" s="5">
        <v>10820</v>
      </c>
    </row>
    <row r="25" spans="1:9" x14ac:dyDescent="0.25">
      <c r="A25" t="s">
        <v>98</v>
      </c>
      <c r="B25" s="6">
        <v>0.82110924329647339</v>
      </c>
      <c r="G25" t="s">
        <v>99</v>
      </c>
      <c r="H25" s="12">
        <v>424.7</v>
      </c>
      <c r="I25" s="5">
        <v>11360</v>
      </c>
    </row>
    <row r="26" spans="1:9" x14ac:dyDescent="0.25">
      <c r="G26" t="s">
        <v>100</v>
      </c>
      <c r="H26" s="12">
        <v>437.7</v>
      </c>
      <c r="I26" s="5">
        <v>11785</v>
      </c>
    </row>
    <row r="27" spans="1:9" x14ac:dyDescent="0.25">
      <c r="G27" t="s">
        <v>101</v>
      </c>
      <c r="H27" s="12">
        <v>448.4</v>
      </c>
      <c r="I27" s="5">
        <v>12079</v>
      </c>
    </row>
    <row r="28" spans="1:9" x14ac:dyDescent="0.25">
      <c r="G28" t="s">
        <v>102</v>
      </c>
      <c r="H28" s="12">
        <v>463.9</v>
      </c>
      <c r="I28" s="5">
        <v>12814</v>
      </c>
    </row>
    <row r="29" spans="1:9" x14ac:dyDescent="0.25">
      <c r="G29" t="s">
        <v>103</v>
      </c>
      <c r="H29" s="12">
        <v>481.4</v>
      </c>
      <c r="I29" s="5">
        <v>13329</v>
      </c>
    </row>
    <row r="30" spans="1:9" x14ac:dyDescent="0.25">
      <c r="G30" t="s">
        <v>104</v>
      </c>
      <c r="H30" s="12">
        <v>492.7</v>
      </c>
      <c r="I30" s="5">
        <v>13636</v>
      </c>
    </row>
    <row r="31" spans="1:9" x14ac:dyDescent="0.25">
      <c r="G31" t="s">
        <v>105</v>
      </c>
      <c r="H31" s="12">
        <v>521.4</v>
      </c>
      <c r="I31" s="5">
        <v>14524</v>
      </c>
    </row>
    <row r="32" spans="1:9" x14ac:dyDescent="0.25">
      <c r="G32" t="s">
        <v>106</v>
      </c>
      <c r="H32" s="12">
        <v>534.9</v>
      </c>
      <c r="I32" s="5">
        <v>14913</v>
      </c>
    </row>
    <row r="33" spans="7:9" x14ac:dyDescent="0.25">
      <c r="G33" t="s">
        <v>107</v>
      </c>
      <c r="H33" s="12">
        <v>553.70000000000005</v>
      </c>
      <c r="I33" s="5">
        <v>15488</v>
      </c>
    </row>
    <row r="34" spans="7:9" x14ac:dyDescent="0.25">
      <c r="G34" t="s">
        <v>108</v>
      </c>
      <c r="H34" s="12">
        <v>563.4</v>
      </c>
      <c r="I34" s="5">
        <v>15755</v>
      </c>
    </row>
    <row r="35" spans="7:9" x14ac:dyDescent="0.25">
      <c r="G35" t="s">
        <v>109</v>
      </c>
      <c r="H35" s="12">
        <v>578.20000000000005</v>
      </c>
      <c r="I35" s="5">
        <v>16240</v>
      </c>
    </row>
    <row r="36" spans="7:9" x14ac:dyDescent="0.25">
      <c r="G36" t="s">
        <v>110</v>
      </c>
      <c r="H36" s="12">
        <v>587.9</v>
      </c>
      <c r="I36" s="5">
        <v>16572</v>
      </c>
    </row>
    <row r="37" spans="7:9" x14ac:dyDescent="0.25">
      <c r="G37" t="s">
        <v>111</v>
      </c>
      <c r="H37" s="12">
        <v>599.70000000000005</v>
      </c>
      <c r="I37" s="5">
        <v>16967</v>
      </c>
    </row>
    <row r="38" spans="7:9" x14ac:dyDescent="0.25">
      <c r="G38" t="s">
        <v>112</v>
      </c>
      <c r="H38" s="12">
        <v>608.9</v>
      </c>
      <c r="I38" s="5">
        <v>17283</v>
      </c>
    </row>
    <row r="39" spans="7:9" x14ac:dyDescent="0.25">
      <c r="G39" t="s">
        <v>113</v>
      </c>
      <c r="H39" s="12">
        <v>612.9</v>
      </c>
      <c r="I39" s="5">
        <v>17409</v>
      </c>
    </row>
    <row r="40" spans="7:9" x14ac:dyDescent="0.25">
      <c r="G40" t="s">
        <v>114</v>
      </c>
      <c r="H40" s="12">
        <v>622.4</v>
      </c>
      <c r="I40" s="5">
        <v>17738</v>
      </c>
    </row>
    <row r="41" spans="7:9" x14ac:dyDescent="0.25">
      <c r="G41" t="s">
        <v>115</v>
      </c>
      <c r="H41" s="12">
        <v>626.4</v>
      </c>
      <c r="I41" s="5">
        <v>17889</v>
      </c>
    </row>
    <row r="42" spans="7:9" x14ac:dyDescent="0.25">
      <c r="G42" t="s">
        <v>116</v>
      </c>
      <c r="H42" s="12">
        <v>645.29999999999995</v>
      </c>
      <c r="I42" s="5">
        <v>18597</v>
      </c>
    </row>
    <row r="43" spans="7:9" x14ac:dyDescent="0.25">
      <c r="G43" t="s">
        <v>117</v>
      </c>
      <c r="H43" s="12">
        <v>649.1</v>
      </c>
      <c r="I43" s="5">
        <v>18742</v>
      </c>
    </row>
    <row r="44" spans="7:9" x14ac:dyDescent="0.25">
      <c r="G44" t="s">
        <v>118</v>
      </c>
      <c r="H44" s="12">
        <v>678.8</v>
      </c>
      <c r="I44" s="5">
        <v>19829</v>
      </c>
    </row>
    <row r="45" spans="7:9" x14ac:dyDescent="0.25">
      <c r="G45" t="s">
        <v>119</v>
      </c>
      <c r="H45" s="12">
        <v>702.1</v>
      </c>
      <c r="I45" s="5">
        <v>20608</v>
      </c>
    </row>
    <row r="46" spans="7:9" x14ac:dyDescent="0.25">
      <c r="G46" t="s">
        <v>120</v>
      </c>
      <c r="H46" s="12">
        <v>733.3</v>
      </c>
      <c r="I46" s="5">
        <v>21667</v>
      </c>
    </row>
    <row r="47" spans="7:9" x14ac:dyDescent="0.25">
      <c r="G47" t="s">
        <v>121</v>
      </c>
      <c r="H47" s="12">
        <v>772.3</v>
      </c>
      <c r="I47" s="5">
        <v>22919</v>
      </c>
    </row>
    <row r="48" spans="7:9" x14ac:dyDescent="0.25">
      <c r="G48" t="s">
        <v>122</v>
      </c>
      <c r="H48" s="12">
        <v>804.6</v>
      </c>
      <c r="I48" s="5">
        <v>23937</v>
      </c>
    </row>
    <row r="49" spans="7:9" x14ac:dyDescent="0.25">
      <c r="G49" t="s">
        <v>123</v>
      </c>
      <c r="H49" s="12">
        <v>830.6</v>
      </c>
      <c r="I49" s="5">
        <v>25174</v>
      </c>
    </row>
    <row r="50" spans="7:9" x14ac:dyDescent="0.25">
      <c r="G50" t="s">
        <v>124</v>
      </c>
      <c r="H50" s="12">
        <v>852.8</v>
      </c>
      <c r="I50" s="5">
        <v>26094</v>
      </c>
    </row>
    <row r="51" spans="7:9" x14ac:dyDescent="0.25">
      <c r="G51" t="s">
        <v>125</v>
      </c>
      <c r="H51" s="12">
        <v>879.6</v>
      </c>
      <c r="I51" s="5">
        <v>27380</v>
      </c>
    </row>
    <row r="52" spans="7:9" x14ac:dyDescent="0.25">
      <c r="G52" t="s">
        <v>126</v>
      </c>
      <c r="H52" s="12">
        <v>902.1</v>
      </c>
      <c r="I52" s="5">
        <v>28286</v>
      </c>
    </row>
    <row r="53" spans="7:9" x14ac:dyDescent="0.25">
      <c r="G53" t="s">
        <v>127</v>
      </c>
      <c r="H53" s="12">
        <v>923.6</v>
      </c>
      <c r="I53" s="5">
        <v>29010</v>
      </c>
    </row>
    <row r="54" spans="7:9" x14ac:dyDescent="0.25">
      <c r="G54" t="s">
        <v>128</v>
      </c>
      <c r="H54" s="12">
        <v>933.1</v>
      </c>
      <c r="I54" s="5">
        <v>29330</v>
      </c>
    </row>
    <row r="55" spans="7:9" x14ac:dyDescent="0.25">
      <c r="G55" t="s">
        <v>129</v>
      </c>
      <c r="H55" s="12">
        <v>954.6</v>
      </c>
      <c r="I55" s="5">
        <v>30055</v>
      </c>
    </row>
    <row r="56" spans="7:9" x14ac:dyDescent="0.25">
      <c r="G56" t="s">
        <v>130</v>
      </c>
      <c r="H56" s="12">
        <v>975.3</v>
      </c>
      <c r="I56" s="5">
        <v>30754</v>
      </c>
    </row>
    <row r="57" spans="7:9" x14ac:dyDescent="0.25">
      <c r="G57" t="s">
        <v>131</v>
      </c>
      <c r="H57" s="12">
        <v>995.8</v>
      </c>
      <c r="I57" s="5">
        <v>31445</v>
      </c>
    </row>
    <row r="58" spans="7:9" x14ac:dyDescent="0.25">
      <c r="G58" t="s">
        <v>132</v>
      </c>
      <c r="H58" s="12">
        <v>1026.8</v>
      </c>
      <c r="I58" s="5">
        <v>32493</v>
      </c>
    </row>
    <row r="59" spans="7:9" x14ac:dyDescent="0.25">
      <c r="G59" t="s">
        <v>133</v>
      </c>
      <c r="H59" s="12">
        <v>1068.3</v>
      </c>
      <c r="I59" s="5">
        <v>33879</v>
      </c>
    </row>
    <row r="60" spans="7:9" x14ac:dyDescent="0.25">
      <c r="G60" t="s">
        <v>134</v>
      </c>
      <c r="H60" s="12">
        <v>1108.8</v>
      </c>
      <c r="I60" s="5">
        <v>35235</v>
      </c>
    </row>
    <row r="61" spans="7:9" x14ac:dyDescent="0.25">
      <c r="G61" t="s">
        <v>135</v>
      </c>
      <c r="H61" s="12">
        <v>1146.8</v>
      </c>
      <c r="I61" s="5">
        <v>36506</v>
      </c>
    </row>
    <row r="62" spans="7:9" x14ac:dyDescent="0.25">
      <c r="G62" t="s">
        <v>136</v>
      </c>
      <c r="H62" s="12">
        <v>1164.8</v>
      </c>
      <c r="I62" s="5">
        <v>37118</v>
      </c>
    </row>
    <row r="63" spans="7:9" x14ac:dyDescent="0.25">
      <c r="G63" t="s">
        <v>137</v>
      </c>
      <c r="H63" s="12">
        <v>1203</v>
      </c>
      <c r="I63" s="5">
        <v>38352</v>
      </c>
    </row>
    <row r="64" spans="7:9" x14ac:dyDescent="0.25">
      <c r="G64" t="s">
        <v>138</v>
      </c>
      <c r="H64" s="12">
        <v>1237.5</v>
      </c>
      <c r="I64" s="5">
        <v>39445</v>
      </c>
    </row>
    <row r="65" spans="7:9" x14ac:dyDescent="0.25">
      <c r="G65" t="s">
        <v>139</v>
      </c>
      <c r="H65" s="12">
        <v>1259.0999999999999</v>
      </c>
      <c r="I65" s="5">
        <v>40079</v>
      </c>
    </row>
    <row r="66" spans="7:9" x14ac:dyDescent="0.25">
      <c r="G66" t="s">
        <v>140</v>
      </c>
      <c r="H66" s="12">
        <v>1294.5999999999999</v>
      </c>
      <c r="I66" s="5">
        <v>41249</v>
      </c>
    </row>
    <row r="67" spans="7:9" x14ac:dyDescent="0.25">
      <c r="G67" t="s">
        <v>141</v>
      </c>
      <c r="H67" s="12">
        <v>1306.0999999999999</v>
      </c>
      <c r="I67" s="5">
        <v>41623</v>
      </c>
    </row>
    <row r="68" spans="7:9" x14ac:dyDescent="0.25">
      <c r="G68" t="s">
        <v>142</v>
      </c>
      <c r="H68" s="12">
        <v>1330.3</v>
      </c>
      <c r="I68" s="5">
        <v>42803</v>
      </c>
    </row>
    <row r="69" spans="7:9" x14ac:dyDescent="0.25">
      <c r="G69" t="s">
        <v>143</v>
      </c>
      <c r="H69" s="12">
        <v>1349.3</v>
      </c>
      <c r="I69" s="5">
        <v>43426</v>
      </c>
    </row>
    <row r="70" spans="7:9" x14ac:dyDescent="0.25">
      <c r="G70" t="s">
        <v>144</v>
      </c>
      <c r="H70" s="12">
        <v>1393</v>
      </c>
      <c r="I70" s="5">
        <v>45763</v>
      </c>
    </row>
    <row r="71" spans="7:9" x14ac:dyDescent="0.25">
      <c r="G71" t="s">
        <v>145</v>
      </c>
      <c r="H71" s="12">
        <v>1439.5</v>
      </c>
      <c r="I71" s="5">
        <v>48178</v>
      </c>
    </row>
    <row r="72" spans="7:9" x14ac:dyDescent="0.25">
      <c r="G72" t="s">
        <v>146</v>
      </c>
      <c r="H72" s="12">
        <v>1469</v>
      </c>
      <c r="I72" s="5">
        <v>49164</v>
      </c>
    </row>
    <row r="73" spans="7:9" x14ac:dyDescent="0.25">
      <c r="G73" t="s">
        <v>147</v>
      </c>
      <c r="H73" s="12">
        <v>1507</v>
      </c>
      <c r="I73" s="5">
        <v>50862</v>
      </c>
    </row>
    <row r="74" spans="7:9" x14ac:dyDescent="0.25">
      <c r="G74" t="s">
        <v>148</v>
      </c>
      <c r="H74" s="12">
        <v>1545</v>
      </c>
      <c r="I74" s="5">
        <v>52560</v>
      </c>
    </row>
    <row r="75" spans="7:9" x14ac:dyDescent="0.25">
      <c r="G75" t="s">
        <v>149</v>
      </c>
      <c r="H75" s="12">
        <v>1594.8</v>
      </c>
      <c r="I75" s="5">
        <v>54946</v>
      </c>
    </row>
    <row r="76" spans="7:9" x14ac:dyDescent="0.25">
      <c r="G76" t="s">
        <v>150</v>
      </c>
      <c r="H76" s="12">
        <v>1642.3</v>
      </c>
      <c r="I76" s="5">
        <v>57460</v>
      </c>
    </row>
    <row r="77" spans="7:9" x14ac:dyDescent="0.25">
      <c r="G77" t="s">
        <v>151</v>
      </c>
      <c r="H77" s="12">
        <v>1712</v>
      </c>
      <c r="I77" s="5">
        <v>61064</v>
      </c>
    </row>
    <row r="78" spans="7:9" x14ac:dyDescent="0.25">
      <c r="G78" t="s">
        <v>152</v>
      </c>
      <c r="H78" s="12">
        <v>1781</v>
      </c>
      <c r="I78" s="5">
        <v>64514</v>
      </c>
    </row>
    <row r="79" spans="7:9" x14ac:dyDescent="0.25">
      <c r="G79" t="s">
        <v>153</v>
      </c>
      <c r="H79" s="12">
        <v>1845.3</v>
      </c>
      <c r="I79" s="5">
        <v>67621</v>
      </c>
    </row>
    <row r="80" spans="7:9" x14ac:dyDescent="0.25">
      <c r="G80" t="s">
        <v>154</v>
      </c>
      <c r="H80" s="12">
        <v>1909</v>
      </c>
      <c r="I80" s="5">
        <v>70104</v>
      </c>
    </row>
    <row r="81" spans="7:9" x14ac:dyDescent="0.25">
      <c r="G81" t="s">
        <v>155</v>
      </c>
      <c r="H81" s="12">
        <v>1953.3</v>
      </c>
      <c r="I81" s="5">
        <v>71829</v>
      </c>
    </row>
    <row r="82" spans="7:9" x14ac:dyDescent="0.25">
      <c r="G82" t="s">
        <v>156</v>
      </c>
      <c r="H82" s="12">
        <v>2001</v>
      </c>
      <c r="I82" s="5">
        <v>73904</v>
      </c>
    </row>
    <row r="83" spans="7:9" x14ac:dyDescent="0.25">
      <c r="G83" t="s">
        <v>157</v>
      </c>
      <c r="H83" s="12">
        <v>2034</v>
      </c>
      <c r="I83" s="5">
        <v>75224</v>
      </c>
    </row>
    <row r="84" spans="7:9" x14ac:dyDescent="0.25">
      <c r="G84" t="s">
        <v>158</v>
      </c>
      <c r="H84" s="12">
        <v>2073.5</v>
      </c>
      <c r="I84" s="5">
        <v>76934</v>
      </c>
    </row>
    <row r="85" spans="7:9" x14ac:dyDescent="0.25">
      <c r="G85" t="s">
        <v>159</v>
      </c>
      <c r="H85" s="12">
        <v>2128.5</v>
      </c>
      <c r="I85" s="5">
        <v>79345</v>
      </c>
    </row>
    <row r="86" spans="7:9" x14ac:dyDescent="0.25">
      <c r="G86" t="s">
        <v>160</v>
      </c>
      <c r="H86" s="12">
        <v>2185.3000000000002</v>
      </c>
      <c r="I86" s="5">
        <v>82046</v>
      </c>
    </row>
    <row r="87" spans="7:9" x14ac:dyDescent="0.25">
      <c r="G87" t="s">
        <v>161</v>
      </c>
      <c r="H87" s="12">
        <v>2228.3000000000002</v>
      </c>
      <c r="I87" s="5">
        <v>84065</v>
      </c>
    </row>
    <row r="88" spans="7:9" x14ac:dyDescent="0.25">
      <c r="G88" t="s">
        <v>162</v>
      </c>
      <c r="H88" s="12">
        <v>2282.3000000000002</v>
      </c>
      <c r="I88" s="5">
        <v>86553</v>
      </c>
    </row>
    <row r="89" spans="7:9" x14ac:dyDescent="0.25">
      <c r="G89" t="s">
        <v>163</v>
      </c>
      <c r="H89" s="12">
        <v>2319.3000000000002</v>
      </c>
      <c r="I89" s="5">
        <v>88170</v>
      </c>
    </row>
    <row r="90" spans="7:9" x14ac:dyDescent="0.25">
      <c r="G90" t="s">
        <v>164</v>
      </c>
      <c r="H90" s="12">
        <v>2336.8000000000002</v>
      </c>
      <c r="I90" s="5">
        <v>88880</v>
      </c>
    </row>
    <row r="91" spans="7:9" x14ac:dyDescent="0.25">
      <c r="G91" t="s">
        <v>165</v>
      </c>
      <c r="H91" s="12">
        <v>2356.8000000000002</v>
      </c>
      <c r="I91" s="5">
        <v>89789</v>
      </c>
    </row>
    <row r="92" spans="7:9" x14ac:dyDescent="0.25">
      <c r="G92" t="s">
        <v>166</v>
      </c>
      <c r="H92" s="12">
        <v>2381.8000000000002</v>
      </c>
      <c r="I92" s="5">
        <v>90880</v>
      </c>
    </row>
    <row r="93" spans="7:9" x14ac:dyDescent="0.25">
      <c r="G93" t="s">
        <v>167</v>
      </c>
      <c r="H93" s="12">
        <v>2409.5</v>
      </c>
      <c r="I93" s="5">
        <v>92065</v>
      </c>
    </row>
    <row r="94" spans="7:9" x14ac:dyDescent="0.25">
      <c r="G94" t="s">
        <v>168</v>
      </c>
      <c r="H94" s="12">
        <v>2454</v>
      </c>
      <c r="I94" s="5">
        <v>94243</v>
      </c>
    </row>
    <row r="95" spans="7:9" x14ac:dyDescent="0.25">
      <c r="G95" t="s">
        <v>169</v>
      </c>
      <c r="H95" s="12">
        <v>2494.5</v>
      </c>
      <c r="I95" s="5">
        <v>96111</v>
      </c>
    </row>
    <row r="96" spans="7:9" x14ac:dyDescent="0.25">
      <c r="G96" t="s">
        <v>170</v>
      </c>
      <c r="H96" s="12">
        <v>2531.5</v>
      </c>
      <c r="I96" s="5">
        <v>97622</v>
      </c>
    </row>
    <row r="97" spans="7:9" x14ac:dyDescent="0.25">
      <c r="G97" t="s">
        <v>171</v>
      </c>
      <c r="H97" s="12">
        <v>2553.3000000000002</v>
      </c>
      <c r="I97" s="5">
        <v>98558</v>
      </c>
    </row>
    <row r="98" spans="7:9" x14ac:dyDescent="0.25">
      <c r="G98" t="s">
        <v>172</v>
      </c>
      <c r="H98" s="12">
        <v>2572.8000000000002</v>
      </c>
      <c r="I98" s="5">
        <v>99468</v>
      </c>
    </row>
    <row r="99" spans="7:9" x14ac:dyDescent="0.25">
      <c r="G99" t="s">
        <v>173</v>
      </c>
      <c r="H99" s="12">
        <v>2586.3000000000002</v>
      </c>
      <c r="I99" s="5">
        <v>100130</v>
      </c>
    </row>
    <row r="100" spans="7:9" x14ac:dyDescent="0.25">
      <c r="G100" t="s">
        <v>174</v>
      </c>
      <c r="H100" s="12">
        <v>2596.3000000000002</v>
      </c>
      <c r="I100" s="5">
        <v>100471</v>
      </c>
    </row>
    <row r="101" spans="7:9" x14ac:dyDescent="0.25">
      <c r="G101" t="s">
        <v>175</v>
      </c>
      <c r="H101" s="12">
        <v>2605.8000000000002</v>
      </c>
      <c r="I101" s="5">
        <v>100795</v>
      </c>
    </row>
    <row r="102" spans="7:9" x14ac:dyDescent="0.25">
      <c r="G102" t="s">
        <v>176</v>
      </c>
      <c r="H102" s="12">
        <v>2617.3000000000002</v>
      </c>
      <c r="I102" s="5">
        <v>101187</v>
      </c>
    </row>
    <row r="103" spans="7:9" x14ac:dyDescent="0.25">
      <c r="G103" t="s">
        <v>177</v>
      </c>
      <c r="H103" s="12">
        <v>2635.8</v>
      </c>
      <c r="I103" s="5">
        <v>101935</v>
      </c>
    </row>
    <row r="104" spans="7:9" x14ac:dyDescent="0.25">
      <c r="G104" t="s">
        <v>178</v>
      </c>
      <c r="H104" s="12">
        <v>2662.8</v>
      </c>
      <c r="I104" s="5">
        <v>103060</v>
      </c>
    </row>
    <row r="105" spans="7:9" x14ac:dyDescent="0.25">
      <c r="G105" t="s">
        <v>179</v>
      </c>
      <c r="H105" s="12">
        <v>2690.8</v>
      </c>
      <c r="I105" s="5">
        <v>104219</v>
      </c>
    </row>
    <row r="106" spans="7:9" x14ac:dyDescent="0.25">
      <c r="G106" t="s">
        <v>180</v>
      </c>
      <c r="H106" s="12">
        <v>2696</v>
      </c>
      <c r="I106" s="5">
        <v>104385</v>
      </c>
    </row>
    <row r="107" spans="7:9" x14ac:dyDescent="0.25">
      <c r="G107" t="s">
        <v>181</v>
      </c>
      <c r="H107" s="12">
        <v>2703.5</v>
      </c>
      <c r="I107" s="5">
        <v>104623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showGridLines="0" workbookViewId="0"/>
  </sheetViews>
  <sheetFormatPr defaultRowHeight="15" x14ac:dyDescent="0.25"/>
  <cols>
    <col min="1" max="1" width="26" customWidth="1"/>
    <col min="2" max="2" width="18" customWidth="1"/>
    <col min="3" max="3" width="16" customWidth="1"/>
    <col min="4" max="4" width="34" customWidth="1"/>
    <col min="7" max="8" width="12" customWidth="1"/>
    <col min="9" max="9" width="14" customWidth="1"/>
  </cols>
  <sheetData>
    <row r="1" spans="1:9" ht="19.5" x14ac:dyDescent="0.3">
      <c r="A1" s="1" t="s">
        <v>182</v>
      </c>
    </row>
    <row r="2" spans="1:9" x14ac:dyDescent="0.25">
      <c r="A2" s="2" t="s">
        <v>183</v>
      </c>
    </row>
    <row r="4" spans="1:9" ht="15.75" x14ac:dyDescent="0.25">
      <c r="A4" s="10" t="s">
        <v>53</v>
      </c>
    </row>
    <row r="5" spans="1:9" x14ac:dyDescent="0.25">
      <c r="A5" s="3" t="s">
        <v>54</v>
      </c>
      <c r="B5" s="3" t="s">
        <v>55</v>
      </c>
      <c r="C5" s="3" t="s">
        <v>56</v>
      </c>
      <c r="D5" s="3" t="s">
        <v>57</v>
      </c>
      <c r="G5" s="3" t="s">
        <v>58</v>
      </c>
      <c r="H5" s="3" t="s">
        <v>59</v>
      </c>
      <c r="I5" s="3" t="s">
        <v>60</v>
      </c>
    </row>
    <row r="6" spans="1:9" x14ac:dyDescent="0.25">
      <c r="A6" t="s">
        <v>61</v>
      </c>
      <c r="B6" s="5"/>
      <c r="C6" s="5">
        <v>3566.4650000000011</v>
      </c>
      <c r="D6" s="2" t="s">
        <v>184</v>
      </c>
      <c r="G6" t="s">
        <v>173</v>
      </c>
      <c r="H6" s="12">
        <v>2</v>
      </c>
      <c r="I6" s="5">
        <v>95</v>
      </c>
    </row>
    <row r="7" spans="1:9" x14ac:dyDescent="0.25">
      <c r="A7" t="s">
        <v>64</v>
      </c>
      <c r="B7" s="5"/>
      <c r="C7" s="5">
        <v>675.75</v>
      </c>
      <c r="D7" s="2"/>
      <c r="G7" t="s">
        <v>175</v>
      </c>
      <c r="H7" s="12">
        <v>62</v>
      </c>
      <c r="I7" s="5">
        <v>2360</v>
      </c>
    </row>
    <row r="8" spans="1:9" x14ac:dyDescent="0.25">
      <c r="A8" t="s">
        <v>66</v>
      </c>
      <c r="B8" s="5">
        <v>4286.3999999999996</v>
      </c>
      <c r="C8" s="5">
        <v>418.29</v>
      </c>
      <c r="D8" s="2" t="s">
        <v>67</v>
      </c>
      <c r="G8" t="s">
        <v>176</v>
      </c>
      <c r="H8" s="12">
        <v>89.7</v>
      </c>
      <c r="I8" s="5">
        <v>3425</v>
      </c>
    </row>
    <row r="9" spans="1:9" x14ac:dyDescent="0.25">
      <c r="A9" t="s">
        <v>69</v>
      </c>
      <c r="B9" s="5">
        <v>130</v>
      </c>
      <c r="C9" s="5">
        <v>11.2</v>
      </c>
      <c r="D9" s="2"/>
      <c r="G9" t="s">
        <v>177</v>
      </c>
      <c r="H9" s="12">
        <v>92.7</v>
      </c>
      <c r="I9" s="5">
        <v>3566</v>
      </c>
    </row>
    <row r="10" spans="1:9" x14ac:dyDescent="0.25">
      <c r="A10" t="s">
        <v>71</v>
      </c>
      <c r="B10" s="5">
        <v>0</v>
      </c>
      <c r="C10" s="5">
        <v>0</v>
      </c>
      <c r="D10" s="2"/>
    </row>
    <row r="11" spans="1:9" x14ac:dyDescent="0.25">
      <c r="A11" t="s">
        <v>73</v>
      </c>
      <c r="B11" s="5"/>
      <c r="C11" s="5">
        <v>0</v>
      </c>
      <c r="D11" s="2"/>
    </row>
    <row r="12" spans="1:9" x14ac:dyDescent="0.25">
      <c r="A12" t="s">
        <v>75</v>
      </c>
      <c r="B12" s="5"/>
      <c r="C12" s="5">
        <v>0</v>
      </c>
      <c r="D12" s="2"/>
    </row>
    <row r="13" spans="1:9" x14ac:dyDescent="0.25">
      <c r="A13" s="17" t="s">
        <v>77</v>
      </c>
      <c r="C13" s="18">
        <f>SUM(C6:C12)</f>
        <v>4671.7050000000008</v>
      </c>
    </row>
    <row r="15" spans="1:9" ht="15.75" x14ac:dyDescent="0.25">
      <c r="A15" s="10" t="s">
        <v>80</v>
      </c>
    </row>
    <row r="16" spans="1:9" x14ac:dyDescent="0.25">
      <c r="A16" t="s">
        <v>82</v>
      </c>
      <c r="B16" s="5">
        <v>24695</v>
      </c>
    </row>
    <row r="17" spans="1:2" x14ac:dyDescent="0.25">
      <c r="A17" t="s">
        <v>84</v>
      </c>
      <c r="B17" s="5">
        <v>0</v>
      </c>
    </row>
    <row r="18" spans="1:2" x14ac:dyDescent="0.25">
      <c r="A18" t="s">
        <v>86</v>
      </c>
      <c r="B18" s="5">
        <v>0</v>
      </c>
    </row>
    <row r="19" spans="1:2" x14ac:dyDescent="0.25">
      <c r="A19" t="s">
        <v>88</v>
      </c>
      <c r="B19" s="5">
        <v>4671.7050000000008</v>
      </c>
    </row>
    <row r="20" spans="1:2" x14ac:dyDescent="0.25">
      <c r="A20" t="s">
        <v>41</v>
      </c>
      <c r="B20" s="6">
        <v>1</v>
      </c>
    </row>
    <row r="21" spans="1:2" x14ac:dyDescent="0.25">
      <c r="A21" t="s">
        <v>91</v>
      </c>
      <c r="B21" s="5">
        <v>4671.7050000000008</v>
      </c>
    </row>
    <row r="22" spans="1:2" x14ac:dyDescent="0.25">
      <c r="A22" t="s">
        <v>43</v>
      </c>
      <c r="B22" s="14">
        <v>0.81082385098198007</v>
      </c>
    </row>
    <row r="23" spans="1:2" x14ac:dyDescent="0.25">
      <c r="A23" t="s">
        <v>94</v>
      </c>
      <c r="B23" s="6">
        <v>0.4</v>
      </c>
    </row>
    <row r="24" spans="1:2" x14ac:dyDescent="0.25">
      <c r="A24" t="s">
        <v>96</v>
      </c>
      <c r="B24" s="16">
        <v>-10145.295</v>
      </c>
    </row>
    <row r="25" spans="1:2" x14ac:dyDescent="0.25">
      <c r="A25" t="s">
        <v>98</v>
      </c>
      <c r="B25" s="6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Margin</vt:lpstr>
      <vt:lpstr>Job Scorecard</vt:lpstr>
      <vt:lpstr>26011 Detail</vt:lpstr>
      <vt:lpstr>26061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Smith</cp:lastModifiedBy>
  <dcterms:created xsi:type="dcterms:W3CDTF">2026-06-30T18:49:34Z</dcterms:created>
  <dcterms:modified xsi:type="dcterms:W3CDTF">2026-06-30T18:51:01Z</dcterms:modified>
</cp:coreProperties>
</file>
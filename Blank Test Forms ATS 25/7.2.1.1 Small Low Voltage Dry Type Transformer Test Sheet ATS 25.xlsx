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AMP ALL\Client Files\04. Blank Test Reports\Blank Test Forms ATS 25\"/>
    </mc:Choice>
  </mc:AlternateContent>
  <xr:revisionPtr revIDLastSave="0" documentId="13_ncr:1_{0A298131-5748-429C-A29D-3CF7E9B01A03}" xr6:coauthVersionLast="47" xr6:coauthVersionMax="47" xr10:uidLastSave="{00000000-0000-0000-0000-000000000000}"/>
  <bookViews>
    <workbookView xWindow="980" yWindow="410" windowWidth="22860" windowHeight="13170" xr2:uid="{00000000-000D-0000-FFFF-FFFF00000000}"/>
  </bookViews>
  <sheets>
    <sheet name="Test Sheet" sheetId="1" r:id="rId1"/>
  </sheets>
  <definedNames>
    <definedName name="_xlnm.Print_Area" localSheetId="0">'Test Sheet'!$A$1:$AM$63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1" l="1"/>
  <c r="J51" i="1" s="1"/>
  <c r="J14" i="1"/>
  <c r="J50" i="1" s="1"/>
  <c r="Q40" i="1"/>
  <c r="U41" i="1"/>
  <c r="U42" i="1"/>
  <c r="Q41" i="1"/>
  <c r="Q42" i="1"/>
  <c r="J52" i="1" l="1"/>
  <c r="AC42" i="1"/>
  <c r="AC41" i="1"/>
  <c r="AC40" i="1"/>
  <c r="AE42" i="1"/>
  <c r="AE41" i="1"/>
  <c r="AE40" i="1"/>
  <c r="X36" i="1"/>
  <c r="V42" i="1" l="1"/>
  <c r="AH42" i="1" s="1"/>
  <c r="V41" i="1"/>
  <c r="AH41" i="1" s="1"/>
  <c r="V40" i="1"/>
  <c r="AH40" i="1" s="1"/>
  <c r="R41" i="1"/>
  <c r="R42" i="1"/>
  <c r="R40" i="1"/>
  <c r="U40" i="1"/>
  <c r="O52" i="1"/>
  <c r="O50" i="1"/>
  <c r="O51" i="1"/>
  <c r="P5" i="1"/>
  <c r="Q45" i="1" l="1"/>
  <c r="Y45" i="1"/>
  <c r="U45" i="1"/>
  <c r="U50" i="1"/>
  <c r="AH45" i="1" l="1"/>
  <c r="U52" i="1"/>
  <c r="Y52" i="1" s="1"/>
  <c r="U51" i="1"/>
  <c r="Y51" i="1" s="1"/>
  <c r="Y50" i="1" l="1"/>
  <c r="AC51" i="1"/>
  <c r="AG51" i="1" s="1"/>
</calcChain>
</file>

<file path=xl/sharedStrings.xml><?xml version="1.0" encoding="utf-8"?>
<sst xmlns="http://schemas.openxmlformats.org/spreadsheetml/2006/main" count="120" uniqueCount="103">
  <si>
    <t>Customer</t>
  </si>
  <si>
    <t>Address</t>
  </si>
  <si>
    <t>Technicians</t>
  </si>
  <si>
    <t>User</t>
  </si>
  <si>
    <t>Date</t>
  </si>
  <si>
    <t>Temp.</t>
  </si>
  <si>
    <t>°C</t>
  </si>
  <si>
    <t>Humidity</t>
  </si>
  <si>
    <t>%</t>
  </si>
  <si>
    <t>Eqpt. Location</t>
  </si>
  <si>
    <t>Manufacturer</t>
  </si>
  <si>
    <t>Serial Number</t>
  </si>
  <si>
    <t>Comments:</t>
  </si>
  <si>
    <t>Job #</t>
  </si>
  <si>
    <t>°F</t>
  </si>
  <si>
    <t>Visual and Mechanical Inspection</t>
  </si>
  <si>
    <t>PASS</t>
  </si>
  <si>
    <t>Units</t>
  </si>
  <si>
    <t>1000V</t>
  </si>
  <si>
    <t>Substation</t>
  </si>
  <si>
    <t>Identifier</t>
  </si>
  <si>
    <t>Test Equipment Used</t>
  </si>
  <si>
    <t>AMP ID:</t>
  </si>
  <si>
    <t>Serial Number:</t>
  </si>
  <si>
    <t>Nameplate Data</t>
  </si>
  <si>
    <t>Results</t>
  </si>
  <si>
    <t>NETA Section</t>
  </si>
  <si>
    <t>Catalog Number</t>
  </si>
  <si>
    <t>KVA</t>
  </si>
  <si>
    <t>/</t>
  </si>
  <si>
    <t xml:space="preserve">Temp. Rise </t>
  </si>
  <si>
    <t>Impendance</t>
  </si>
  <si>
    <t>Winding Material</t>
  </si>
  <si>
    <t>Inspect physical and mechanical condition.</t>
  </si>
  <si>
    <t>Inspect anchorage, alignment, and grounding.</t>
  </si>
  <si>
    <t>Verify that resilient mounts are free and that any shipping brackets have been removed.</t>
  </si>
  <si>
    <t>Verify the unit is clean.</t>
  </si>
  <si>
    <t>Verify that as-left tap connections are as specified.</t>
  </si>
  <si>
    <t>7.2.1.1.A.1</t>
  </si>
  <si>
    <t>7.2.1.1.A.2</t>
  </si>
  <si>
    <t>7.2.1.1.A.3</t>
  </si>
  <si>
    <t>7.2.1.1.A.4</t>
  </si>
  <si>
    <t>7.2.1.1.A.5</t>
  </si>
  <si>
    <t>7.2.1.1.A.7</t>
  </si>
  <si>
    <t>Winding Under Test</t>
  </si>
  <si>
    <t>0.5 Min.</t>
  </si>
  <si>
    <t>1 Min.</t>
  </si>
  <si>
    <t>Primary to Ground</t>
  </si>
  <si>
    <t>Secondary to Ground</t>
  </si>
  <si>
    <t>Primary to Secondary</t>
  </si>
  <si>
    <t>V</t>
  </si>
  <si>
    <t>1</t>
  </si>
  <si>
    <t>2</t>
  </si>
  <si>
    <t>3</t>
  </si>
  <si>
    <t>5</t>
  </si>
  <si>
    <t>4</t>
  </si>
  <si>
    <t>Measured Values</t>
  </si>
  <si>
    <t>Calculated as:</t>
  </si>
  <si>
    <t>Pri to Sec</t>
  </si>
  <si>
    <t>Pri to Gnd</t>
  </si>
  <si>
    <t>Sec to Gnd</t>
  </si>
  <si>
    <t>1 Min. / 0.5 Min. Values</t>
  </si>
  <si>
    <t>Dielectric Absorption Ratio</t>
  </si>
  <si>
    <t>Voltages (V)</t>
  </si>
  <si>
    <t>Winding Connections</t>
  </si>
  <si>
    <t>Measured Ratio (MR)</t>
  </si>
  <si>
    <t>% Deviation from CR</t>
  </si>
  <si>
    <t>Difference (%) between MR</t>
  </si>
  <si>
    <t>Compare equipment nameplate data with drawings.</t>
  </si>
  <si>
    <t>*Perform thermographic survey in accordance with Section 9.</t>
  </si>
  <si>
    <t>7.2.1.1.A.8</t>
  </si>
  <si>
    <t>7.2.1.1.A.6</t>
  </si>
  <si>
    <t>Tap Under Test:</t>
  </si>
  <si>
    <t>Calculated Ratio (CR):</t>
  </si>
  <si>
    <t>Primary Winding</t>
  </si>
  <si>
    <t>Electrical - Insulation Resistance Tests</t>
  </si>
  <si>
    <t>Electrical - Turns Ratio Tests</t>
  </si>
  <si>
    <t>Verify tightness of accessible bolted electrical connections by calibrated torque-wrench method or in accordance with 7.2.1.1.B.1 (Low Resistance Ohmmeter).</t>
  </si>
  <si>
    <t>Temperature Corrected</t>
  </si>
  <si>
    <t>Insulation Temperature (°F):</t>
  </si>
  <si>
    <t>Temperature Correction Factor:</t>
  </si>
  <si>
    <t>Test Duration:</t>
  </si>
  <si>
    <t>1 min</t>
  </si>
  <si>
    <t>Value</t>
  </si>
  <si>
    <t>MΩ</t>
  </si>
  <si>
    <t>Table 100.5 Criteria</t>
  </si>
  <si>
    <t>≥</t>
  </si>
  <si>
    <t>Test Voltage (V):</t>
  </si>
  <si>
    <t>Result</t>
  </si>
  <si>
    <t>Criteria</t>
  </si>
  <si>
    <t>Delta</t>
  </si>
  <si>
    <t>Wye</t>
  </si>
  <si>
    <t>High Voltage</t>
  </si>
  <si>
    <t>Low Voltage</t>
  </si>
  <si>
    <t>HV Winding Voltage:</t>
  </si>
  <si>
    <t>LV Winding Voltage:</t>
  </si>
  <si>
    <t>LV Winding 7 Positions</t>
  </si>
  <si>
    <t>As Left:</t>
  </si>
  <si>
    <t xml:space="preserve">Tap Position </t>
  </si>
  <si>
    <t xml:space="preserve">Tap Voltages </t>
  </si>
  <si>
    <t xml:space="preserve">Tap Configuration </t>
  </si>
  <si>
    <t xml:space="preserve">Megohmmeter: </t>
  </si>
  <si>
    <t xml:space="preserve">TTR Test Set: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</si>
</sst>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;@"/>
    <numFmt numFmtId="165" formatCode="0.0000"/>
    <numFmt numFmtId="166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0"/>
      <color rgb="FF351D13"/>
      <name val="Calibri"/>
      <family val="2"/>
      <scheme val="minor"/>
    </font>
    <font>
      <b/>
      <sz val="10"/>
      <color rgb="FF663300"/>
      <name val="Calibri"/>
      <family val="2"/>
      <scheme val="minor"/>
    </font>
    <font>
      <sz val="10"/>
      <color rgb="FF663300"/>
      <name val="Calibri"/>
      <family val="2"/>
      <scheme val="minor"/>
    </font>
    <font>
      <b/>
      <sz val="10"/>
      <color rgb="FF351D13"/>
      <name val="Calibri"/>
      <family val="2"/>
      <scheme val="minor"/>
    </font>
    <font>
      <sz val="10"/>
      <color rgb="FF351D13"/>
      <name val="Calibri"/>
      <family val="2"/>
      <scheme val="minor"/>
    </font>
    <font>
      <sz val="9"/>
      <color theme="1"/>
      <name val="Calibri"/>
      <family val="2"/>
    </font>
    <font>
      <sz val="11"/>
      <name val="Calibri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rgb="FFDAB56C"/>
      </bottom>
      <diagonal/>
    </border>
    <border>
      <left/>
      <right/>
      <top style="medium">
        <color rgb="FFDAB56C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8">
    <xf numFmtId="0" fontId="0" fillId="0" borderId="0" xfId="0"/>
    <xf numFmtId="0" fontId="6" fillId="2" borderId="8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/>
    <xf numFmtId="0" fontId="6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3" fillId="2" borderId="10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2" borderId="11" xfId="0" applyFont="1" applyFill="1" applyBorder="1" applyAlignment="1">
      <alignment vertical="center"/>
    </xf>
    <xf numFmtId="0" fontId="13" fillId="2" borderId="11" xfId="0" applyFont="1" applyFill="1" applyBorder="1" applyAlignment="1">
      <alignment vertical="center"/>
    </xf>
    <xf numFmtId="0" fontId="11" fillId="2" borderId="11" xfId="0" applyFont="1" applyFill="1" applyBorder="1" applyAlignment="1">
      <alignment vertical="center"/>
    </xf>
    <xf numFmtId="0" fontId="6" fillId="0" borderId="15" xfId="0" applyFont="1" applyBorder="1" applyAlignment="1">
      <alignment horizontal="center"/>
    </xf>
    <xf numFmtId="0" fontId="3" fillId="0" borderId="10" xfId="0" applyFont="1" applyBorder="1" applyAlignment="1">
      <alignment vertical="center"/>
    </xf>
    <xf numFmtId="0" fontId="6" fillId="0" borderId="3" xfId="0" applyFont="1" applyBorder="1" applyAlignment="1">
      <alignment horizontal="right" vertical="center"/>
    </xf>
    <xf numFmtId="0" fontId="6" fillId="0" borderId="3" xfId="0" applyFont="1" applyBorder="1" applyAlignment="1" applyProtection="1">
      <alignment horizontal="right" vertical="center"/>
      <protection locked="0"/>
    </xf>
    <xf numFmtId="166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 applyProtection="1">
      <alignment vertical="top" wrapText="1"/>
      <protection locked="0"/>
    </xf>
    <xf numFmtId="0" fontId="3" fillId="0" borderId="0" xfId="0" applyFont="1" applyAlignment="1" applyProtection="1">
      <alignment horizontal="center" vertical="top" wrapText="1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6" fillId="0" borderId="4" xfId="0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 wrapText="1"/>
    </xf>
    <xf numFmtId="0" fontId="6" fillId="0" borderId="5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2" borderId="4" xfId="0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right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4" fillId="3" borderId="16" xfId="0" applyFont="1" applyFill="1" applyBorder="1" applyAlignment="1" applyProtection="1">
      <alignment horizontal="center" vertical="center"/>
      <protection locked="0"/>
    </xf>
    <xf numFmtId="0" fontId="15" fillId="0" borderId="17" xfId="0" applyFont="1" applyBorder="1" applyAlignment="1" applyProtection="1">
      <alignment horizontal="center" vertical="center"/>
      <protection locked="0"/>
    </xf>
    <xf numFmtId="0" fontId="15" fillId="0" borderId="18" xfId="0" applyFont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0" borderId="1" xfId="0" applyFont="1" applyBorder="1" applyAlignment="1" applyProtection="1">
      <alignment horizontal="center"/>
      <protection locked="0"/>
    </xf>
    <xf numFmtId="0" fontId="6" fillId="2" borderId="5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2" xfId="0" applyFont="1" applyBorder="1" applyAlignment="1" applyProtection="1">
      <alignment horizontal="left"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1" fontId="6" fillId="0" borderId="2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/>
    </xf>
    <xf numFmtId="0" fontId="6" fillId="0" borderId="14" xfId="0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3" fillId="2" borderId="1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 applyProtection="1">
      <alignment horizontal="center" vertical="center"/>
      <protection locked="0"/>
    </xf>
    <xf numFmtId="164" fontId="6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14" fillId="3" borderId="22" xfId="0" applyFont="1" applyFill="1" applyBorder="1" applyAlignment="1" applyProtection="1">
      <alignment horizontal="center" vertical="center"/>
      <protection locked="0"/>
    </xf>
    <xf numFmtId="0" fontId="15" fillId="0" borderId="19" xfId="0" applyFont="1" applyBorder="1" applyAlignment="1" applyProtection="1">
      <alignment horizontal="center" vertical="center"/>
      <protection locked="0"/>
    </xf>
    <xf numFmtId="0" fontId="15" fillId="0" borderId="23" xfId="0" applyFont="1" applyBorder="1" applyAlignment="1" applyProtection="1">
      <alignment horizontal="center" vertical="center"/>
      <protection locked="0"/>
    </xf>
    <xf numFmtId="1" fontId="6" fillId="0" borderId="3" xfId="0" applyNumberFormat="1" applyFont="1" applyBorder="1" applyAlignment="1" applyProtection="1">
      <alignment horizontal="center"/>
      <protection locked="0"/>
    </xf>
    <xf numFmtId="1" fontId="6" fillId="0" borderId="2" xfId="0" applyNumberFormat="1" applyFont="1" applyBorder="1" applyAlignment="1" applyProtection="1">
      <alignment horizontal="center"/>
      <protection locked="0"/>
    </xf>
    <xf numFmtId="1" fontId="6" fillId="0" borderId="4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left" vertical="center"/>
    </xf>
    <xf numFmtId="2" fontId="6" fillId="0" borderId="4" xfId="0" applyNumberFormat="1" applyFont="1" applyBorder="1" applyAlignment="1">
      <alignment horizontal="left" vertical="center"/>
    </xf>
    <xf numFmtId="0" fontId="6" fillId="2" borderId="7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/>
    </xf>
    <xf numFmtId="165" fontId="6" fillId="0" borderId="2" xfId="0" applyNumberFormat="1" applyFont="1" applyBorder="1" applyAlignment="1">
      <alignment horizontal="center"/>
    </xf>
    <xf numFmtId="165" fontId="6" fillId="0" borderId="4" xfId="0" applyNumberFormat="1" applyFont="1" applyBorder="1" applyAlignment="1">
      <alignment horizontal="center"/>
    </xf>
    <xf numFmtId="0" fontId="6" fillId="0" borderId="3" xfId="0" applyFont="1" applyBorder="1" applyAlignment="1">
      <alignment horizontal="right"/>
    </xf>
    <xf numFmtId="2" fontId="6" fillId="0" borderId="3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right"/>
    </xf>
    <xf numFmtId="1" fontId="6" fillId="0" borderId="2" xfId="0" applyNumberFormat="1" applyFont="1" applyBorder="1" applyAlignment="1">
      <alignment horizontal="right"/>
    </xf>
    <xf numFmtId="49" fontId="6" fillId="2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49" fontId="6" fillId="2" borderId="1" xfId="0" applyNumberFormat="1" applyFont="1" applyFill="1" applyBorder="1" applyAlignment="1" applyProtection="1">
      <alignment horizont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165" fontId="6" fillId="0" borderId="3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 applyProtection="1">
      <alignment horizontal="center"/>
      <protection locked="0"/>
    </xf>
    <xf numFmtId="165" fontId="6" fillId="0" borderId="2" xfId="0" applyNumberFormat="1" applyFont="1" applyBorder="1" applyAlignment="1" applyProtection="1">
      <alignment horizontal="center"/>
      <protection locked="0"/>
    </xf>
    <xf numFmtId="165" fontId="6" fillId="0" borderId="4" xfId="0" applyNumberFormat="1" applyFont="1" applyBorder="1" applyAlignment="1" applyProtection="1">
      <alignment horizontal="center"/>
      <protection locked="0"/>
    </xf>
    <xf numFmtId="165" fontId="6" fillId="0" borderId="5" xfId="0" applyNumberFormat="1" applyFont="1" applyBorder="1" applyAlignment="1">
      <alignment horizontal="center"/>
    </xf>
    <xf numFmtId="0" fontId="6" fillId="0" borderId="0" xfId="0" applyFont="1"/>
    <xf numFmtId="49" fontId="6" fillId="0" borderId="3" xfId="0" applyNumberFormat="1" applyFont="1" applyBorder="1" applyAlignment="1" applyProtection="1">
      <alignment horizontal="center"/>
      <protection locked="0"/>
    </xf>
    <xf numFmtId="49" fontId="6" fillId="0" borderId="2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>
      <alignment horizontal="center"/>
    </xf>
    <xf numFmtId="0" fontId="6" fillId="0" borderId="5" xfId="0" applyFont="1" applyBorder="1" applyAlignment="1">
      <alignment horizontal="right" vertical="center"/>
    </xf>
    <xf numFmtId="0" fontId="14" fillId="3" borderId="5" xfId="0" applyFont="1" applyFill="1" applyBorder="1" applyAlignment="1" applyProtection="1">
      <alignment horizontal="center" vertical="center"/>
      <protection locked="0"/>
    </xf>
    <xf numFmtId="0" fontId="15" fillId="0" borderId="5" xfId="0" applyFont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24" xfId="0" applyFont="1" applyBorder="1" applyAlignment="1">
      <alignment horizontal="right" vertical="center"/>
    </xf>
    <xf numFmtId="0" fontId="6" fillId="0" borderId="0" xfId="0" applyFont="1" applyAlignment="1">
      <alignment horizontal="right"/>
    </xf>
    <xf numFmtId="0" fontId="6" fillId="0" borderId="24" xfId="0" applyFont="1" applyBorder="1" applyAlignment="1">
      <alignment horizontal="right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8">
    <dxf>
      <border>
        <left/>
        <right/>
        <top/>
        <bottom/>
      </border>
    </dxf>
    <dxf>
      <fill>
        <patternFill patternType="solid">
          <bgColor theme="0"/>
        </patternFill>
      </fill>
      <border>
        <left style="thin">
          <color auto="1"/>
        </left>
        <right/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DAB56C"/>
      <color rgb="FF9C0006"/>
      <color rgb="FFFFC7CE"/>
      <color rgb="FFC6EFCE"/>
      <color rgb="FF006100"/>
      <color rgb="FF351D13"/>
      <color rgb="FF663300"/>
      <color rgb="FFF267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63"/>
  <sheetViews>
    <sheetView showGridLines="0" tabSelected="1" view="pageLayout" topLeftCell="A13" zoomScale="175" zoomScaleNormal="100" zoomScalePageLayoutView="175" workbookViewId="0">
      <selection activeCell="W20" sqref="W20:Y20"/>
    </sheetView>
  </sheetViews>
  <sheetFormatPr defaultColWidth="1.08984375" defaultRowHeight="11.5" customHeight="1" x14ac:dyDescent="0.35"/>
  <cols>
    <col min="1" max="39" width="2.453125" style="2" customWidth="1"/>
    <col min="40" max="16384" width="1.08984375" style="2"/>
  </cols>
  <sheetData>
    <row r="1" spans="1:39" ht="5.5" customHeight="1" x14ac:dyDescent="0.3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</row>
    <row r="2" spans="1:39" ht="10.75" customHeight="1" x14ac:dyDescent="0.35">
      <c r="B2" s="89" t="s">
        <v>0</v>
      </c>
      <c r="C2" s="89"/>
      <c r="D2" s="89"/>
      <c r="E2" s="89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3"/>
      <c r="Z2" s="82" t="s">
        <v>13</v>
      </c>
      <c r="AA2" s="82"/>
      <c r="AB2" s="82"/>
      <c r="AC2" s="82"/>
      <c r="AD2" s="82"/>
      <c r="AE2" s="83"/>
      <c r="AF2" s="83"/>
      <c r="AG2" s="83"/>
      <c r="AH2" s="83"/>
      <c r="AI2" s="4"/>
      <c r="AJ2" s="87" t="s">
        <v>16</v>
      </c>
      <c r="AK2" s="87"/>
      <c r="AL2" s="87"/>
      <c r="AM2" s="5"/>
    </row>
    <row r="3" spans="1:39" ht="10.75" customHeight="1" x14ac:dyDescent="0.35">
      <c r="B3" s="89" t="s">
        <v>1</v>
      </c>
      <c r="C3" s="89"/>
      <c r="D3" s="89"/>
      <c r="E3" s="89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3"/>
      <c r="Z3" s="82" t="s">
        <v>2</v>
      </c>
      <c r="AA3" s="82"/>
      <c r="AB3" s="82"/>
      <c r="AC3" s="82"/>
      <c r="AD3" s="82"/>
      <c r="AE3" s="85"/>
      <c r="AF3" s="85"/>
      <c r="AG3" s="85"/>
      <c r="AH3" s="85"/>
      <c r="AI3" s="4"/>
      <c r="AJ3" s="87"/>
      <c r="AK3" s="87"/>
      <c r="AL3" s="87"/>
      <c r="AM3" s="5"/>
    </row>
    <row r="4" spans="1:39" ht="10.75" customHeight="1" x14ac:dyDescent="0.35">
      <c r="B4" s="89" t="s">
        <v>3</v>
      </c>
      <c r="C4" s="89"/>
      <c r="D4" s="89"/>
      <c r="E4" s="89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87"/>
      <c r="AK4" s="87"/>
      <c r="AL4" s="87"/>
      <c r="AM4" s="5"/>
    </row>
    <row r="5" spans="1:39" ht="10.75" customHeight="1" x14ac:dyDescent="0.35">
      <c r="B5" s="89" t="s">
        <v>4</v>
      </c>
      <c r="C5" s="89"/>
      <c r="D5" s="89"/>
      <c r="E5" s="89"/>
      <c r="F5" s="86"/>
      <c r="G5" s="86"/>
      <c r="H5" s="86"/>
      <c r="I5" s="86"/>
      <c r="J5" s="4"/>
      <c r="K5" s="81" t="s">
        <v>5</v>
      </c>
      <c r="L5" s="81"/>
      <c r="M5" s="83"/>
      <c r="N5" s="83"/>
      <c r="O5" s="4" t="s">
        <v>14</v>
      </c>
      <c r="P5" s="84">
        <f>ROUND((M5-32)*5/9,1)</f>
        <v>-17.8</v>
      </c>
      <c r="Q5" s="84"/>
      <c r="R5" s="4" t="s">
        <v>6</v>
      </c>
      <c r="S5" s="81" t="s">
        <v>7</v>
      </c>
      <c r="T5" s="81"/>
      <c r="U5" s="81"/>
      <c r="V5" s="81"/>
      <c r="W5" s="1"/>
      <c r="X5" s="7" t="s">
        <v>8</v>
      </c>
      <c r="Y5" s="4"/>
      <c r="Z5" s="82" t="s">
        <v>19</v>
      </c>
      <c r="AA5" s="82"/>
      <c r="AB5" s="82"/>
      <c r="AC5" s="82"/>
      <c r="AD5" s="82"/>
      <c r="AE5" s="88"/>
      <c r="AF5" s="88"/>
      <c r="AG5" s="88"/>
      <c r="AH5" s="88"/>
      <c r="AI5" s="88"/>
      <c r="AJ5" s="88"/>
      <c r="AK5" s="88"/>
      <c r="AL5" s="88"/>
      <c r="AM5" s="4"/>
    </row>
    <row r="6" spans="1:39" ht="10.75" customHeight="1" x14ac:dyDescent="0.35">
      <c r="B6" s="89" t="s">
        <v>20</v>
      </c>
      <c r="C6" s="89"/>
      <c r="D6" s="89"/>
      <c r="E6" s="89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4"/>
      <c r="Z6" s="82" t="s">
        <v>9</v>
      </c>
      <c r="AA6" s="82"/>
      <c r="AB6" s="82"/>
      <c r="AC6" s="82"/>
      <c r="AD6" s="82"/>
      <c r="AE6" s="125"/>
      <c r="AF6" s="125"/>
      <c r="AG6" s="125"/>
      <c r="AH6" s="125"/>
      <c r="AI6" s="125"/>
      <c r="AJ6" s="125"/>
      <c r="AK6" s="125"/>
      <c r="AL6" s="125"/>
      <c r="AM6" s="4"/>
    </row>
    <row r="7" spans="1:39" ht="10.75" customHeight="1" thickBot="1" x14ac:dyDescent="0.4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</row>
    <row r="8" spans="1:39" ht="10.75" customHeight="1" x14ac:dyDescent="0.35">
      <c r="A8" s="9" t="s">
        <v>24</v>
      </c>
      <c r="B8" s="10"/>
      <c r="C8" s="10"/>
      <c r="D8" s="10"/>
      <c r="E8" s="10"/>
      <c r="F8" s="11"/>
      <c r="G8" s="12"/>
      <c r="H8" s="12"/>
      <c r="I8" s="12"/>
      <c r="J8" s="12"/>
      <c r="K8" s="12"/>
      <c r="L8" s="12"/>
      <c r="M8" s="12"/>
      <c r="N8" s="12"/>
      <c r="O8" s="12"/>
      <c r="U8" s="12"/>
      <c r="V8" s="12"/>
      <c r="W8" s="13"/>
      <c r="X8" s="12"/>
      <c r="Y8" s="13"/>
      <c r="AF8" s="13"/>
      <c r="AG8" s="13"/>
      <c r="AH8" s="13"/>
      <c r="AI8" s="13"/>
      <c r="AJ8" s="13"/>
      <c r="AK8" s="13"/>
      <c r="AL8" s="13"/>
      <c r="AM8" s="13"/>
    </row>
    <row r="9" spans="1:39" ht="10.75" customHeight="1" x14ac:dyDescent="0.35">
      <c r="A9" s="9"/>
      <c r="B9" s="10"/>
      <c r="C9" s="10"/>
      <c r="AL9" s="13"/>
      <c r="AM9" s="13"/>
    </row>
    <row r="10" spans="1:39" ht="10.75" customHeight="1" x14ac:dyDescent="0.3">
      <c r="A10" s="9"/>
      <c r="B10" s="79" t="s">
        <v>10</v>
      </c>
      <c r="C10" s="79"/>
      <c r="D10" s="79"/>
      <c r="E10" s="79"/>
      <c r="F10" s="90"/>
      <c r="G10" s="90"/>
      <c r="H10" s="90"/>
      <c r="I10" s="90"/>
      <c r="J10" s="90"/>
      <c r="K10" s="90"/>
      <c r="L10" s="90"/>
      <c r="M10" s="14"/>
      <c r="N10" s="78" t="s">
        <v>27</v>
      </c>
      <c r="O10" s="78"/>
      <c r="P10" s="78"/>
      <c r="Q10" s="78"/>
      <c r="R10" s="78"/>
      <c r="S10" s="69"/>
      <c r="T10" s="69"/>
      <c r="U10" s="69"/>
      <c r="V10" s="69"/>
      <c r="W10" s="69"/>
      <c r="X10" s="69"/>
      <c r="Y10" s="14"/>
      <c r="Z10" s="152" t="s">
        <v>11</v>
      </c>
      <c r="AA10" s="152"/>
      <c r="AB10" s="152"/>
      <c r="AC10" s="152"/>
      <c r="AD10" s="69"/>
      <c r="AE10" s="69"/>
      <c r="AF10" s="69"/>
      <c r="AG10" s="69"/>
      <c r="AH10" s="69"/>
      <c r="AI10" s="69"/>
      <c r="AM10" s="4"/>
    </row>
    <row r="11" spans="1:39" ht="10.75" customHeight="1" x14ac:dyDescent="0.3">
      <c r="B11" s="79" t="s">
        <v>28</v>
      </c>
      <c r="C11" s="79"/>
      <c r="D11" s="79"/>
      <c r="E11" s="79"/>
      <c r="F11" s="69"/>
      <c r="G11" s="69"/>
      <c r="H11" s="69"/>
      <c r="I11" s="15" t="s">
        <v>29</v>
      </c>
      <c r="J11" s="69"/>
      <c r="K11" s="69"/>
      <c r="L11" s="69"/>
      <c r="N11" s="78" t="s">
        <v>30</v>
      </c>
      <c r="O11" s="78"/>
      <c r="P11" s="78"/>
      <c r="Q11" s="78"/>
      <c r="R11" s="78"/>
      <c r="S11" s="43"/>
      <c r="T11" s="43"/>
      <c r="U11" s="43"/>
      <c r="V11" s="43"/>
      <c r="W11" s="43"/>
      <c r="X11" s="43"/>
      <c r="Y11" s="14"/>
      <c r="Z11" s="152" t="s">
        <v>31</v>
      </c>
      <c r="AA11" s="152"/>
      <c r="AB11" s="152"/>
      <c r="AC11" s="152"/>
      <c r="AD11" s="43"/>
      <c r="AE11" s="43"/>
      <c r="AF11" s="43"/>
      <c r="AG11" s="43"/>
      <c r="AH11" s="43"/>
      <c r="AI11" s="43"/>
    </row>
    <row r="12" spans="1:39" ht="10.75" customHeight="1" x14ac:dyDescent="0.3">
      <c r="AL12" s="14"/>
    </row>
    <row r="13" spans="1:39" ht="10.75" customHeight="1" x14ac:dyDescent="0.3">
      <c r="F13" s="91" t="s">
        <v>63</v>
      </c>
      <c r="G13" s="91"/>
      <c r="H13" s="91"/>
      <c r="I13" s="91"/>
      <c r="J13" s="91"/>
      <c r="K13" s="91"/>
      <c r="L13" s="91"/>
      <c r="M13" s="16"/>
      <c r="N13" s="91" t="s">
        <v>64</v>
      </c>
      <c r="O13" s="91"/>
      <c r="P13" s="91"/>
      <c r="Q13" s="91"/>
      <c r="R13" s="91"/>
      <c r="S13" s="91"/>
      <c r="T13" s="16"/>
      <c r="U13" s="156" t="s">
        <v>32</v>
      </c>
      <c r="V13" s="156"/>
      <c r="W13" s="156"/>
      <c r="X13" s="156"/>
      <c r="Y13" s="156"/>
      <c r="Z13" s="156"/>
    </row>
    <row r="14" spans="1:39" ht="10.75" customHeight="1" x14ac:dyDescent="0.3">
      <c r="B14" s="78" t="s">
        <v>92</v>
      </c>
      <c r="C14" s="78"/>
      <c r="D14" s="78"/>
      <c r="E14" s="78"/>
      <c r="F14" s="42">
        <v>480</v>
      </c>
      <c r="G14" s="43"/>
      <c r="H14" s="43"/>
      <c r="I14" s="17" t="s">
        <v>29</v>
      </c>
      <c r="J14" s="75">
        <f>IF(N14="WYE", F14/SQRT(3), IF(N14="DELTA", "", ""))</f>
        <v>277.12812921102039</v>
      </c>
      <c r="K14" s="75"/>
      <c r="L14" s="76"/>
      <c r="M14" s="14"/>
      <c r="N14" s="42" t="s">
        <v>91</v>
      </c>
      <c r="O14" s="43"/>
      <c r="P14" s="43"/>
      <c r="Q14" s="43"/>
      <c r="R14" s="43"/>
      <c r="S14" s="44"/>
      <c r="T14" s="14"/>
      <c r="U14" s="142"/>
      <c r="V14" s="142"/>
      <c r="W14" s="142"/>
      <c r="X14" s="142"/>
      <c r="Y14" s="142"/>
      <c r="Z14" s="142"/>
    </row>
    <row r="15" spans="1:39" ht="10.75" customHeight="1" x14ac:dyDescent="0.3">
      <c r="B15" s="78" t="s">
        <v>93</v>
      </c>
      <c r="C15" s="78"/>
      <c r="D15" s="78"/>
      <c r="E15" s="78"/>
      <c r="F15" s="77">
        <v>208</v>
      </c>
      <c r="G15" s="69"/>
      <c r="H15" s="69"/>
      <c r="I15" s="18" t="s">
        <v>29</v>
      </c>
      <c r="J15" s="75" t="str">
        <f>IF(N15="WYE", F15/SQRT(3), IF(N15="DELTA", "", ""))</f>
        <v/>
      </c>
      <c r="K15" s="75"/>
      <c r="L15" s="76"/>
      <c r="M15" s="14"/>
      <c r="N15" s="42" t="s">
        <v>90</v>
      </c>
      <c r="O15" s="43"/>
      <c r="P15" s="43"/>
      <c r="Q15" s="43"/>
      <c r="R15" s="43"/>
      <c r="S15" s="44"/>
      <c r="T15" s="14"/>
      <c r="U15" s="142"/>
      <c r="V15" s="142"/>
      <c r="W15" s="142"/>
      <c r="X15" s="142"/>
      <c r="Y15" s="142"/>
      <c r="Z15" s="142"/>
    </row>
    <row r="16" spans="1:39" ht="10.75" customHeight="1" x14ac:dyDescent="0.3">
      <c r="B16" s="39"/>
      <c r="C16" s="39"/>
    </row>
    <row r="17" spans="1:39" ht="10.75" customHeight="1" x14ac:dyDescent="0.35">
      <c r="B17" s="161" t="s">
        <v>100</v>
      </c>
      <c r="C17" s="161"/>
      <c r="D17" s="161"/>
      <c r="E17" s="161"/>
      <c r="F17" s="161"/>
      <c r="G17" s="162"/>
      <c r="H17" s="165" t="s">
        <v>96</v>
      </c>
      <c r="I17" s="166"/>
      <c r="J17" s="166"/>
      <c r="K17" s="166"/>
      <c r="L17" s="166"/>
      <c r="M17" s="166"/>
      <c r="N17" s="167"/>
    </row>
    <row r="18" spans="1:39" ht="10.75" customHeight="1" x14ac:dyDescent="0.35"/>
    <row r="19" spans="1:39" ht="10.75" customHeight="1" x14ac:dyDescent="0.3">
      <c r="B19" s="163" t="s">
        <v>98</v>
      </c>
      <c r="C19" s="163"/>
      <c r="D19" s="163"/>
      <c r="E19" s="163"/>
      <c r="F19" s="163"/>
      <c r="G19" s="164"/>
      <c r="H19" s="42" t="s">
        <v>51</v>
      </c>
      <c r="I19" s="43"/>
      <c r="J19" s="44"/>
      <c r="K19" s="42" t="s">
        <v>52</v>
      </c>
      <c r="L19" s="43"/>
      <c r="M19" s="44"/>
      <c r="N19" s="42" t="s">
        <v>53</v>
      </c>
      <c r="O19" s="43"/>
      <c r="P19" s="44"/>
      <c r="Q19" s="42" t="s">
        <v>55</v>
      </c>
      <c r="R19" s="43"/>
      <c r="S19" s="44"/>
      <c r="T19" s="42" t="s">
        <v>54</v>
      </c>
      <c r="U19" s="43"/>
      <c r="V19" s="44"/>
      <c r="W19" s="42"/>
      <c r="X19" s="43"/>
      <c r="Y19" s="44"/>
      <c r="Z19" s="42"/>
      <c r="AA19" s="43"/>
      <c r="AB19" s="44"/>
      <c r="AD19" s="45" t="s">
        <v>97</v>
      </c>
      <c r="AE19" s="45"/>
      <c r="AF19" s="46"/>
      <c r="AG19" s="142"/>
      <c r="AH19" s="142"/>
      <c r="AI19" s="142"/>
    </row>
    <row r="20" spans="1:39" ht="10.75" customHeight="1" x14ac:dyDescent="0.3">
      <c r="B20" s="163" t="s">
        <v>99</v>
      </c>
      <c r="C20" s="163"/>
      <c r="D20" s="163"/>
      <c r="E20" s="163"/>
      <c r="F20" s="163"/>
      <c r="G20" s="164"/>
      <c r="H20" s="42">
        <v>218</v>
      </c>
      <c r="I20" s="43"/>
      <c r="J20" s="44"/>
      <c r="K20" s="42">
        <v>213</v>
      </c>
      <c r="L20" s="43"/>
      <c r="M20" s="44"/>
      <c r="N20" s="106">
        <v>208</v>
      </c>
      <c r="O20" s="107"/>
      <c r="P20" s="108"/>
      <c r="Q20" s="42">
        <v>203</v>
      </c>
      <c r="R20" s="43"/>
      <c r="S20" s="44"/>
      <c r="T20" s="42">
        <v>198</v>
      </c>
      <c r="U20" s="43"/>
      <c r="V20" s="44"/>
      <c r="W20" s="42"/>
      <c r="X20" s="43"/>
      <c r="Y20" s="44"/>
      <c r="Z20" s="42"/>
      <c r="AA20" s="43"/>
      <c r="AB20" s="44"/>
      <c r="AD20" s="4"/>
      <c r="AE20" s="4"/>
      <c r="AG20" s="153"/>
      <c r="AH20" s="154"/>
      <c r="AI20" s="155"/>
    </row>
    <row r="21" spans="1:39" ht="10.75" customHeight="1" thickBot="1" x14ac:dyDescent="0.4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8"/>
      <c r="X21" s="19"/>
      <c r="Y21" s="8"/>
      <c r="Z21" s="8"/>
      <c r="AA21" s="8"/>
      <c r="AB21" s="8"/>
      <c r="AC21" s="19"/>
      <c r="AD21" s="19"/>
      <c r="AE21" s="19"/>
      <c r="AF21" s="20"/>
      <c r="AG21" s="20"/>
      <c r="AH21" s="20"/>
      <c r="AI21" s="20"/>
      <c r="AJ21" s="20"/>
      <c r="AK21" s="20"/>
      <c r="AL21" s="35"/>
    </row>
    <row r="22" spans="1:39" ht="10.75" customHeight="1" x14ac:dyDescent="0.35">
      <c r="A22" s="9" t="s">
        <v>15</v>
      </c>
      <c r="B22" s="21"/>
      <c r="C22" s="21"/>
      <c r="D22" s="21"/>
      <c r="E22" s="21"/>
      <c r="F22" s="21"/>
      <c r="G22" s="21"/>
      <c r="H22" s="21"/>
      <c r="I22" s="21"/>
      <c r="J22" s="11"/>
      <c r="K22" s="11"/>
      <c r="L22" s="22"/>
      <c r="M22" s="13"/>
      <c r="N22" s="12"/>
      <c r="O22" s="12"/>
      <c r="P22" s="12"/>
      <c r="Q22" s="12"/>
      <c r="R22" s="12"/>
      <c r="S22" s="12"/>
      <c r="T22" s="12"/>
      <c r="U22" s="12"/>
      <c r="V22" s="23"/>
      <c r="W22" s="23"/>
      <c r="X22" s="23"/>
      <c r="Y22" s="22"/>
      <c r="Z22" s="22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27"/>
    </row>
    <row r="23" spans="1:39" ht="10.75" customHeight="1" x14ac:dyDescent="0.35">
      <c r="A23" s="9"/>
      <c r="B23" s="21"/>
      <c r="C23" s="21"/>
      <c r="D23" s="21"/>
      <c r="E23" s="21"/>
      <c r="F23" s="21"/>
      <c r="G23" s="21"/>
      <c r="H23" s="21"/>
      <c r="I23" s="21"/>
      <c r="J23" s="11"/>
      <c r="AM23" s="13"/>
    </row>
    <row r="24" spans="1:39" ht="10.75" customHeight="1" x14ac:dyDescent="0.35">
      <c r="B24" s="4" t="s">
        <v>26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81" t="s">
        <v>25</v>
      </c>
      <c r="AI24" s="81"/>
      <c r="AJ24" s="81"/>
      <c r="AK24" s="81"/>
      <c r="AL24" s="81"/>
    </row>
    <row r="25" spans="1:39" ht="10.75" customHeight="1" x14ac:dyDescent="0.35">
      <c r="B25" s="95" t="s">
        <v>38</v>
      </c>
      <c r="C25" s="95"/>
      <c r="D25" s="95"/>
      <c r="E25" s="95"/>
      <c r="F25" s="129" t="s">
        <v>68</v>
      </c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58"/>
      <c r="AI25" s="159"/>
      <c r="AJ25" s="159"/>
      <c r="AK25" s="159"/>
      <c r="AL25" s="159"/>
      <c r="AM25" s="13"/>
    </row>
    <row r="26" spans="1:39" ht="10.75" customHeight="1" x14ac:dyDescent="0.35">
      <c r="B26" s="95" t="s">
        <v>39</v>
      </c>
      <c r="C26" s="95"/>
      <c r="D26" s="95"/>
      <c r="E26" s="95"/>
      <c r="F26" s="126" t="s">
        <v>33</v>
      </c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8"/>
      <c r="AH26" s="103"/>
      <c r="AI26" s="104"/>
      <c r="AJ26" s="104"/>
      <c r="AK26" s="104"/>
      <c r="AL26" s="105"/>
      <c r="AM26" s="13"/>
    </row>
    <row r="27" spans="1:39" ht="10.75" customHeight="1" x14ac:dyDescent="0.35">
      <c r="B27" s="95" t="s">
        <v>40</v>
      </c>
      <c r="C27" s="95"/>
      <c r="D27" s="95"/>
      <c r="E27" s="95"/>
      <c r="F27" s="126" t="s">
        <v>34</v>
      </c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8"/>
      <c r="AH27" s="62"/>
      <c r="AI27" s="63"/>
      <c r="AJ27" s="63"/>
      <c r="AK27" s="63"/>
      <c r="AL27" s="64"/>
      <c r="AM27" s="13"/>
    </row>
    <row r="28" spans="1:39" ht="10.75" customHeight="1" x14ac:dyDescent="0.35">
      <c r="B28" s="95" t="s">
        <v>41</v>
      </c>
      <c r="C28" s="95"/>
      <c r="D28" s="95"/>
      <c r="E28" s="95"/>
      <c r="F28" s="96" t="s">
        <v>35</v>
      </c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8"/>
      <c r="AH28" s="62"/>
      <c r="AI28" s="63"/>
      <c r="AJ28" s="63"/>
      <c r="AK28" s="63"/>
      <c r="AL28" s="64"/>
      <c r="AM28" s="13"/>
    </row>
    <row r="29" spans="1:39" ht="10.75" customHeight="1" x14ac:dyDescent="0.35">
      <c r="B29" s="95" t="s">
        <v>42</v>
      </c>
      <c r="C29" s="95"/>
      <c r="D29" s="95"/>
      <c r="E29" s="95"/>
      <c r="F29" s="65" t="s">
        <v>36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2"/>
      <c r="AI29" s="63"/>
      <c r="AJ29" s="63"/>
      <c r="AK29" s="63"/>
      <c r="AL29" s="64"/>
      <c r="AM29" s="13"/>
    </row>
    <row r="30" spans="1:39" ht="21.5" customHeight="1" x14ac:dyDescent="0.35">
      <c r="B30" s="95" t="s">
        <v>71</v>
      </c>
      <c r="C30" s="95"/>
      <c r="D30" s="95"/>
      <c r="E30" s="95"/>
      <c r="F30" s="66" t="s">
        <v>77</v>
      </c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8"/>
      <c r="AH30" s="62"/>
      <c r="AI30" s="63"/>
      <c r="AJ30" s="63"/>
      <c r="AK30" s="63"/>
      <c r="AL30" s="64"/>
      <c r="AM30" s="13"/>
    </row>
    <row r="31" spans="1:39" ht="10.75" customHeight="1" x14ac:dyDescent="0.35">
      <c r="B31" s="95" t="s">
        <v>43</v>
      </c>
      <c r="C31" s="95"/>
      <c r="D31" s="95"/>
      <c r="E31" s="95"/>
      <c r="F31" s="65" t="s">
        <v>37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2"/>
      <c r="AI31" s="63"/>
      <c r="AJ31" s="63"/>
      <c r="AK31" s="63"/>
      <c r="AL31" s="64"/>
    </row>
    <row r="32" spans="1:39" ht="10.75" customHeight="1" x14ac:dyDescent="0.35">
      <c r="B32" s="95" t="s">
        <v>70</v>
      </c>
      <c r="C32" s="95"/>
      <c r="D32" s="95"/>
      <c r="E32" s="95"/>
      <c r="F32" s="65" t="s">
        <v>69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2"/>
      <c r="AI32" s="63"/>
      <c r="AJ32" s="63"/>
      <c r="AK32" s="63"/>
      <c r="AL32" s="64"/>
    </row>
    <row r="33" spans="1:39" ht="10.75" customHeight="1" thickBot="1" x14ac:dyDescent="0.4">
      <c r="A33" s="24"/>
      <c r="B33" s="24"/>
      <c r="C33" s="24"/>
      <c r="D33" s="24"/>
      <c r="E33" s="24"/>
      <c r="F33" s="24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8"/>
      <c r="AL33" s="8"/>
      <c r="AM33" s="8"/>
    </row>
    <row r="34" spans="1:39" ht="10.75" customHeight="1" x14ac:dyDescent="0.35">
      <c r="A34" s="25" t="s">
        <v>75</v>
      </c>
      <c r="B34" s="26"/>
      <c r="C34" s="26"/>
      <c r="D34" s="26"/>
      <c r="E34" s="26"/>
      <c r="F34" s="26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</row>
    <row r="35" spans="1:39" ht="10.75" customHeight="1" x14ac:dyDescent="0.35">
      <c r="A35" s="9"/>
      <c r="B35" s="11"/>
      <c r="C35" s="11"/>
      <c r="D35" s="11"/>
      <c r="E35" s="11"/>
      <c r="F35" s="11"/>
      <c r="G35" s="13"/>
      <c r="H35" s="13"/>
      <c r="I35" s="13"/>
      <c r="J35" s="13"/>
      <c r="K35" s="13"/>
      <c r="L35" s="13"/>
      <c r="M35" s="13"/>
      <c r="N35" s="13"/>
      <c r="O35" s="157" t="s">
        <v>79</v>
      </c>
      <c r="P35" s="157"/>
      <c r="Q35" s="157"/>
      <c r="R35" s="157"/>
      <c r="S35" s="157"/>
      <c r="T35" s="157"/>
      <c r="U35" s="157"/>
      <c r="V35" s="157"/>
      <c r="W35" s="157"/>
      <c r="X35" s="74"/>
      <c r="Y35" s="74"/>
      <c r="Z35" s="74"/>
      <c r="AB35" s="99" t="s">
        <v>87</v>
      </c>
      <c r="AC35" s="100"/>
      <c r="AD35" s="100"/>
      <c r="AE35" s="100"/>
      <c r="AF35" s="101"/>
      <c r="AG35" s="102" t="s">
        <v>18</v>
      </c>
      <c r="AH35" s="85"/>
      <c r="AI35" s="56"/>
      <c r="AM35" s="13"/>
    </row>
    <row r="36" spans="1:39" ht="10.75" customHeight="1" x14ac:dyDescent="0.35">
      <c r="A36" s="4"/>
      <c r="B36" s="4"/>
      <c r="C36" s="4"/>
      <c r="O36" s="157" t="s">
        <v>80</v>
      </c>
      <c r="P36" s="157"/>
      <c r="Q36" s="157"/>
      <c r="R36" s="157"/>
      <c r="S36" s="157"/>
      <c r="T36" s="157"/>
      <c r="U36" s="157"/>
      <c r="V36" s="157"/>
      <c r="W36" s="157"/>
      <c r="X36" s="93">
        <f>ROUND(0.1758*EXP(0.0256*X35),3)</f>
        <v>0.17599999999999999</v>
      </c>
      <c r="Y36" s="93"/>
      <c r="Z36" s="94"/>
      <c r="AB36" s="160" t="s">
        <v>81</v>
      </c>
      <c r="AC36" s="160"/>
      <c r="AD36" s="160"/>
      <c r="AE36" s="160"/>
      <c r="AF36" s="160"/>
      <c r="AG36" s="74" t="s">
        <v>82</v>
      </c>
      <c r="AH36" s="74"/>
      <c r="AI36" s="74"/>
    </row>
    <row r="37" spans="1:39" ht="10.75" customHeight="1" x14ac:dyDescent="0.35">
      <c r="A37" s="4"/>
      <c r="B37" s="4"/>
      <c r="C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L37" s="4"/>
    </row>
    <row r="38" spans="1:39" ht="10.75" customHeight="1" x14ac:dyDescent="0.35">
      <c r="A38" s="4"/>
      <c r="B38" s="130" t="s">
        <v>44</v>
      </c>
      <c r="C38" s="130"/>
      <c r="D38" s="130"/>
      <c r="E38" s="130"/>
      <c r="F38" s="130"/>
      <c r="G38" s="130"/>
      <c r="H38" s="130"/>
      <c r="I38" s="92" t="s">
        <v>56</v>
      </c>
      <c r="J38" s="93"/>
      <c r="K38" s="93"/>
      <c r="L38" s="93"/>
      <c r="M38" s="93"/>
      <c r="N38" s="93"/>
      <c r="O38" s="93"/>
      <c r="P38" s="94"/>
      <c r="Q38" s="47" t="s">
        <v>78</v>
      </c>
      <c r="R38" s="47"/>
      <c r="S38" s="47"/>
      <c r="T38" s="47"/>
      <c r="U38" s="47"/>
      <c r="V38" s="47"/>
      <c r="W38" s="47"/>
      <c r="X38" s="47"/>
      <c r="Y38" s="70" t="s">
        <v>17</v>
      </c>
      <c r="Z38" s="70"/>
      <c r="AB38" s="53" t="s">
        <v>85</v>
      </c>
      <c r="AC38" s="53"/>
      <c r="AD38" s="53"/>
      <c r="AE38" s="53"/>
      <c r="AF38" s="53"/>
      <c r="AH38" s="47" t="s">
        <v>25</v>
      </c>
      <c r="AI38" s="47"/>
      <c r="AJ38" s="47"/>
    </row>
    <row r="39" spans="1:39" ht="10.75" customHeight="1" x14ac:dyDescent="0.35">
      <c r="A39" s="4"/>
      <c r="B39" s="130"/>
      <c r="C39" s="130"/>
      <c r="D39" s="130"/>
      <c r="E39" s="130"/>
      <c r="F39" s="130"/>
      <c r="G39" s="130"/>
      <c r="H39" s="130"/>
      <c r="I39" s="54" t="s">
        <v>45</v>
      </c>
      <c r="J39" s="54"/>
      <c r="K39" s="54"/>
      <c r="L39" s="54"/>
      <c r="M39" s="54" t="s">
        <v>46</v>
      </c>
      <c r="N39" s="54"/>
      <c r="O39" s="54"/>
      <c r="P39" s="54"/>
      <c r="Q39" s="54" t="s">
        <v>45</v>
      </c>
      <c r="R39" s="54"/>
      <c r="S39" s="54"/>
      <c r="T39" s="54"/>
      <c r="U39" s="54" t="s">
        <v>46</v>
      </c>
      <c r="V39" s="54"/>
      <c r="W39" s="54"/>
      <c r="X39" s="54"/>
      <c r="Y39" s="70"/>
      <c r="Z39" s="70"/>
      <c r="AB39" s="54" t="s">
        <v>83</v>
      </c>
      <c r="AC39" s="54"/>
      <c r="AD39" s="54"/>
      <c r="AE39" s="55" t="s">
        <v>17</v>
      </c>
      <c r="AF39" s="55"/>
      <c r="AH39" s="47"/>
      <c r="AI39" s="47"/>
      <c r="AJ39" s="47"/>
    </row>
    <row r="40" spans="1:39" ht="10.75" customHeight="1" x14ac:dyDescent="0.35">
      <c r="A40" s="4"/>
      <c r="B40" s="70" t="s">
        <v>47</v>
      </c>
      <c r="C40" s="70"/>
      <c r="D40" s="70"/>
      <c r="E40" s="70"/>
      <c r="F40" s="70"/>
      <c r="G40" s="70"/>
      <c r="H40" s="71"/>
      <c r="I40" s="37"/>
      <c r="J40" s="72"/>
      <c r="K40" s="72"/>
      <c r="L40" s="73"/>
      <c r="M40" s="37"/>
      <c r="N40" s="72"/>
      <c r="O40" s="72"/>
      <c r="P40" s="73"/>
      <c r="Q40" s="36" t="str">
        <f>IF(I40="","",IF(ISNUMBER(I40)=FALSE,I40,I40*$X$36))</f>
        <v/>
      </c>
      <c r="R40" s="60" t="str">
        <f>IF(J40="","",IF(ISNUMBER(J40)=FALSE,J40,J40*$X$36))</f>
        <v/>
      </c>
      <c r="S40" s="60"/>
      <c r="T40" s="61"/>
      <c r="U40" s="36" t="str">
        <f>IF(M40="","",IF(ISNUMBER(M40)=FALSE,M40,M40*$X$36))</f>
        <v/>
      </c>
      <c r="V40" s="60" t="str">
        <f>IF(N40="","",IF(ISNUMBER(N40)=FALSE,N40,N40*$X$36))</f>
        <v/>
      </c>
      <c r="W40" s="60"/>
      <c r="X40" s="61"/>
      <c r="Y40" s="56" t="s">
        <v>84</v>
      </c>
      <c r="Z40" s="57"/>
      <c r="AB40" s="36" t="s">
        <v>86</v>
      </c>
      <c r="AC40" s="60">
        <f>IF(F14="","",
IF(AND(F14&lt;=600,Y40="MΩ"),500,
IF(AND(F14&lt;=600,Y40="GΩ"),0.5,
IF(AND(F14&lt;=5000,Y40="MΩ"),5000,
IF(AND(F14&lt;=5000,Y40="GΩ"),5,
IF(AND(F14&gt;5000,Y40="MΩ"),25000,
IF(AND(F14&gt;5000,Y40="GΩ"),25
)))))))</f>
        <v>500</v>
      </c>
      <c r="AD40" s="61"/>
      <c r="AE40" s="94" t="str">
        <f>IF(Y40="","",Y40)</f>
        <v>MΩ</v>
      </c>
      <c r="AF40" s="47"/>
      <c r="AH40" s="58" t="str">
        <f>IF(V40="","",IF(ISNUMBER(V40)=FALSE,"N/A",IF(V40&gt;=AC40,"PASS","FAIL")))</f>
        <v/>
      </c>
      <c r="AI40" s="58"/>
      <c r="AJ40" s="58"/>
    </row>
    <row r="41" spans="1:39" ht="10.75" customHeight="1" x14ac:dyDescent="0.35">
      <c r="A41" s="4"/>
      <c r="B41" s="70" t="s">
        <v>48</v>
      </c>
      <c r="C41" s="70"/>
      <c r="D41" s="70"/>
      <c r="E41" s="70"/>
      <c r="F41" s="70"/>
      <c r="G41" s="70"/>
      <c r="H41" s="71"/>
      <c r="I41" s="37"/>
      <c r="J41" s="72"/>
      <c r="K41" s="72"/>
      <c r="L41" s="73"/>
      <c r="M41" s="37"/>
      <c r="N41" s="72"/>
      <c r="O41" s="72"/>
      <c r="P41" s="73"/>
      <c r="Q41" s="36" t="str">
        <f t="shared" ref="Q41:Q42" si="0">IF(I41="","",IF(ISNUMBER(I41)=FALSE,I41,I41*$X$36))</f>
        <v/>
      </c>
      <c r="R41" s="60" t="str">
        <f t="shared" ref="R41:R42" si="1">IF(J41="","",IF(ISNUMBER(J41)=FALSE,J41,J41*$X$36))</f>
        <v/>
      </c>
      <c r="S41" s="60"/>
      <c r="T41" s="61"/>
      <c r="U41" s="36" t="str">
        <f t="shared" ref="U41:U42" si="2">IF(M41="","",IF(ISNUMBER(M41)=FALSE,M41,M41*$X$36))</f>
        <v/>
      </c>
      <c r="V41" s="60" t="str">
        <f t="shared" ref="V41:V42" si="3">IF(N41="","",IF(ISNUMBER(N41)=FALSE,N41,N41*$X$36))</f>
        <v/>
      </c>
      <c r="W41" s="60"/>
      <c r="X41" s="61"/>
      <c r="Y41" s="56" t="s">
        <v>84</v>
      </c>
      <c r="Z41" s="57"/>
      <c r="AB41" s="36" t="s">
        <v>86</v>
      </c>
      <c r="AC41" s="60">
        <f>IF(F15="","",
IF(AND(F15&lt;=600,Y41="MΩ"),500,
IF(AND(F15&lt;=600,Y41="GΩ"),0.5,
IF(AND(F15&lt;=5000,Y41="MΩ"),5000,
IF(AND(F15&lt;=5000,Y41="GΩ"),5,
IF(AND(F15&gt;5000,Y41="MΩ"),25000,
IF(AND(F15&gt;5000,Y41="GΩ"),25
)))))))</f>
        <v>500</v>
      </c>
      <c r="AD41" s="61"/>
      <c r="AE41" s="94" t="str">
        <f>IF(Y41="","",Y41)</f>
        <v>MΩ</v>
      </c>
      <c r="AF41" s="47"/>
      <c r="AH41" s="58" t="str">
        <f>IF(V41="","",IF(ISNUMBER(V41)=FALSE,"N/A",IF(V41&gt;=AC41,"PASS","FAIL")))</f>
        <v/>
      </c>
      <c r="AI41" s="58"/>
      <c r="AJ41" s="58"/>
    </row>
    <row r="42" spans="1:39" ht="10.75" customHeight="1" x14ac:dyDescent="0.35">
      <c r="A42" s="4"/>
      <c r="B42" s="70" t="s">
        <v>49</v>
      </c>
      <c r="C42" s="70"/>
      <c r="D42" s="70"/>
      <c r="E42" s="70"/>
      <c r="F42" s="70"/>
      <c r="G42" s="70"/>
      <c r="H42" s="71"/>
      <c r="I42" s="37"/>
      <c r="J42" s="72"/>
      <c r="K42" s="72"/>
      <c r="L42" s="73"/>
      <c r="M42" s="37"/>
      <c r="N42" s="72"/>
      <c r="O42" s="72"/>
      <c r="P42" s="73"/>
      <c r="Q42" s="36" t="str">
        <f t="shared" si="0"/>
        <v/>
      </c>
      <c r="R42" s="60" t="str">
        <f t="shared" si="1"/>
        <v/>
      </c>
      <c r="S42" s="60"/>
      <c r="T42" s="61"/>
      <c r="U42" s="36" t="str">
        <f t="shared" si="2"/>
        <v/>
      </c>
      <c r="V42" s="60" t="str">
        <f t="shared" si="3"/>
        <v/>
      </c>
      <c r="W42" s="60"/>
      <c r="X42" s="61"/>
      <c r="Y42" s="56" t="s">
        <v>84</v>
      </c>
      <c r="Z42" s="57"/>
      <c r="AB42" s="36" t="s">
        <v>86</v>
      </c>
      <c r="AC42" s="60">
        <f>IF(F14="","",
IF(AND(F14&lt;=600,Y42="MΩ"),500,
IF(AND(F14&lt;=600,Y42="GΩ"),0.5,
IF(AND(F14&lt;=5000,Y42="MΩ"),5000,
IF(AND(F14&lt;=5000,Y42="GΩ"),5,
IF(AND(F14&gt;5000,Y42="MΩ"),25000,
IF(AND(F14&gt;5000,Y42="GΩ"),25
)))))))</f>
        <v>500</v>
      </c>
      <c r="AD42" s="61"/>
      <c r="AE42" s="94" t="str">
        <f>IF(Y42="","",Y42)</f>
        <v>MΩ</v>
      </c>
      <c r="AF42" s="47"/>
      <c r="AH42" s="58" t="str">
        <f>IF(V42="","",IF(ISNUMBER(V42)=FALSE,"N/A",IF(V42&gt;=AC42,"PASS","FAIL")))</f>
        <v/>
      </c>
      <c r="AI42" s="58"/>
      <c r="AJ42" s="58"/>
    </row>
    <row r="43" spans="1:39" ht="10.75" customHeight="1" x14ac:dyDescent="0.35">
      <c r="A43" s="4"/>
      <c r="E43" s="6"/>
      <c r="F43" s="6"/>
      <c r="G43" s="6"/>
      <c r="H43" s="6"/>
      <c r="I43" s="6"/>
      <c r="J43" s="6"/>
      <c r="K43" s="6"/>
      <c r="L43" s="6"/>
      <c r="M43" s="6"/>
      <c r="N43" s="6"/>
      <c r="O43" s="30"/>
      <c r="P43" s="30"/>
      <c r="Q43" s="30"/>
      <c r="R43" s="30"/>
      <c r="S43" s="30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30"/>
      <c r="AI43" s="30"/>
      <c r="AJ43" s="30"/>
      <c r="AK43" s="30"/>
      <c r="AL43" s="6"/>
      <c r="AM43" s="4"/>
    </row>
    <row r="44" spans="1:39" ht="10.75" customHeight="1" x14ac:dyDescent="0.3">
      <c r="A44" s="4"/>
      <c r="B44" s="28"/>
      <c r="C44" s="28"/>
      <c r="D44" s="28"/>
      <c r="E44" s="28"/>
      <c r="F44" s="28"/>
      <c r="G44" s="28"/>
      <c r="I44" s="28"/>
      <c r="J44" s="52" t="s">
        <v>57</v>
      </c>
      <c r="K44" s="52"/>
      <c r="L44" s="52"/>
      <c r="M44" s="52"/>
      <c r="N44" s="52"/>
      <c r="O44" s="52"/>
      <c r="P44" s="52"/>
      <c r="Q44" s="45" t="s">
        <v>59</v>
      </c>
      <c r="R44" s="45"/>
      <c r="S44" s="45"/>
      <c r="T44" s="45"/>
      <c r="U44" s="45" t="s">
        <v>60</v>
      </c>
      <c r="V44" s="45"/>
      <c r="W44" s="45"/>
      <c r="X44" s="45"/>
      <c r="Y44" s="118" t="s">
        <v>58</v>
      </c>
      <c r="Z44" s="118"/>
      <c r="AA44" s="118"/>
      <c r="AB44" s="118"/>
      <c r="AC44" s="118" t="s">
        <v>89</v>
      </c>
      <c r="AD44" s="118"/>
      <c r="AE44" s="118"/>
      <c r="AF44" s="118"/>
      <c r="AH44" s="119" t="s">
        <v>88</v>
      </c>
      <c r="AI44" s="119"/>
      <c r="AJ44" s="119"/>
      <c r="AK44" s="14"/>
      <c r="AL44" s="28"/>
    </row>
    <row r="45" spans="1:39" ht="10.75" customHeight="1" x14ac:dyDescent="0.3">
      <c r="A45" s="4"/>
      <c r="B45" s="50" t="s">
        <v>62</v>
      </c>
      <c r="C45" s="50"/>
      <c r="D45" s="50"/>
      <c r="E45" s="50"/>
      <c r="F45" s="50"/>
      <c r="G45" s="50"/>
      <c r="H45" s="50"/>
      <c r="I45" s="50"/>
      <c r="J45" s="51" t="s">
        <v>61</v>
      </c>
      <c r="K45" s="51"/>
      <c r="L45" s="51"/>
      <c r="M45" s="51"/>
      <c r="N45" s="51"/>
      <c r="O45" s="51"/>
      <c r="P45" s="51"/>
      <c r="Q45" s="137" t="str">
        <f>IF(OR(R40 = "",V40=""),"",V40/R40)</f>
        <v/>
      </c>
      <c r="R45" s="138"/>
      <c r="S45" s="138"/>
      <c r="T45" s="138"/>
      <c r="U45" s="138" t="str">
        <f>IF(OR(R41 = "",V41=""),"",V41/R41)</f>
        <v/>
      </c>
      <c r="V45" s="138"/>
      <c r="W45" s="138"/>
      <c r="X45" s="138"/>
      <c r="Y45" s="135" t="str">
        <f>IF(OR(R42="",V42=""),"",V42/R42)</f>
        <v/>
      </c>
      <c r="Z45" s="136"/>
      <c r="AA45" s="136"/>
      <c r="AB45" s="137"/>
      <c r="AC45" s="36" t="s">
        <v>86</v>
      </c>
      <c r="AD45" s="123">
        <v>1</v>
      </c>
      <c r="AE45" s="123"/>
      <c r="AF45" s="124"/>
      <c r="AH45" s="120" t="str">
        <f>IF(OR(Q45="", U45="", Y45=""), "", IF(AND(Q45&gt;1, U45&gt;1, Y45&gt;1), "PASS", "FAIL"))</f>
        <v/>
      </c>
      <c r="AI45" s="121"/>
      <c r="AJ45" s="122"/>
      <c r="AK45" s="38"/>
    </row>
    <row r="46" spans="1:39" ht="10.75" customHeight="1" thickBot="1" x14ac:dyDescent="0.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</row>
    <row r="47" spans="1:39" ht="10.75" customHeight="1" x14ac:dyDescent="0.35">
      <c r="A47" s="25" t="s">
        <v>76</v>
      </c>
      <c r="B47" s="31"/>
      <c r="C47" s="31"/>
      <c r="D47" s="31"/>
      <c r="E47" s="31"/>
      <c r="F47" s="31"/>
      <c r="G47" s="32"/>
      <c r="H47" s="32"/>
      <c r="I47" s="32"/>
      <c r="J47" s="32"/>
      <c r="K47" s="32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</row>
    <row r="48" spans="1:39" ht="10.75" customHeight="1" x14ac:dyDescent="0.35">
      <c r="O48" s="130" t="s">
        <v>74</v>
      </c>
      <c r="P48" s="130"/>
      <c r="Q48" s="130"/>
      <c r="R48" s="109" t="s">
        <v>65</v>
      </c>
      <c r="S48" s="110"/>
      <c r="T48" s="111"/>
      <c r="U48" s="109" t="s">
        <v>66</v>
      </c>
      <c r="V48" s="110"/>
      <c r="W48" s="110"/>
      <c r="X48" s="111"/>
      <c r="Y48" s="130" t="s">
        <v>25</v>
      </c>
      <c r="Z48" s="130"/>
      <c r="AA48" s="130"/>
    </row>
    <row r="49" spans="1:39" ht="10.75" customHeight="1" x14ac:dyDescent="0.3">
      <c r="B49" s="59" t="s">
        <v>72</v>
      </c>
      <c r="C49" s="59"/>
      <c r="D49" s="59"/>
      <c r="E49" s="59"/>
      <c r="F49" s="59"/>
      <c r="G49" s="59"/>
      <c r="H49" s="59"/>
      <c r="I49" s="59"/>
      <c r="J49" s="144" t="s">
        <v>53</v>
      </c>
      <c r="K49" s="144"/>
      <c r="L49" s="144"/>
      <c r="M49" s="144"/>
      <c r="O49" s="130"/>
      <c r="P49" s="130"/>
      <c r="Q49" s="130"/>
      <c r="R49" s="112"/>
      <c r="S49" s="113"/>
      <c r="T49" s="114"/>
      <c r="U49" s="112"/>
      <c r="V49" s="113"/>
      <c r="W49" s="113"/>
      <c r="X49" s="114"/>
      <c r="Y49" s="130"/>
      <c r="Z49" s="130"/>
      <c r="AA49" s="130"/>
      <c r="AC49" s="109" t="s">
        <v>67</v>
      </c>
      <c r="AD49" s="110"/>
      <c r="AE49" s="110"/>
      <c r="AF49" s="111"/>
      <c r="AG49" s="109" t="s">
        <v>25</v>
      </c>
      <c r="AH49" s="110"/>
      <c r="AI49" s="111"/>
    </row>
    <row r="50" spans="1:39" ht="10.75" customHeight="1" x14ac:dyDescent="0.3">
      <c r="B50" s="59" t="s">
        <v>94</v>
      </c>
      <c r="C50" s="59"/>
      <c r="D50" s="59"/>
      <c r="E50" s="59"/>
      <c r="F50" s="59"/>
      <c r="G50" s="59"/>
      <c r="H50" s="59"/>
      <c r="I50" s="134"/>
      <c r="J50" s="139">
        <f>IF(OR($H$17="HV Winding 5 Positions",$H$17="HV Winding 7 Positions"),
        HLOOKUP(J49,H19:AB20,2,FALSE),
        IF(OR($H$17="LV Winding 5 Positions",$H$17="LV Winding 7 Positions"),
                IF(N14="DELTA",F14,J14),
                ""
        )
)</f>
        <v>277.12812921102039</v>
      </c>
      <c r="K50" s="140"/>
      <c r="L50" s="140"/>
      <c r="M50" s="29" t="s">
        <v>50</v>
      </c>
      <c r="O50" s="51" t="str">
        <f>IF(N14="Delta","H1-H2",IF(N14="Wye","H0-H1",IF(N14="Single Phase","H1-H2","-")))</f>
        <v>H0-H1</v>
      </c>
      <c r="P50" s="51"/>
      <c r="Q50" s="51"/>
      <c r="R50" s="148">
        <v>1.3407</v>
      </c>
      <c r="S50" s="149"/>
      <c r="T50" s="150"/>
      <c r="U50" s="131">
        <f>IF(R50="","",IF(ISNUMBER(R50)=FALSE,R50,(($J$52-R50)/$J$52)*100))</f>
        <v>-0.62695576732905078</v>
      </c>
      <c r="V50" s="132"/>
      <c r="W50" s="132"/>
      <c r="X50" s="133"/>
      <c r="Y50" s="51" t="str">
        <f>IF(U50="", "", IF(AND(U50&lt;=0.5, U50&gt;=-0.5), "Pass", "Fail"))</f>
        <v>Fail</v>
      </c>
      <c r="Z50" s="51"/>
      <c r="AA50" s="51"/>
      <c r="AC50" s="112"/>
      <c r="AD50" s="113"/>
      <c r="AE50" s="113"/>
      <c r="AF50" s="114"/>
      <c r="AG50" s="112"/>
      <c r="AH50" s="113"/>
      <c r="AI50" s="114"/>
    </row>
    <row r="51" spans="1:39" ht="10.75" customHeight="1" x14ac:dyDescent="0.3">
      <c r="B51" s="59" t="s">
        <v>95</v>
      </c>
      <c r="C51" s="59"/>
      <c r="D51" s="59"/>
      <c r="E51" s="59"/>
      <c r="F51" s="59"/>
      <c r="G51" s="59"/>
      <c r="H51" s="59"/>
      <c r="I51" s="59"/>
      <c r="J51" s="139">
        <f>IF(OR($H$17="LV Winding 5 Positions",$H$17="LV Winding 7 Positions"),
        HLOOKUP(J49,H19:AB20,2,FALSE),
        IF(OR($H$17="HV Winding 5 Positions",$H$17="HV Winding 7 Positions"),
                IF(N15="DELTA",F15,J15),
                ""
        )
)</f>
        <v>208</v>
      </c>
      <c r="K51" s="140"/>
      <c r="L51" s="140"/>
      <c r="M51" s="34" t="s">
        <v>50</v>
      </c>
      <c r="O51" s="51" t="str">
        <f>IF(N14="Delta","H2-H3",IF(N14="Wye","H0-H2",IF(N14="Single Phase","N/A","-")))</f>
        <v>H0-H2</v>
      </c>
      <c r="P51" s="51"/>
      <c r="Q51" s="51"/>
      <c r="R51" s="148">
        <v>1.3413999999999999</v>
      </c>
      <c r="S51" s="149"/>
      <c r="T51" s="150"/>
      <c r="U51" s="131">
        <f>IF(R51="","",IF(ISNUMBER(R51)=FALSE,R51,(($J$52-R51)/$J$52)*100))</f>
        <v>-0.67949464182530095</v>
      </c>
      <c r="V51" s="132"/>
      <c r="W51" s="132"/>
      <c r="X51" s="133"/>
      <c r="Y51" s="51" t="str">
        <f>IF(ISNUMBER(U51)=FALSE, U51, IF(AND(U51&lt;=0.5, U51&gt;=-0.5), "Pass", "Fail"))</f>
        <v>Fail</v>
      </c>
      <c r="Z51" s="51"/>
      <c r="AA51" s="51"/>
      <c r="AC51" s="145">
        <f>IF(OR(ISNUMBER(U50)=FALSE,ISNUMBER(U51)=FALSE,ISNUMBER(U52)=FALSE),"N/A",MAX(U50:X52)-MIN(U50:X52))</f>
        <v>6.0044427995714411E-2</v>
      </c>
      <c r="AD51" s="146"/>
      <c r="AE51" s="146"/>
      <c r="AF51" s="147"/>
      <c r="AG51" s="115" t="str">
        <f>IF(ISNUMBER(AC51)=FALSE, "N/A", IF(AND(AC51&lt;=0.5, AC51&gt;=-0.5), "Pass", "Fail"))</f>
        <v>Pass</v>
      </c>
      <c r="AH51" s="116"/>
      <c r="AI51" s="117"/>
    </row>
    <row r="52" spans="1:39" ht="10.75" customHeight="1" x14ac:dyDescent="0.3">
      <c r="B52" s="59" t="s">
        <v>73</v>
      </c>
      <c r="C52" s="59"/>
      <c r="D52" s="59"/>
      <c r="E52" s="59"/>
      <c r="F52" s="59"/>
      <c r="G52" s="59"/>
      <c r="H52" s="59"/>
      <c r="I52" s="59"/>
      <c r="J52" s="151">
        <f>J50/J51</f>
        <v>1.3323467750529827</v>
      </c>
      <c r="K52" s="151"/>
      <c r="L52" s="151"/>
      <c r="M52" s="151"/>
      <c r="O52" s="151" t="str">
        <f>IF(N14="Delta","H3-H1",IF(N14="Wye","H0-H3",IF(N14="Single Phase","N/A","-")))</f>
        <v>H0-H3</v>
      </c>
      <c r="P52" s="151"/>
      <c r="Q52" s="151"/>
      <c r="R52" s="148">
        <v>1.3414999999999999</v>
      </c>
      <c r="S52" s="149"/>
      <c r="T52" s="150"/>
      <c r="U52" s="131">
        <f>IF(R52="","",IF(ISNUMBER(R52)=FALSE,R52,(($J$52-R52)/$J$52)*100))</f>
        <v>-0.68700019532476519</v>
      </c>
      <c r="V52" s="132"/>
      <c r="W52" s="132"/>
      <c r="X52" s="133"/>
      <c r="Y52" s="51" t="str">
        <f>IF(ISNUMBER(U52)=FALSE, U52, IF(AND(U52&lt;=0.5, U52&gt;=-0.5), "Pass", "Fail"))</f>
        <v>Fail</v>
      </c>
      <c r="Z52" s="51"/>
      <c r="AA52" s="51"/>
    </row>
    <row r="53" spans="1:39" ht="10.75" customHeight="1" thickBot="1" x14ac:dyDescent="0.4">
      <c r="A53" s="8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8"/>
      <c r="AM53" s="8"/>
    </row>
    <row r="54" spans="1:39" ht="10.75" customHeight="1" x14ac:dyDescent="0.35">
      <c r="A54" s="9" t="s">
        <v>21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</row>
    <row r="55" spans="1:39" ht="10.75" customHeight="1" x14ac:dyDescent="0.35">
      <c r="A55" s="13"/>
      <c r="B55" s="13"/>
      <c r="C55" s="13"/>
      <c r="D55" s="13"/>
      <c r="E55" s="48" t="s">
        <v>101</v>
      </c>
      <c r="F55" s="48"/>
      <c r="G55" s="48"/>
      <c r="H55" s="48"/>
      <c r="I55" s="48"/>
      <c r="J55" s="48"/>
      <c r="K55" s="48"/>
      <c r="L55" s="48"/>
      <c r="M55" s="141"/>
      <c r="N55" s="141"/>
      <c r="O55" s="141"/>
      <c r="P55" s="141"/>
      <c r="Q55" s="141"/>
      <c r="R55" s="141"/>
      <c r="S55" s="141"/>
      <c r="T55" s="48" t="s">
        <v>23</v>
      </c>
      <c r="U55" s="48"/>
      <c r="V55" s="48"/>
      <c r="W55" s="48"/>
      <c r="X55" s="48"/>
      <c r="Y55" s="141"/>
      <c r="Z55" s="141"/>
      <c r="AA55" s="141"/>
      <c r="AB55" s="141"/>
      <c r="AC55" s="141"/>
      <c r="AD55" s="141"/>
      <c r="AE55" s="4"/>
      <c r="AF55" s="48" t="s">
        <v>22</v>
      </c>
      <c r="AG55" s="48"/>
      <c r="AH55" s="48"/>
      <c r="AI55" s="83"/>
      <c r="AJ55" s="83"/>
      <c r="AK55" s="83"/>
      <c r="AL55" s="83"/>
      <c r="AM55" s="13"/>
    </row>
    <row r="56" spans="1:39" ht="10.75" customHeight="1" x14ac:dyDescent="0.3">
      <c r="A56" s="13"/>
      <c r="E56" s="49" t="s">
        <v>102</v>
      </c>
      <c r="F56" s="49"/>
      <c r="G56" s="49"/>
      <c r="H56" s="49"/>
      <c r="I56" s="49"/>
      <c r="J56" s="49"/>
      <c r="K56" s="49"/>
      <c r="L56" s="49"/>
      <c r="M56" s="143"/>
      <c r="N56" s="143"/>
      <c r="O56" s="143"/>
      <c r="P56" s="143"/>
      <c r="Q56" s="143"/>
      <c r="R56" s="143"/>
      <c r="S56" s="143"/>
      <c r="T56" s="48" t="s">
        <v>23</v>
      </c>
      <c r="U56" s="48"/>
      <c r="V56" s="48"/>
      <c r="W56" s="48"/>
      <c r="X56" s="48"/>
      <c r="Y56" s="141"/>
      <c r="Z56" s="141"/>
      <c r="AA56" s="141"/>
      <c r="AB56" s="141"/>
      <c r="AC56" s="141"/>
      <c r="AD56" s="141"/>
      <c r="AE56" s="4"/>
      <c r="AF56" s="48" t="s">
        <v>22</v>
      </c>
      <c r="AG56" s="48"/>
      <c r="AH56" s="48"/>
      <c r="AI56" s="83"/>
      <c r="AJ56" s="83"/>
      <c r="AK56" s="83"/>
      <c r="AL56" s="83"/>
      <c r="AM56" s="13"/>
    </row>
    <row r="57" spans="1:39" ht="10.75" customHeight="1" thickBot="1" x14ac:dyDescent="0.4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</row>
    <row r="58" spans="1:39" ht="10.75" customHeight="1" x14ac:dyDescent="0.35">
      <c r="A58" s="9" t="s">
        <v>12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</row>
    <row r="59" spans="1:39" ht="10.75" customHeight="1" x14ac:dyDescent="0.35">
      <c r="A59" s="2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13"/>
    </row>
    <row r="60" spans="1:39" ht="10.75" customHeight="1" x14ac:dyDescent="0.35">
      <c r="A60" s="13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13"/>
    </row>
    <row r="61" spans="1:39" ht="10.75" customHeight="1" x14ac:dyDescent="0.35">
      <c r="A61" s="13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13"/>
    </row>
    <row r="62" spans="1:39" ht="10.75" customHeight="1" x14ac:dyDescent="0.35">
      <c r="A62" s="13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13"/>
    </row>
    <row r="63" spans="1:39" ht="10.75" customHeight="1" thickBot="1" x14ac:dyDescent="0.4">
      <c r="A63" s="8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8"/>
    </row>
  </sheetData>
  <sheetProtection formatCells="0" selectLockedCells="1"/>
  <dataConsolidate/>
  <mergeCells count="197">
    <mergeCell ref="AC42:AD42"/>
    <mergeCell ref="AE42:AF42"/>
    <mergeCell ref="B17:G17"/>
    <mergeCell ref="B19:G19"/>
    <mergeCell ref="B20:G20"/>
    <mergeCell ref="O36:W36"/>
    <mergeCell ref="X36:Z36"/>
    <mergeCell ref="AH30:AL30"/>
    <mergeCell ref="AH31:AL31"/>
    <mergeCell ref="AH25:AL25"/>
    <mergeCell ref="AB36:AF36"/>
    <mergeCell ref="AG36:AI36"/>
    <mergeCell ref="AE40:AF40"/>
    <mergeCell ref="AC41:AD41"/>
    <mergeCell ref="AE41:AF41"/>
    <mergeCell ref="Z10:AC10"/>
    <mergeCell ref="Z11:AC11"/>
    <mergeCell ref="S10:X10"/>
    <mergeCell ref="S11:X11"/>
    <mergeCell ref="AD10:AI10"/>
    <mergeCell ref="AD11:AI11"/>
    <mergeCell ref="AG20:AI20"/>
    <mergeCell ref="N13:S13"/>
    <mergeCell ref="N14:S14"/>
    <mergeCell ref="N15:S15"/>
    <mergeCell ref="U13:Z13"/>
    <mergeCell ref="U14:Z14"/>
    <mergeCell ref="U15:Z15"/>
    <mergeCell ref="Q19:S19"/>
    <mergeCell ref="T19:V19"/>
    <mergeCell ref="W19:Y19"/>
    <mergeCell ref="Z19:AB19"/>
    <mergeCell ref="M55:S55"/>
    <mergeCell ref="Y55:AD55"/>
    <mergeCell ref="Y56:AD56"/>
    <mergeCell ref="AI56:AL56"/>
    <mergeCell ref="AI55:AL55"/>
    <mergeCell ref="AG19:AI19"/>
    <mergeCell ref="AF55:AH55"/>
    <mergeCell ref="T56:X56"/>
    <mergeCell ref="T55:X55"/>
    <mergeCell ref="M56:S56"/>
    <mergeCell ref="J49:M49"/>
    <mergeCell ref="AC49:AF50"/>
    <mergeCell ref="AC51:AF51"/>
    <mergeCell ref="R48:T49"/>
    <mergeCell ref="R50:T50"/>
    <mergeCell ref="R51:T51"/>
    <mergeCell ref="R52:T52"/>
    <mergeCell ref="J51:L51"/>
    <mergeCell ref="J52:M52"/>
    <mergeCell ref="U52:X52"/>
    <mergeCell ref="O52:Q52"/>
    <mergeCell ref="Y52:AA52"/>
    <mergeCell ref="U51:X51"/>
    <mergeCell ref="O50:Q50"/>
    <mergeCell ref="B51:I51"/>
    <mergeCell ref="B50:I50"/>
    <mergeCell ref="B49:I49"/>
    <mergeCell ref="O51:Q51"/>
    <mergeCell ref="O48:Q49"/>
    <mergeCell ref="Y44:AB44"/>
    <mergeCell ref="Y45:AB45"/>
    <mergeCell ref="Q45:T45"/>
    <mergeCell ref="U45:X45"/>
    <mergeCell ref="J50:L50"/>
    <mergeCell ref="Q44:T44"/>
    <mergeCell ref="U44:X44"/>
    <mergeCell ref="Y50:AA50"/>
    <mergeCell ref="Y51:AA51"/>
    <mergeCell ref="AG51:AI51"/>
    <mergeCell ref="AC44:AF44"/>
    <mergeCell ref="AH44:AJ44"/>
    <mergeCell ref="AH45:AJ45"/>
    <mergeCell ref="AD45:AF45"/>
    <mergeCell ref="AH32:AL32"/>
    <mergeCell ref="B5:E5"/>
    <mergeCell ref="B6:E6"/>
    <mergeCell ref="AE6:AL6"/>
    <mergeCell ref="F27:AG27"/>
    <mergeCell ref="F25:AG25"/>
    <mergeCell ref="N40:P40"/>
    <mergeCell ref="J41:L41"/>
    <mergeCell ref="N41:P41"/>
    <mergeCell ref="J42:L42"/>
    <mergeCell ref="N42:P42"/>
    <mergeCell ref="B10:E10"/>
    <mergeCell ref="B27:E27"/>
    <mergeCell ref="B26:E26"/>
    <mergeCell ref="F26:AG26"/>
    <mergeCell ref="B25:E25"/>
    <mergeCell ref="F14:H14"/>
    <mergeCell ref="J14:L14"/>
    <mergeCell ref="B38:H39"/>
    <mergeCell ref="AB35:AF35"/>
    <mergeCell ref="AG35:AI35"/>
    <mergeCell ref="AH26:AL26"/>
    <mergeCell ref="AH27:AL27"/>
    <mergeCell ref="AH29:AL29"/>
    <mergeCell ref="K20:M20"/>
    <mergeCell ref="N20:P20"/>
    <mergeCell ref="Q20:S20"/>
    <mergeCell ref="AG49:AI50"/>
    <mergeCell ref="Y48:AA49"/>
    <mergeCell ref="U48:X49"/>
    <mergeCell ref="U50:X50"/>
    <mergeCell ref="AH24:AL24"/>
    <mergeCell ref="R40:T40"/>
    <mergeCell ref="R41:T41"/>
    <mergeCell ref="R42:T42"/>
    <mergeCell ref="V40:X40"/>
    <mergeCell ref="V41:X41"/>
    <mergeCell ref="V42:X42"/>
    <mergeCell ref="M39:P39"/>
    <mergeCell ref="Y41:Z41"/>
    <mergeCell ref="Y42:Z42"/>
    <mergeCell ref="O35:W35"/>
    <mergeCell ref="X35:Z35"/>
    <mergeCell ref="A1:AM1"/>
    <mergeCell ref="K5:L5"/>
    <mergeCell ref="S5:V5"/>
    <mergeCell ref="Z6:AD6"/>
    <mergeCell ref="Z2:AD2"/>
    <mergeCell ref="AE2:AH2"/>
    <mergeCell ref="M5:N5"/>
    <mergeCell ref="P5:Q5"/>
    <mergeCell ref="Z3:AD3"/>
    <mergeCell ref="F4:X4"/>
    <mergeCell ref="F5:I5"/>
    <mergeCell ref="F2:X2"/>
    <mergeCell ref="AJ2:AL4"/>
    <mergeCell ref="AE3:AH3"/>
    <mergeCell ref="Z5:AD5"/>
    <mergeCell ref="AE5:AL5"/>
    <mergeCell ref="B2:E2"/>
    <mergeCell ref="B3:E3"/>
    <mergeCell ref="B4:E4"/>
    <mergeCell ref="F3:X3"/>
    <mergeCell ref="F6:X6"/>
    <mergeCell ref="N10:R10"/>
    <mergeCell ref="N11:R11"/>
    <mergeCell ref="B15:E15"/>
    <mergeCell ref="B14:E14"/>
    <mergeCell ref="K19:M19"/>
    <mergeCell ref="N19:P19"/>
    <mergeCell ref="H20:J20"/>
    <mergeCell ref="B11:E11"/>
    <mergeCell ref="F11:H11"/>
    <mergeCell ref="F10:L10"/>
    <mergeCell ref="F13:L13"/>
    <mergeCell ref="F29:AG29"/>
    <mergeCell ref="F30:AG30"/>
    <mergeCell ref="J11:L11"/>
    <mergeCell ref="B40:H40"/>
    <mergeCell ref="B41:H41"/>
    <mergeCell ref="B42:H42"/>
    <mergeCell ref="J40:L40"/>
    <mergeCell ref="H17:N17"/>
    <mergeCell ref="J15:L15"/>
    <mergeCell ref="F15:H15"/>
    <mergeCell ref="H19:J19"/>
    <mergeCell ref="T20:V20"/>
    <mergeCell ref="I38:P38"/>
    <mergeCell ref="B29:E29"/>
    <mergeCell ref="B30:E30"/>
    <mergeCell ref="B28:E28"/>
    <mergeCell ref="F28:AG28"/>
    <mergeCell ref="B31:E31"/>
    <mergeCell ref="F31:AG31"/>
    <mergeCell ref="B32:E32"/>
    <mergeCell ref="F32:AG32"/>
    <mergeCell ref="Q38:X38"/>
    <mergeCell ref="Y38:Z39"/>
    <mergeCell ref="B59:AL62"/>
    <mergeCell ref="W20:Y20"/>
    <mergeCell ref="Z20:AB20"/>
    <mergeCell ref="AD19:AF19"/>
    <mergeCell ref="AH38:AJ39"/>
    <mergeCell ref="E55:L55"/>
    <mergeCell ref="E56:L56"/>
    <mergeCell ref="AF56:AH56"/>
    <mergeCell ref="B45:I45"/>
    <mergeCell ref="J45:P45"/>
    <mergeCell ref="J44:P44"/>
    <mergeCell ref="AB38:AF38"/>
    <mergeCell ref="AB39:AD39"/>
    <mergeCell ref="AE39:AF39"/>
    <mergeCell ref="Y40:Z40"/>
    <mergeCell ref="I39:L39"/>
    <mergeCell ref="AH40:AJ40"/>
    <mergeCell ref="AH41:AJ41"/>
    <mergeCell ref="AH42:AJ42"/>
    <mergeCell ref="Q39:T39"/>
    <mergeCell ref="U39:X39"/>
    <mergeCell ref="B52:I52"/>
    <mergeCell ref="AC40:AD40"/>
    <mergeCell ref="AH28:AL28"/>
  </mergeCells>
  <phoneticPr fontId="2" type="noConversion"/>
  <conditionalFormatting sqref="Y50:Y52">
    <cfRule type="cellIs" dxfId="17" priority="26" operator="equal">
      <formula>"Fail"</formula>
    </cfRule>
    <cfRule type="cellIs" dxfId="16" priority="29" operator="equal">
      <formula>"Pass"</formula>
    </cfRule>
  </conditionalFormatting>
  <conditionalFormatting sqref="AG51">
    <cfRule type="cellIs" dxfId="15" priority="8" operator="equal">
      <formula>"Fail"</formula>
    </cfRule>
    <cfRule type="cellIs" dxfId="14" priority="9" operator="equal">
      <formula>"Pass"</formula>
    </cfRule>
  </conditionalFormatting>
  <conditionalFormatting sqref="AH40:AH42">
    <cfRule type="cellIs" dxfId="13" priority="4" operator="equal">
      <formula>"LIMITED SERVICE"</formula>
    </cfRule>
    <cfRule type="cellIs" dxfId="12" priority="5" operator="equal">
      <formula>"Fail"</formula>
    </cfRule>
    <cfRule type="cellIs" dxfId="11" priority="6" operator="equal">
      <formula>"Pass"</formula>
    </cfRule>
    <cfRule type="cellIs" dxfId="10" priority="7" operator="equal">
      <formula>"""PASS"""</formula>
    </cfRule>
  </conditionalFormatting>
  <conditionalFormatting sqref="AH45">
    <cfRule type="cellIs" dxfId="9" priority="10" operator="equal">
      <formula>"LIMITED SERVICE"</formula>
    </cfRule>
    <cfRule type="cellIs" dxfId="8" priority="11" operator="equal">
      <formula>"Fail"</formula>
    </cfRule>
    <cfRule type="cellIs" dxfId="7" priority="12" operator="equal">
      <formula>"Pass"</formula>
    </cfRule>
    <cfRule type="cellIs" dxfId="6" priority="13" operator="equal">
      <formula>"""PASS"""</formula>
    </cfRule>
  </conditionalFormatting>
  <conditionalFormatting sqref="AJ2">
    <cfRule type="cellIs" dxfId="5" priority="30" operator="equal">
      <formula>"LIMITED SERVICE"</formula>
    </cfRule>
    <cfRule type="cellIs" dxfId="4" priority="31" operator="equal">
      <formula>"FAIL"</formula>
    </cfRule>
    <cfRule type="cellIs" dxfId="3" priority="32" operator="equal">
      <formula>"PASS"</formula>
    </cfRule>
    <cfRule type="cellIs" dxfId="2" priority="33" operator="equal">
      <formula>"""PASS"""</formula>
    </cfRule>
  </conditionalFormatting>
  <conditionalFormatting sqref="W19:Y20">
    <cfRule type="expression" dxfId="1" priority="72">
      <formula>OR($H$17="LV Winding 5 Positions",$H$17="HV Winding 5 Positions")</formula>
    </cfRule>
  </conditionalFormatting>
  <conditionalFormatting sqref="Z19:AB20">
    <cfRule type="expression" dxfId="0" priority="73">
      <formula>OR($H$17="LV Winding 5 Positions",$H$17="HV Winding 5 Positions")</formula>
    </cfRule>
  </conditionalFormatting>
  <dataValidations count="10">
    <dataValidation type="list" errorStyle="warning" allowBlank="1" showInputMessage="1" showErrorMessage="1" sqref="AH25:AL32" xr:uid="{6EEF4E07-8C3A-4411-B37D-774BCC384790}">
      <formula1>",Satisfactory, Unsatisfactory,Cleaned,See Comments,Not Applicable, By Others"</formula1>
    </dataValidation>
    <dataValidation type="list" allowBlank="1" showInputMessage="1" showErrorMessage="1" sqref="AG35" xr:uid="{BF6CD450-E81F-40CC-B93E-27F6DD3F1C83}">
      <formula1>"250V, 500V, 1000V, 2500V, 5000V"</formula1>
    </dataValidation>
    <dataValidation type="list" allowBlank="1" showInputMessage="1" showErrorMessage="1" sqref="AM2:AM4 K43" xr:uid="{FD88D42F-4C2C-4489-B3FE-AA52572567EE}">
      <formula1>#REF!</formula1>
    </dataValidation>
    <dataValidation type="list" allowBlank="1" showInputMessage="1" showErrorMessage="1" sqref="Y40:Z42" xr:uid="{F42931E0-ECA5-4812-9DB1-695BA97769EE}">
      <formula1>"MΩ,GΩ"</formula1>
    </dataValidation>
    <dataValidation type="list" allowBlank="1" showInputMessage="1" showErrorMessage="1" sqref="I40:I42 M40:M42" xr:uid="{C79074A0-DC76-4F3B-A283-7EE2832A5665}">
      <formula1>"&gt;,&lt;"</formula1>
    </dataValidation>
    <dataValidation type="list" allowBlank="1" showInputMessage="1" showErrorMessage="1" sqref="H17" xr:uid="{685E501F-A17C-4AE7-BD09-66708F5B9E49}">
      <formula1>"HV Winding 5 Positions,HV Winding 7 Positions,LV Winding 5 Positions,LV Winding 7 Positions"</formula1>
    </dataValidation>
    <dataValidation type="list" allowBlank="1" showInputMessage="1" showErrorMessage="1" sqref="N14:N15 H19:H20" xr:uid="{B505F7B2-538F-4CD5-95E1-90F4507742A3}">
      <formula1>"Delta, Wye, Single Phase"</formula1>
    </dataValidation>
    <dataValidation type="list" allowBlank="1" showInputMessage="1" showErrorMessage="1" sqref="U14:U15 O19:O20" xr:uid="{E97AD4D3-4B22-4F9B-A376-BCB2964931C0}">
      <formula1>"Copper, Aluminum"</formula1>
    </dataValidation>
    <dataValidation type="list" allowBlank="1" showInputMessage="1" showErrorMessage="1" sqref="AJ2:AL4" xr:uid="{4FA74C5C-473A-4605-BFEA-EA92CFBE2E80}">
      <formula1>"PASS,FAIL,LIMITED SERVICE"</formula1>
    </dataValidation>
    <dataValidation type="list" allowBlank="1" showInputMessage="1" showErrorMessage="1" sqref="J49" xr:uid="{6E284658-9AEE-4319-9144-C303981EE31B}">
      <formula1>$H$19:$AB$19</formula1>
    </dataValidation>
  </dataValidations>
  <printOptions horizontalCentered="1"/>
  <pageMargins left="0.5" right="0.5" top="1.0337752525252526" bottom="0.49715909090909088" header="0.3" footer="0.3"/>
  <pageSetup fitToHeight="0" orientation="portrait" r:id="rId1"/>
  <headerFooter>
    <oddHeader xml:space="preserve">&amp;L  &amp;G
                &amp;C&amp;"-,Bold"&amp;13Small Low Voltage Dry-Type
Transfomer Test&amp;R&amp;"-,Bold"&amp;12&amp;K000000&amp;G
ATS 7.2.1.1
2025 Edition      
&amp;14 </oddHeader>
    <oddFooter>&amp;L&amp;8&amp;K00-042AMPQES.COM&amp;C&amp;"Arial,Regular"&amp;9Sheet &amp;P of &amp;N&amp;R&amp;8 &amp;K00-042256-513-8255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 Sheet</vt:lpstr>
      <vt:lpstr>'Test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Rodgers</dc:creator>
  <cp:lastModifiedBy>Ethan Thoenes</cp:lastModifiedBy>
  <cp:lastPrinted>2025-12-08T16:20:38Z</cp:lastPrinted>
  <dcterms:created xsi:type="dcterms:W3CDTF">2009-06-02T15:38:13Z</dcterms:created>
  <dcterms:modified xsi:type="dcterms:W3CDTF">2026-02-09T20:08:59Z</dcterms:modified>
</cp:coreProperties>
</file>
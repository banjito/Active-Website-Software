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AMP ALL\Client Files\04. Blank Test Reports\Blank Test Forms ATS 25\"/>
    </mc:Choice>
  </mc:AlternateContent>
  <xr:revisionPtr revIDLastSave="0" documentId="13_ncr:1_{7DD08335-0514-4B2E-9463-EFC2BD57F460}" xr6:coauthVersionLast="47" xr6:coauthVersionMax="47" xr10:uidLastSave="{00000000-0000-0000-0000-000000000000}"/>
  <bookViews>
    <workbookView xWindow="-51210" yWindow="-13530" windowWidth="25650" windowHeight="20025" xr2:uid="{00000000-000D-0000-FFFF-FFFF00000000}"/>
  </bookViews>
  <sheets>
    <sheet name="Test Sheet" sheetId="1" r:id="rId1"/>
    <sheet name="TCF" sheetId="2" r:id="rId2"/>
  </sheets>
  <definedNames>
    <definedName name="_xlnm.Print_Area" localSheetId="0">'Test Sheet'!$A$1:$AM$123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64" i="1" l="1"/>
  <c r="B137" i="2"/>
  <c r="B136" i="2"/>
  <c r="B135" i="2"/>
  <c r="B134" i="2"/>
  <c r="B132" i="2"/>
  <c r="B131" i="2"/>
  <c r="B130" i="2"/>
  <c r="B129" i="2"/>
  <c r="B127" i="2"/>
  <c r="B126" i="2"/>
  <c r="B125" i="2"/>
  <c r="B124" i="2"/>
  <c r="B122" i="2"/>
  <c r="B121" i="2"/>
  <c r="B120" i="2"/>
  <c r="B119" i="2"/>
  <c r="B117" i="2"/>
  <c r="B116" i="2"/>
  <c r="B115" i="2"/>
  <c r="B114" i="2"/>
  <c r="B112" i="2"/>
  <c r="B111" i="2"/>
  <c r="B110" i="2"/>
  <c r="B109" i="2"/>
  <c r="B107" i="2"/>
  <c r="B106" i="2"/>
  <c r="B105" i="2"/>
  <c r="B104" i="2"/>
  <c r="B102" i="2"/>
  <c r="B101" i="2"/>
  <c r="B100" i="2"/>
  <c r="B99" i="2"/>
  <c r="B97" i="2"/>
  <c r="B96" i="2"/>
  <c r="B95" i="2"/>
  <c r="B94" i="2"/>
  <c r="B92" i="2"/>
  <c r="B91" i="2"/>
  <c r="B90" i="2"/>
  <c r="B89" i="2"/>
  <c r="B87" i="2"/>
  <c r="B86" i="2"/>
  <c r="B85" i="2"/>
  <c r="B84" i="2"/>
  <c r="B82" i="2"/>
  <c r="B81" i="2"/>
  <c r="B80" i="2"/>
  <c r="B79" i="2"/>
  <c r="B77" i="2"/>
  <c r="B76" i="2"/>
  <c r="B75" i="2"/>
  <c r="B74" i="2"/>
  <c r="B72" i="2"/>
  <c r="B71" i="2"/>
  <c r="B70" i="2"/>
  <c r="B69" i="2"/>
  <c r="B67" i="2"/>
  <c r="B66" i="2"/>
  <c r="B65" i="2"/>
  <c r="B64" i="2"/>
  <c r="B62" i="2"/>
  <c r="B61" i="2"/>
  <c r="B60" i="2"/>
  <c r="B59" i="2"/>
  <c r="B57" i="2"/>
  <c r="B56" i="2"/>
  <c r="B55" i="2"/>
  <c r="B54" i="2"/>
  <c r="B52" i="2"/>
  <c r="B51" i="2"/>
  <c r="B50" i="2"/>
  <c r="B49" i="2"/>
  <c r="B47" i="2"/>
  <c r="B46" i="2"/>
  <c r="B45" i="2"/>
  <c r="B44" i="2"/>
  <c r="B42" i="2"/>
  <c r="B41" i="2"/>
  <c r="B40" i="2"/>
  <c r="B39" i="2"/>
  <c r="B37" i="2"/>
  <c r="B36" i="2"/>
  <c r="B35" i="2"/>
  <c r="B34" i="2"/>
  <c r="B32" i="2"/>
  <c r="B31" i="2"/>
  <c r="B30" i="2"/>
  <c r="B29" i="2"/>
  <c r="B27" i="2"/>
  <c r="B26" i="2"/>
  <c r="B25" i="2"/>
  <c r="B24" i="2"/>
  <c r="B22" i="2"/>
  <c r="B21" i="2"/>
  <c r="B20" i="2"/>
  <c r="B19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P5" i="1"/>
  <c r="AH70" i="1" l="1"/>
  <c r="AE70" i="1"/>
  <c r="AB70" i="1"/>
  <c r="AD75" i="1" s="1"/>
  <c r="Y70" i="1"/>
  <c r="AD74" i="1" s="1"/>
  <c r="AH69" i="1"/>
  <c r="AE69" i="1"/>
  <c r="AB69" i="1"/>
  <c r="Z75" i="1" s="1"/>
  <c r="Y69" i="1"/>
  <c r="Z74" i="1" s="1"/>
  <c r="AH68" i="1"/>
  <c r="AE68" i="1"/>
  <c r="AB68" i="1"/>
  <c r="V75" i="1" s="1"/>
  <c r="Y68" i="1"/>
  <c r="V74" i="1" s="1"/>
  <c r="AH74" i="1" l="1"/>
  <c r="AH75" i="1"/>
</calcChain>
</file>

<file path=xl/sharedStrings.xml><?xml version="1.0" encoding="utf-8"?>
<sst xmlns="http://schemas.openxmlformats.org/spreadsheetml/2006/main" count="263" uniqueCount="116">
  <si>
    <t>Customer</t>
  </si>
  <si>
    <t>Address</t>
  </si>
  <si>
    <t>Technicians</t>
  </si>
  <si>
    <t>User</t>
  </si>
  <si>
    <t>Date</t>
  </si>
  <si>
    <t>Temp.</t>
  </si>
  <si>
    <t>°C</t>
  </si>
  <si>
    <t>Humidity</t>
  </si>
  <si>
    <t>%</t>
  </si>
  <si>
    <t>Eqpt. Location</t>
  </si>
  <si>
    <t>Manufacturer</t>
  </si>
  <si>
    <t>Serial Number</t>
  </si>
  <si>
    <t>Comments:</t>
  </si>
  <si>
    <t>Job #</t>
  </si>
  <si>
    <t>°F</t>
  </si>
  <si>
    <t>Visual and Mechanical Inspection</t>
  </si>
  <si>
    <t>PASS</t>
  </si>
  <si>
    <t>Units</t>
  </si>
  <si>
    <t>1000V</t>
  </si>
  <si>
    <t>Substation</t>
  </si>
  <si>
    <t>Identifier</t>
  </si>
  <si>
    <t>Test Equipment Used</t>
  </si>
  <si>
    <t>AMP ID:</t>
  </si>
  <si>
    <t>Megohmmeter:</t>
  </si>
  <si>
    <t>Serial Number:</t>
  </si>
  <si>
    <t>Nameplate Data</t>
  </si>
  <si>
    <t>Results</t>
  </si>
  <si>
    <t>NETA Section</t>
  </si>
  <si>
    <t>Catalog Number</t>
  </si>
  <si>
    <t>KVA</t>
  </si>
  <si>
    <t>/</t>
  </si>
  <si>
    <t xml:space="preserve">Temp. Rise </t>
  </si>
  <si>
    <t>Impendance</t>
  </si>
  <si>
    <t>Winding Material</t>
  </si>
  <si>
    <t>Primary</t>
  </si>
  <si>
    <t>Secondary</t>
  </si>
  <si>
    <t>Tap Voltages</t>
  </si>
  <si>
    <t>Tap Position</t>
  </si>
  <si>
    <t>Inspect physical and mechanical condition.</t>
  </si>
  <si>
    <t>Inspect anchorage, alignment, and grounding.</t>
  </si>
  <si>
    <t>Winding Under Test</t>
  </si>
  <si>
    <t>0.5 Min.</t>
  </si>
  <si>
    <t>1 Min.</t>
  </si>
  <si>
    <t>Primary to Ground</t>
  </si>
  <si>
    <t>Secondary to Ground</t>
  </si>
  <si>
    <t>Primary to Secondary</t>
  </si>
  <si>
    <t>1</t>
  </si>
  <si>
    <t>2</t>
  </si>
  <si>
    <t>3</t>
  </si>
  <si>
    <t>TTR Test Set:</t>
  </si>
  <si>
    <t>5</t>
  </si>
  <si>
    <t>4</t>
  </si>
  <si>
    <t>Tap Position Left:</t>
  </si>
  <si>
    <t>Voltages (V)</t>
  </si>
  <si>
    <t>Winding Connections</t>
  </si>
  <si>
    <t>-</t>
  </si>
  <si>
    <t>Compare equipment nameplate data with drawings.</t>
  </si>
  <si>
    <t>Electrical - Insulation Resistance Tests</t>
  </si>
  <si>
    <t>MΩ</t>
  </si>
  <si>
    <t>7.2.2.A.1</t>
  </si>
  <si>
    <t>7.2.2.A.2</t>
  </si>
  <si>
    <t>7.2.2.A.3</t>
  </si>
  <si>
    <t>Inspect impact recorder prior to unloading.</t>
  </si>
  <si>
    <t>7.2.2.A.5</t>
  </si>
  <si>
    <t>7.2.2.A.6</t>
  </si>
  <si>
    <t>Verify the presence of PCB content labeling.</t>
  </si>
  <si>
    <t>7.2.2.A.7</t>
  </si>
  <si>
    <t>7.2.2.A.8</t>
  </si>
  <si>
    <t>7.2.2.A.9</t>
  </si>
  <si>
    <t>Verify removal of any shipping bracing after placement.</t>
  </si>
  <si>
    <t>Verify the bushings are clean.</t>
  </si>
  <si>
    <t>7.2.2.A.10</t>
  </si>
  <si>
    <t>7.2.2.A.11</t>
  </si>
  <si>
    <t>7.2.2.A.12</t>
  </si>
  <si>
    <t>7.2.2.A.13</t>
  </si>
  <si>
    <t>7.2.2.A.14</t>
  </si>
  <si>
    <t>Verify that alarm, control, and trip settings on temperature and level indicators are as specified.</t>
  </si>
  <si>
    <t>Verify operation of alarm, control, and trip circuits from temperature and level indicators, pressure relief device, gas accumulator, and fault pressure relay.</t>
  </si>
  <si>
    <t>Verify that cooling fans and pumps operate correctly and have appropriate overcurrent protection.</t>
  </si>
  <si>
    <t>Verify correct liquid level in tanks and bushings.</t>
  </si>
  <si>
    <t>Verify valves are in the correct operating position.</t>
  </si>
  <si>
    <t>Verify that positive pressure is maintained on gas-blanketed transformers.</t>
  </si>
  <si>
    <t>7.2.2.A.15</t>
  </si>
  <si>
    <t>7.2.2.A.16</t>
  </si>
  <si>
    <t>7.2.2.A.17</t>
  </si>
  <si>
    <t>7.2.2.A.18</t>
  </si>
  <si>
    <t>7.2.2.A.19</t>
  </si>
  <si>
    <t>Perform inspections and mechanical tests as recommended by the manufacturer.</t>
  </si>
  <si>
    <t>Test load tap-changer in accordance with Section 7.12.3.</t>
  </si>
  <si>
    <t>Verify presence of transformer surge arresters.</t>
  </si>
  <si>
    <t>Verify de-energized tap-changer position is left as specified.</t>
  </si>
  <si>
    <t>Verify tightness of accessible bolted electrical connections by calibrated torque-wrench method or in accordance with 7.2.2.B.1. Torque values shall be in accordance with manufacturer’s published data. In the absence of manufacturer’s data, use Table 100.12.</t>
  </si>
  <si>
    <t>5000V</t>
  </si>
  <si>
    <t>Indicator Gauge Values</t>
  </si>
  <si>
    <t>Oil Level</t>
  </si>
  <si>
    <t>Oil Temperature (°C)</t>
  </si>
  <si>
    <t>Oil Temp. Range</t>
  </si>
  <si>
    <t>Tank Pressure</t>
  </si>
  <si>
    <t>Winding Temperature (°C)</t>
  </si>
  <si>
    <t>Winding Temp. Range</t>
  </si>
  <si>
    <t>TCF</t>
  </si>
  <si>
    <t>Insulation Resistance Values</t>
  </si>
  <si>
    <t>Temperature Corrected Values</t>
  </si>
  <si>
    <t>Test Voltage</t>
  </si>
  <si>
    <t>10 Min.</t>
  </si>
  <si>
    <t>Acceptable</t>
  </si>
  <si>
    <t>Dielectric Absorption : (Ratio of 1 Minute to 0.5 Minute Result )</t>
  </si>
  <si>
    <t>Polarization Index      : (Ratio of 10 Minute to 1 Minute Result )</t>
  </si>
  <si>
    <t>Visual &amp; Mechanical Inspection Comments:</t>
  </si>
  <si>
    <t>Insulation Correction Factors (20C)</t>
  </si>
  <si>
    <t>Tempurature</t>
  </si>
  <si>
    <t>Multiplier</t>
  </si>
  <si>
    <t>Type of Value</t>
  </si>
  <si>
    <t>Arbitrarily selected as a floor factor</t>
  </si>
  <si>
    <t>Interpolated</t>
  </si>
  <si>
    <t>NETA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</si>
</sst>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00"/>
    <numFmt numFmtId="166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0"/>
      <color rgb="FF351D13"/>
      <name val="Calibri"/>
      <family val="2"/>
      <scheme val="minor"/>
    </font>
    <font>
      <b/>
      <sz val="10"/>
      <color rgb="FF663300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DAB56C"/>
      </bottom>
      <diagonal/>
    </border>
    <border>
      <left/>
      <right/>
      <top style="medium">
        <color rgb="FFDAB56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2" borderId="9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vertical="center" wrapText="1"/>
    </xf>
    <xf numFmtId="0" fontId="3" fillId="0" borderId="9" xfId="0" applyFont="1" applyBorder="1" applyAlignment="1" applyProtection="1">
      <alignment vertical="top" wrapText="1"/>
      <protection locked="0"/>
    </xf>
    <xf numFmtId="0" fontId="3" fillId="0" borderId="0" xfId="0" applyFont="1" applyAlignment="1">
      <alignment vertical="top" wrapText="1"/>
    </xf>
    <xf numFmtId="0" fontId="6" fillId="2" borderId="9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vertical="center" wrapText="1"/>
    </xf>
    <xf numFmtId="0" fontId="11" fillId="3" borderId="9" xfId="0" applyFont="1" applyFill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/>
    </xf>
    <xf numFmtId="0" fontId="13" fillId="0" borderId="26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26" xfId="0" applyBorder="1"/>
    <xf numFmtId="0" fontId="1" fillId="0" borderId="3" xfId="0" applyFont="1" applyBorder="1"/>
    <xf numFmtId="0" fontId="1" fillId="0" borderId="26" xfId="0" applyFont="1" applyBorder="1"/>
    <xf numFmtId="0" fontId="0" fillId="0" borderId="5" xfId="0" applyBorder="1"/>
    <xf numFmtId="165" fontId="0" fillId="0" borderId="3" xfId="0" applyNumberFormat="1" applyBorder="1"/>
    <xf numFmtId="0" fontId="6" fillId="0" borderId="5" xfId="0" applyFont="1" applyBorder="1" applyAlignment="1">
      <alignment horizontal="center"/>
    </xf>
    <xf numFmtId="2" fontId="6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top" wrapText="1"/>
      <protection locked="0"/>
    </xf>
    <xf numFmtId="0" fontId="6" fillId="2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166" fontId="6" fillId="0" borderId="5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 applyProtection="1">
      <alignment horizontal="center" vertical="top"/>
      <protection locked="0"/>
    </xf>
    <xf numFmtId="0" fontId="6" fillId="0" borderId="0" xfId="0" applyFont="1" applyAlignment="1">
      <alignment horizontal="left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vertical="center" wrapText="1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27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28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0" fontId="11" fillId="3" borderId="21" xfId="0" applyFont="1" applyFill="1" applyBorder="1" applyAlignment="1" applyProtection="1">
      <alignment horizontal="center" vertical="center"/>
      <protection locked="0"/>
    </xf>
    <xf numFmtId="0" fontId="11" fillId="3" borderId="22" xfId="0" applyFont="1" applyFill="1" applyBorder="1" applyAlignment="1" applyProtection="1">
      <alignment horizontal="center" vertical="center"/>
      <protection locked="0"/>
    </xf>
    <xf numFmtId="0" fontId="11" fillId="3" borderId="23" xfId="0" applyFont="1" applyFill="1" applyBorder="1" applyAlignment="1" applyProtection="1">
      <alignment horizontal="center" vertical="center"/>
      <protection locked="0"/>
    </xf>
    <xf numFmtId="0" fontId="11" fillId="3" borderId="29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28" xfId="0" applyFont="1" applyFill="1" applyBorder="1" applyAlignment="1" applyProtection="1">
      <alignment horizontal="center" vertical="center"/>
      <protection locked="0"/>
    </xf>
    <xf numFmtId="0" fontId="11" fillId="3" borderId="24" xfId="0" applyFont="1" applyFill="1" applyBorder="1" applyAlignment="1" applyProtection="1">
      <alignment horizontal="center" vertical="center"/>
      <protection locked="0"/>
    </xf>
    <xf numFmtId="0" fontId="11" fillId="3" borderId="18" xfId="0" applyFont="1" applyFill="1" applyBorder="1" applyAlignment="1" applyProtection="1">
      <alignment horizontal="center" vertical="center"/>
      <protection locked="0"/>
    </xf>
    <xf numFmtId="0" fontId="11" fillId="3" borderId="25" xfId="0" applyFont="1" applyFill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49" fontId="6" fillId="0" borderId="3" xfId="0" applyNumberFormat="1" applyFont="1" applyBorder="1" applyAlignment="1" applyProtection="1">
      <alignment horizontal="center"/>
      <protection locked="0"/>
    </xf>
    <xf numFmtId="49" fontId="6" fillId="0" borderId="2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6" fillId="2" borderId="18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right" vertical="center"/>
    </xf>
    <xf numFmtId="49" fontId="6" fillId="2" borderId="1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164" fontId="6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vertical="center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13" xfId="0" applyFont="1" applyBorder="1" applyAlignment="1" applyProtection="1">
      <alignment horizontal="center"/>
      <protection locked="0"/>
    </xf>
    <xf numFmtId="0" fontId="6" fillId="2" borderId="5" xfId="0" applyFont="1" applyFill="1" applyBorder="1" applyAlignment="1">
      <alignment vertical="center"/>
    </xf>
    <xf numFmtId="0" fontId="6" fillId="2" borderId="1" xfId="0" quotePrefix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DAB56C"/>
      <color rgb="FF9C0006"/>
      <color rgb="FFFFC7CE"/>
      <color rgb="FFC6EFCE"/>
      <color rgb="FF006100"/>
      <color rgb="FF351D13"/>
      <color rgb="FF663300"/>
      <color rgb="FFF26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23"/>
  <sheetViews>
    <sheetView showGridLines="0" tabSelected="1" view="pageLayout" topLeftCell="A22" zoomScale="175" zoomScaleNormal="100" zoomScalePageLayoutView="175" workbookViewId="0">
      <selection activeCell="AH48" sqref="AH48:AL48"/>
    </sheetView>
  </sheetViews>
  <sheetFormatPr defaultColWidth="2.54296875" defaultRowHeight="11.5" customHeight="1" x14ac:dyDescent="0.35"/>
  <cols>
    <col min="1" max="19" width="2.54296875" style="1"/>
    <col min="20" max="20" width="2.54296875" style="1" customWidth="1"/>
    <col min="21" max="16384" width="2.54296875" style="1"/>
  </cols>
  <sheetData>
    <row r="1" spans="1:39" ht="5.5" customHeight="1" x14ac:dyDescent="0.3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</row>
    <row r="2" spans="1:39" ht="11.5" customHeight="1" x14ac:dyDescent="0.35">
      <c r="B2" s="129" t="s">
        <v>0</v>
      </c>
      <c r="C2" s="129"/>
      <c r="D2" s="129"/>
      <c r="E2" s="129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2"/>
      <c r="Z2" s="82" t="s">
        <v>13</v>
      </c>
      <c r="AA2" s="82"/>
      <c r="AB2" s="82"/>
      <c r="AC2" s="82"/>
      <c r="AD2" s="82"/>
      <c r="AE2" s="116"/>
      <c r="AF2" s="116"/>
      <c r="AG2" s="116"/>
      <c r="AH2" s="116"/>
      <c r="AI2" s="3"/>
      <c r="AJ2" s="127" t="s">
        <v>16</v>
      </c>
      <c r="AK2" s="127"/>
      <c r="AL2" s="127"/>
      <c r="AM2" s="4"/>
    </row>
    <row r="3" spans="1:39" ht="11.5" customHeight="1" x14ac:dyDescent="0.35">
      <c r="B3" s="129" t="s">
        <v>1</v>
      </c>
      <c r="C3" s="129"/>
      <c r="D3" s="129"/>
      <c r="E3" s="129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2"/>
      <c r="Z3" s="82" t="s">
        <v>2</v>
      </c>
      <c r="AA3" s="82"/>
      <c r="AB3" s="82"/>
      <c r="AC3" s="82"/>
      <c r="AD3" s="82"/>
      <c r="AE3" s="125"/>
      <c r="AF3" s="125"/>
      <c r="AG3" s="125"/>
      <c r="AH3" s="125"/>
      <c r="AI3" s="3"/>
      <c r="AJ3" s="127"/>
      <c r="AK3" s="127"/>
      <c r="AL3" s="127"/>
      <c r="AM3" s="4"/>
    </row>
    <row r="4" spans="1:39" ht="11.5" customHeight="1" x14ac:dyDescent="0.35">
      <c r="B4" s="129" t="s">
        <v>3</v>
      </c>
      <c r="C4" s="129"/>
      <c r="D4" s="129"/>
      <c r="E4" s="129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127"/>
      <c r="AK4" s="127"/>
      <c r="AL4" s="127"/>
      <c r="AM4" s="4"/>
    </row>
    <row r="5" spans="1:39" ht="11.5" customHeight="1" x14ac:dyDescent="0.35">
      <c r="B5" s="129" t="s">
        <v>4</v>
      </c>
      <c r="C5" s="129"/>
      <c r="D5" s="129"/>
      <c r="E5" s="129"/>
      <c r="F5" s="126"/>
      <c r="G5" s="126"/>
      <c r="H5" s="126"/>
      <c r="I5" s="126"/>
      <c r="J5" s="3"/>
      <c r="K5" s="49" t="s">
        <v>5</v>
      </c>
      <c r="L5" s="49"/>
      <c r="M5" s="116">
        <v>25</v>
      </c>
      <c r="N5" s="116"/>
      <c r="O5" s="3" t="s">
        <v>14</v>
      </c>
      <c r="P5" s="124">
        <f>ROUND((M5-32)*5/9,1)</f>
        <v>-3.9</v>
      </c>
      <c r="Q5" s="124"/>
      <c r="R5" s="3" t="s">
        <v>6</v>
      </c>
      <c r="S5" s="49" t="s">
        <v>7</v>
      </c>
      <c r="T5" s="49"/>
      <c r="U5" s="49"/>
      <c r="V5" s="49"/>
      <c r="W5" s="29"/>
      <c r="X5" s="143" t="s">
        <v>8</v>
      </c>
      <c r="Y5" s="3"/>
      <c r="Z5" s="82" t="s">
        <v>19</v>
      </c>
      <c r="AA5" s="82"/>
      <c r="AB5" s="82"/>
      <c r="AC5" s="82"/>
      <c r="AD5" s="82"/>
      <c r="AE5" s="128"/>
      <c r="AF5" s="128"/>
      <c r="AG5" s="128"/>
      <c r="AH5" s="128"/>
      <c r="AI5" s="128"/>
      <c r="AJ5" s="128"/>
      <c r="AK5" s="128"/>
      <c r="AL5" s="128"/>
      <c r="AM5" s="3"/>
    </row>
    <row r="6" spans="1:39" ht="11.5" customHeight="1" x14ac:dyDescent="0.35">
      <c r="B6" s="129" t="s">
        <v>20</v>
      </c>
      <c r="C6" s="129"/>
      <c r="D6" s="129"/>
      <c r="E6" s="129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3"/>
      <c r="Z6" s="82" t="s">
        <v>9</v>
      </c>
      <c r="AA6" s="82"/>
      <c r="AB6" s="82"/>
      <c r="AC6" s="82"/>
      <c r="AD6" s="82"/>
      <c r="AE6" s="130"/>
      <c r="AF6" s="130"/>
      <c r="AG6" s="130"/>
      <c r="AH6" s="130"/>
      <c r="AI6" s="130"/>
      <c r="AJ6" s="130"/>
      <c r="AK6" s="130"/>
      <c r="AL6" s="130"/>
      <c r="AM6" s="3"/>
    </row>
    <row r="7" spans="1:39" ht="11.5" customHeight="1" thickBot="1" x14ac:dyDescent="0.4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 spans="1:39" ht="11.5" customHeight="1" x14ac:dyDescent="0.35">
      <c r="A8" s="7" t="s">
        <v>25</v>
      </c>
      <c r="B8" s="8"/>
      <c r="C8" s="8"/>
      <c r="D8" s="8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U8" s="10"/>
      <c r="V8" s="10"/>
      <c r="W8" s="11"/>
      <c r="X8" s="10"/>
      <c r="Y8" s="11"/>
      <c r="AF8" s="11"/>
      <c r="AG8" s="11"/>
      <c r="AH8" s="11"/>
      <c r="AI8" s="11"/>
      <c r="AJ8" s="11"/>
      <c r="AK8" s="11"/>
      <c r="AL8" s="11"/>
      <c r="AM8" s="11"/>
    </row>
    <row r="9" spans="1:39" ht="11.5" customHeight="1" x14ac:dyDescent="0.35">
      <c r="A9" s="7"/>
      <c r="B9" s="8"/>
      <c r="C9" s="8"/>
      <c r="D9" s="8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U9" s="10"/>
      <c r="V9" s="10"/>
      <c r="W9" s="11"/>
      <c r="X9" s="10"/>
      <c r="Y9" s="11"/>
      <c r="AF9" s="11"/>
      <c r="AG9" s="11"/>
      <c r="AH9" s="11"/>
      <c r="AI9" s="11"/>
      <c r="AJ9" s="11"/>
      <c r="AK9" s="11"/>
      <c r="AL9" s="11"/>
      <c r="AM9" s="11"/>
    </row>
    <row r="10" spans="1:39" ht="11.5" customHeight="1" x14ac:dyDescent="0.3">
      <c r="A10" s="7"/>
      <c r="B10" s="66" t="s">
        <v>10</v>
      </c>
      <c r="C10" s="66"/>
      <c r="D10" s="66"/>
      <c r="E10" s="66"/>
      <c r="F10" s="119"/>
      <c r="G10" s="119"/>
      <c r="H10" s="119"/>
      <c r="I10" s="119"/>
      <c r="J10" s="119"/>
      <c r="K10" s="119"/>
      <c r="L10" s="119"/>
      <c r="M10" s="12"/>
      <c r="N10" s="68" t="s">
        <v>28</v>
      </c>
      <c r="O10" s="68"/>
      <c r="P10" s="68"/>
      <c r="Q10" s="68"/>
      <c r="R10" s="68"/>
      <c r="S10" s="69"/>
      <c r="T10" s="69"/>
      <c r="U10" s="69"/>
      <c r="V10" s="69"/>
      <c r="W10" s="69"/>
      <c r="X10" s="69"/>
      <c r="Y10" s="12"/>
      <c r="Z10" s="70" t="s">
        <v>11</v>
      </c>
      <c r="AA10" s="70"/>
      <c r="AB10" s="70"/>
      <c r="AC10" s="70"/>
      <c r="AD10" s="69"/>
      <c r="AE10" s="69"/>
      <c r="AF10" s="69"/>
      <c r="AG10" s="69"/>
      <c r="AH10" s="69"/>
      <c r="AI10" s="69"/>
      <c r="AM10" s="3"/>
    </row>
    <row r="11" spans="1:39" ht="11.5" customHeight="1" x14ac:dyDescent="0.3">
      <c r="B11" s="66" t="s">
        <v>29</v>
      </c>
      <c r="C11" s="66"/>
      <c r="D11" s="66"/>
      <c r="E11" s="66"/>
      <c r="F11" s="69"/>
      <c r="G11" s="69"/>
      <c r="H11" s="69"/>
      <c r="I11" s="13" t="s">
        <v>30</v>
      </c>
      <c r="J11" s="69"/>
      <c r="K11" s="69"/>
      <c r="L11" s="69"/>
      <c r="N11" s="68" t="s">
        <v>31</v>
      </c>
      <c r="O11" s="68"/>
      <c r="P11" s="68"/>
      <c r="Q11" s="68"/>
      <c r="R11" s="68"/>
      <c r="S11" s="106"/>
      <c r="T11" s="106"/>
      <c r="U11" s="106"/>
      <c r="V11" s="106"/>
      <c r="W11" s="106"/>
      <c r="X11" s="106"/>
      <c r="Y11" s="12"/>
      <c r="Z11" s="70" t="s">
        <v>32</v>
      </c>
      <c r="AA11" s="70"/>
      <c r="AB11" s="70"/>
      <c r="AC11" s="70"/>
      <c r="AD11" s="106"/>
      <c r="AE11" s="106"/>
      <c r="AF11" s="106"/>
      <c r="AG11" s="106"/>
      <c r="AH11" s="106"/>
      <c r="AI11" s="106"/>
    </row>
    <row r="12" spans="1:39" ht="11.5" customHeight="1" x14ac:dyDescent="0.3">
      <c r="AL12" s="12"/>
    </row>
    <row r="13" spans="1:39" ht="11.5" customHeight="1" x14ac:dyDescent="0.3">
      <c r="F13" s="110" t="s">
        <v>53</v>
      </c>
      <c r="G13" s="110"/>
      <c r="H13" s="110"/>
      <c r="I13" s="110"/>
      <c r="J13" s="110"/>
      <c r="K13" s="110"/>
      <c r="L13" s="110"/>
      <c r="M13" s="14"/>
      <c r="N13" s="110" t="s">
        <v>54</v>
      </c>
      <c r="O13" s="110"/>
      <c r="P13" s="110"/>
      <c r="Q13" s="110"/>
      <c r="R13" s="110"/>
      <c r="S13" s="110"/>
      <c r="T13" s="14"/>
      <c r="U13" s="113" t="s">
        <v>33</v>
      </c>
      <c r="V13" s="113"/>
      <c r="W13" s="113"/>
      <c r="X13" s="113"/>
      <c r="Y13" s="113"/>
      <c r="Z13" s="113"/>
    </row>
    <row r="14" spans="1:39" ht="11.5" customHeight="1" x14ac:dyDescent="0.3">
      <c r="B14" s="68" t="s">
        <v>34</v>
      </c>
      <c r="C14" s="68"/>
      <c r="D14" s="68"/>
      <c r="E14" s="68"/>
      <c r="F14" s="111"/>
      <c r="G14" s="106"/>
      <c r="H14" s="106"/>
      <c r="I14" s="15" t="s">
        <v>30</v>
      </c>
      <c r="J14" s="106"/>
      <c r="K14" s="106"/>
      <c r="L14" s="112"/>
      <c r="M14" s="12"/>
      <c r="N14" s="111"/>
      <c r="O14" s="106"/>
      <c r="P14" s="106"/>
      <c r="Q14" s="106"/>
      <c r="R14" s="106"/>
      <c r="S14" s="112"/>
      <c r="T14" s="12"/>
      <c r="U14" s="105"/>
      <c r="V14" s="105"/>
      <c r="W14" s="105"/>
      <c r="X14" s="105"/>
      <c r="Y14" s="105"/>
      <c r="Z14" s="105"/>
    </row>
    <row r="15" spans="1:39" ht="11.5" customHeight="1" x14ac:dyDescent="0.3">
      <c r="B15" s="68" t="s">
        <v>35</v>
      </c>
      <c r="C15" s="68"/>
      <c r="D15" s="68"/>
      <c r="E15" s="68"/>
      <c r="F15" s="135"/>
      <c r="G15" s="69"/>
      <c r="H15" s="69"/>
      <c r="I15" s="16" t="s">
        <v>30</v>
      </c>
      <c r="J15" s="69"/>
      <c r="K15" s="69"/>
      <c r="L15" s="134"/>
      <c r="M15" s="12"/>
      <c r="N15" s="111"/>
      <c r="O15" s="106"/>
      <c r="P15" s="106"/>
      <c r="Q15" s="106"/>
      <c r="R15" s="106"/>
      <c r="S15" s="112"/>
      <c r="T15" s="12"/>
      <c r="U15" s="105"/>
      <c r="V15" s="105"/>
      <c r="W15" s="105"/>
      <c r="X15" s="105"/>
      <c r="Y15" s="105"/>
      <c r="Z15" s="105"/>
    </row>
    <row r="16" spans="1:39" ht="11.5" customHeight="1" x14ac:dyDescent="0.35"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L16" s="3"/>
      <c r="AM16" s="3"/>
    </row>
    <row r="17" spans="1:39" ht="11.5" customHeight="1" x14ac:dyDescent="0.3">
      <c r="B17" s="70" t="s">
        <v>37</v>
      </c>
      <c r="C17" s="70"/>
      <c r="D17" s="70"/>
      <c r="E17" s="70"/>
      <c r="F17" s="107" t="s">
        <v>46</v>
      </c>
      <c r="G17" s="108"/>
      <c r="H17" s="109"/>
      <c r="I17" s="107" t="s">
        <v>47</v>
      </c>
      <c r="J17" s="108"/>
      <c r="K17" s="109"/>
      <c r="L17" s="107" t="s">
        <v>48</v>
      </c>
      <c r="M17" s="108"/>
      <c r="N17" s="109"/>
      <c r="O17" s="107" t="s">
        <v>51</v>
      </c>
      <c r="P17" s="108"/>
      <c r="Q17" s="109"/>
      <c r="R17" s="107" t="s">
        <v>50</v>
      </c>
      <c r="S17" s="108"/>
      <c r="T17" s="109"/>
      <c r="U17" s="107">
        <v>6</v>
      </c>
      <c r="V17" s="108"/>
      <c r="W17" s="109"/>
      <c r="X17" s="107">
        <v>7</v>
      </c>
      <c r="Y17" s="108"/>
      <c r="Z17" s="109"/>
      <c r="AA17" s="3"/>
      <c r="AB17" s="65" t="s">
        <v>52</v>
      </c>
      <c r="AC17" s="65"/>
      <c r="AD17" s="65"/>
      <c r="AE17" s="65"/>
      <c r="AF17" s="65"/>
      <c r="AG17" s="105"/>
      <c r="AH17" s="105"/>
      <c r="AI17" s="105"/>
    </row>
    <row r="18" spans="1:39" ht="11.5" customHeight="1" x14ac:dyDescent="0.3">
      <c r="B18" s="70" t="s">
        <v>36</v>
      </c>
      <c r="C18" s="70"/>
      <c r="D18" s="70"/>
      <c r="E18" s="70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 t="s">
        <v>55</v>
      </c>
      <c r="V18" s="105"/>
      <c r="W18" s="105"/>
      <c r="X18" s="105" t="s">
        <v>55</v>
      </c>
      <c r="Y18" s="105"/>
      <c r="Z18" s="105"/>
      <c r="AA18" s="3"/>
      <c r="AB18" s="3"/>
      <c r="AC18" s="3"/>
      <c r="AD18" s="3"/>
      <c r="AE18" s="3"/>
      <c r="AG18" s="107"/>
      <c r="AH18" s="108"/>
      <c r="AI18" s="109"/>
    </row>
    <row r="19" spans="1:39" ht="11.5" customHeight="1" thickBot="1" x14ac:dyDescent="0.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6"/>
      <c r="X19" s="17"/>
      <c r="Y19" s="6"/>
      <c r="Z19" s="6"/>
      <c r="AA19" s="6"/>
      <c r="AB19" s="6"/>
      <c r="AC19" s="17"/>
      <c r="AD19" s="17"/>
      <c r="AE19" s="17"/>
      <c r="AF19" s="18"/>
      <c r="AG19" s="18"/>
      <c r="AH19" s="18"/>
      <c r="AI19" s="18"/>
      <c r="AJ19" s="18"/>
      <c r="AK19" s="18"/>
      <c r="AL19" s="18"/>
      <c r="AM19" s="18"/>
    </row>
    <row r="20" spans="1:39" ht="11.5" customHeight="1" x14ac:dyDescent="0.35">
      <c r="A20" s="7" t="s">
        <v>93</v>
      </c>
      <c r="B20" s="19"/>
      <c r="C20" s="19"/>
      <c r="D20" s="19"/>
      <c r="E20" s="19"/>
      <c r="F20" s="19"/>
      <c r="G20" s="19"/>
      <c r="H20" s="19"/>
      <c r="I20" s="19"/>
      <c r="J20" s="9"/>
      <c r="K20" s="9"/>
      <c r="L20" s="20"/>
      <c r="M20" s="11"/>
      <c r="N20" s="10"/>
      <c r="O20" s="10"/>
      <c r="P20" s="10"/>
      <c r="Q20" s="10"/>
      <c r="R20" s="10"/>
      <c r="S20" s="10"/>
      <c r="T20" s="10"/>
      <c r="U20" s="10"/>
      <c r="V20" s="21"/>
      <c r="W20" s="21"/>
      <c r="X20" s="21"/>
      <c r="Y20" s="20"/>
      <c r="Z20" s="20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spans="1:39" ht="11.5" customHeight="1" x14ac:dyDescent="0.35">
      <c r="A21" s="7"/>
      <c r="B21" s="19"/>
      <c r="C21" s="19"/>
      <c r="D21" s="19"/>
      <c r="E21" s="19"/>
      <c r="F21" s="19"/>
      <c r="G21" s="19"/>
      <c r="H21" s="19"/>
      <c r="I21" s="19"/>
      <c r="J21" s="9"/>
      <c r="K21" s="9"/>
      <c r="L21" s="20"/>
      <c r="M21" s="11"/>
      <c r="N21" s="10"/>
      <c r="O21" s="10"/>
      <c r="P21" s="10"/>
      <c r="Q21" s="10"/>
      <c r="R21" s="10"/>
      <c r="S21" s="10"/>
      <c r="T21" s="10"/>
      <c r="U21" s="10"/>
      <c r="V21" s="21"/>
      <c r="W21" s="21"/>
      <c r="X21" s="21"/>
      <c r="Y21" s="20"/>
      <c r="Z21" s="20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spans="1:39" ht="11.5" customHeight="1" x14ac:dyDescent="0.3">
      <c r="B22" s="66" t="s">
        <v>94</v>
      </c>
      <c r="C22" s="66"/>
      <c r="D22" s="66"/>
      <c r="E22" s="66"/>
      <c r="F22" s="66"/>
      <c r="G22" s="67"/>
      <c r="H22" s="67"/>
      <c r="I22" s="67"/>
      <c r="J22" s="67"/>
      <c r="K22" s="67"/>
      <c r="L22" s="30"/>
      <c r="M22" s="68" t="s">
        <v>95</v>
      </c>
      <c r="N22" s="68"/>
      <c r="O22" s="68"/>
      <c r="P22" s="68"/>
      <c r="Q22" s="68"/>
      <c r="R22" s="68"/>
      <c r="S22" s="68"/>
      <c r="T22" s="68"/>
      <c r="U22" s="69">
        <v>22</v>
      </c>
      <c r="V22" s="69"/>
      <c r="W22" s="69"/>
      <c r="X22" s="69"/>
      <c r="Y22" s="30"/>
      <c r="Z22" s="70" t="s">
        <v>96</v>
      </c>
      <c r="AA22" s="70"/>
      <c r="AB22" s="70"/>
      <c r="AC22" s="70"/>
      <c r="AD22" s="70"/>
      <c r="AE22" s="70"/>
      <c r="AF22" s="70"/>
      <c r="AG22" s="69"/>
      <c r="AH22" s="69"/>
      <c r="AI22" s="69"/>
      <c r="AJ22" s="69"/>
      <c r="AK22" s="69"/>
      <c r="AL22" s="3"/>
    </row>
    <row r="23" spans="1:39" ht="11.5" customHeight="1" x14ac:dyDescent="0.3">
      <c r="B23" s="68" t="s">
        <v>97</v>
      </c>
      <c r="C23" s="68"/>
      <c r="D23" s="68"/>
      <c r="E23" s="68"/>
      <c r="F23" s="68"/>
      <c r="G23" s="69"/>
      <c r="H23" s="69"/>
      <c r="I23" s="69"/>
      <c r="J23" s="69"/>
      <c r="K23" s="69"/>
      <c r="L23" s="30"/>
      <c r="M23" s="71" t="s">
        <v>98</v>
      </c>
      <c r="N23" s="71"/>
      <c r="O23" s="71"/>
      <c r="P23" s="71"/>
      <c r="Q23" s="71"/>
      <c r="R23" s="71"/>
      <c r="S23" s="71"/>
      <c r="T23" s="71"/>
      <c r="U23" s="72"/>
      <c r="V23" s="72"/>
      <c r="W23" s="72"/>
      <c r="X23" s="72"/>
      <c r="Y23" s="30"/>
      <c r="Z23" s="71" t="s">
        <v>99</v>
      </c>
      <c r="AA23" s="71"/>
      <c r="AB23" s="71"/>
      <c r="AC23" s="71"/>
      <c r="AD23" s="71"/>
      <c r="AE23" s="71"/>
      <c r="AF23" s="71"/>
      <c r="AG23" s="72"/>
      <c r="AH23" s="72"/>
      <c r="AI23" s="72"/>
      <c r="AJ23" s="72"/>
      <c r="AK23" s="72"/>
      <c r="AL23" s="3"/>
    </row>
    <row r="24" spans="1:39" ht="11.5" customHeight="1" thickBot="1" x14ac:dyDescent="0.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39" ht="11.5" customHeight="1" x14ac:dyDescent="0.35">
      <c r="A25" s="7" t="s">
        <v>15</v>
      </c>
      <c r="B25" s="19"/>
      <c r="C25" s="19"/>
      <c r="D25" s="19"/>
      <c r="E25" s="19"/>
      <c r="F25" s="19"/>
      <c r="G25" s="19"/>
      <c r="H25" s="19"/>
      <c r="I25" s="19"/>
      <c r="J25" s="9"/>
      <c r="K25" s="9"/>
      <c r="L25" s="20"/>
      <c r="M25" s="11"/>
      <c r="N25" s="10"/>
      <c r="O25" s="10"/>
      <c r="P25" s="10"/>
      <c r="Q25" s="10"/>
      <c r="R25" s="10"/>
      <c r="S25" s="10"/>
      <c r="T25" s="10"/>
      <c r="U25" s="10"/>
      <c r="V25" s="21"/>
      <c r="W25" s="21"/>
      <c r="X25" s="21"/>
      <c r="Y25" s="20"/>
      <c r="Z25" s="20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spans="1:39" ht="11.5" customHeight="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3"/>
    </row>
    <row r="27" spans="1:39" ht="11.5" customHeight="1" x14ac:dyDescent="0.35">
      <c r="B27" s="3" t="s">
        <v>27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4" t="s">
        <v>26</v>
      </c>
      <c r="AI27" s="114"/>
      <c r="AJ27" s="114"/>
      <c r="AK27" s="114"/>
      <c r="AL27" s="114"/>
    </row>
    <row r="28" spans="1:39" ht="11.5" customHeight="1" x14ac:dyDescent="0.35">
      <c r="B28" s="73" t="s">
        <v>59</v>
      </c>
      <c r="C28" s="73"/>
      <c r="D28" s="73"/>
      <c r="E28" s="73"/>
      <c r="F28" s="136" t="s">
        <v>56</v>
      </c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75"/>
      <c r="AI28" s="76"/>
      <c r="AJ28" s="76"/>
      <c r="AK28" s="76"/>
      <c r="AL28" s="77"/>
      <c r="AM28" s="11"/>
    </row>
    <row r="29" spans="1:39" ht="11.5" customHeight="1" x14ac:dyDescent="0.35">
      <c r="B29" s="73" t="s">
        <v>60</v>
      </c>
      <c r="C29" s="73"/>
      <c r="D29" s="73"/>
      <c r="E29" s="73"/>
      <c r="F29" s="131" t="s">
        <v>38</v>
      </c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3"/>
      <c r="AH29" s="75"/>
      <c r="AI29" s="76"/>
      <c r="AJ29" s="76"/>
      <c r="AK29" s="76"/>
      <c r="AL29" s="77"/>
      <c r="AM29" s="11"/>
    </row>
    <row r="30" spans="1:39" ht="11.5" customHeight="1" x14ac:dyDescent="0.35">
      <c r="B30" s="73" t="s">
        <v>61</v>
      </c>
      <c r="C30" s="73"/>
      <c r="D30" s="73"/>
      <c r="E30" s="73"/>
      <c r="F30" s="131" t="s">
        <v>62</v>
      </c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3"/>
      <c r="AH30" s="75"/>
      <c r="AI30" s="76"/>
      <c r="AJ30" s="76"/>
      <c r="AK30" s="76"/>
      <c r="AL30" s="77"/>
      <c r="AM30" s="11"/>
    </row>
    <row r="31" spans="1:39" ht="11.5" customHeight="1" x14ac:dyDescent="0.35">
      <c r="B31" s="73" t="s">
        <v>63</v>
      </c>
      <c r="C31" s="73"/>
      <c r="D31" s="73"/>
      <c r="E31" s="73"/>
      <c r="F31" s="120" t="s">
        <v>39</v>
      </c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2"/>
      <c r="AH31" s="75"/>
      <c r="AI31" s="76"/>
      <c r="AJ31" s="76"/>
      <c r="AK31" s="76"/>
      <c r="AL31" s="77"/>
      <c r="AM31" s="11"/>
    </row>
    <row r="32" spans="1:39" ht="11.5" customHeight="1" x14ac:dyDescent="0.35">
      <c r="B32" s="73" t="s">
        <v>64</v>
      </c>
      <c r="C32" s="73"/>
      <c r="D32" s="73"/>
      <c r="E32" s="73"/>
      <c r="F32" s="74" t="s">
        <v>65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5"/>
      <c r="AI32" s="76"/>
      <c r="AJ32" s="76"/>
      <c r="AK32" s="76"/>
      <c r="AL32" s="77"/>
      <c r="AM32" s="11"/>
    </row>
    <row r="33" spans="2:39" ht="11" customHeight="1" x14ac:dyDescent="0.35">
      <c r="B33" s="73" t="s">
        <v>66</v>
      </c>
      <c r="C33" s="73"/>
      <c r="D33" s="73"/>
      <c r="E33" s="73"/>
      <c r="F33" s="87" t="s">
        <v>69</v>
      </c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139"/>
      <c r="AH33" s="75"/>
      <c r="AI33" s="76"/>
      <c r="AJ33" s="76"/>
      <c r="AK33" s="76"/>
      <c r="AL33" s="77"/>
      <c r="AM33" s="11"/>
    </row>
    <row r="34" spans="2:39" ht="11.5" customHeight="1" x14ac:dyDescent="0.35">
      <c r="B34" s="73" t="s">
        <v>67</v>
      </c>
      <c r="C34" s="73"/>
      <c r="D34" s="73"/>
      <c r="E34" s="73"/>
      <c r="F34" s="74" t="s">
        <v>70</v>
      </c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5"/>
      <c r="AI34" s="76"/>
      <c r="AJ34" s="76"/>
      <c r="AK34" s="76"/>
      <c r="AL34" s="77"/>
    </row>
    <row r="35" spans="2:39" ht="11.5" customHeight="1" x14ac:dyDescent="0.35">
      <c r="B35" s="73" t="s">
        <v>68</v>
      </c>
      <c r="C35" s="73"/>
      <c r="D35" s="73"/>
      <c r="E35" s="73"/>
      <c r="F35" s="74" t="s">
        <v>76</v>
      </c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5"/>
      <c r="AI35" s="76"/>
      <c r="AJ35" s="76"/>
      <c r="AK35" s="76"/>
      <c r="AL35" s="77"/>
    </row>
    <row r="36" spans="2:39" ht="11.5" customHeight="1" x14ac:dyDescent="0.35">
      <c r="B36" s="78" t="s">
        <v>71</v>
      </c>
      <c r="C36" s="79"/>
      <c r="D36" s="79"/>
      <c r="E36" s="80"/>
      <c r="F36" s="87" t="s">
        <v>77</v>
      </c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9"/>
      <c r="AH36" s="96"/>
      <c r="AI36" s="97"/>
      <c r="AJ36" s="97"/>
      <c r="AK36" s="97"/>
      <c r="AL36" s="98"/>
    </row>
    <row r="37" spans="2:39" ht="11.5" customHeight="1" x14ac:dyDescent="0.35">
      <c r="B37" s="84"/>
      <c r="C37" s="85"/>
      <c r="D37" s="85"/>
      <c r="E37" s="86"/>
      <c r="F37" s="93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5"/>
      <c r="AH37" s="102"/>
      <c r="AI37" s="103"/>
      <c r="AJ37" s="103"/>
      <c r="AK37" s="103"/>
      <c r="AL37" s="104"/>
    </row>
    <row r="38" spans="2:39" ht="11.5" customHeight="1" x14ac:dyDescent="0.35">
      <c r="B38" s="73" t="s">
        <v>72</v>
      </c>
      <c r="C38" s="73"/>
      <c r="D38" s="73"/>
      <c r="E38" s="73"/>
      <c r="F38" s="74" t="s">
        <v>78</v>
      </c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5"/>
      <c r="AI38" s="76"/>
      <c r="AJ38" s="76"/>
      <c r="AK38" s="76"/>
      <c r="AL38" s="77"/>
    </row>
    <row r="39" spans="2:39" ht="11.5" customHeight="1" x14ac:dyDescent="0.35">
      <c r="B39" s="78" t="s">
        <v>73</v>
      </c>
      <c r="C39" s="79"/>
      <c r="D39" s="79"/>
      <c r="E39" s="80"/>
      <c r="F39" s="87" t="s">
        <v>91</v>
      </c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9"/>
      <c r="AH39" s="96"/>
      <c r="AI39" s="97"/>
      <c r="AJ39" s="97"/>
      <c r="AK39" s="97"/>
      <c r="AL39" s="98"/>
    </row>
    <row r="40" spans="2:39" ht="11.5" customHeight="1" x14ac:dyDescent="0.35">
      <c r="B40" s="81"/>
      <c r="C40" s="82"/>
      <c r="D40" s="82"/>
      <c r="E40" s="83"/>
      <c r="F40" s="90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2"/>
      <c r="AH40" s="99"/>
      <c r="AI40" s="100"/>
      <c r="AJ40" s="100"/>
      <c r="AK40" s="100"/>
      <c r="AL40" s="101"/>
    </row>
    <row r="41" spans="2:39" ht="11.5" customHeight="1" x14ac:dyDescent="0.35">
      <c r="B41" s="84"/>
      <c r="C41" s="85"/>
      <c r="D41" s="85"/>
      <c r="E41" s="86"/>
      <c r="F41" s="93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5"/>
      <c r="AH41" s="102"/>
      <c r="AI41" s="103"/>
      <c r="AJ41" s="103"/>
      <c r="AK41" s="103"/>
      <c r="AL41" s="104"/>
    </row>
    <row r="42" spans="2:39" ht="11.5" customHeight="1" x14ac:dyDescent="0.35">
      <c r="B42" s="73" t="s">
        <v>74</v>
      </c>
      <c r="C42" s="73"/>
      <c r="D42" s="73"/>
      <c r="E42" s="73"/>
      <c r="F42" s="74" t="s">
        <v>79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5"/>
      <c r="AI42" s="76"/>
      <c r="AJ42" s="76"/>
      <c r="AK42" s="76"/>
      <c r="AL42" s="77"/>
    </row>
    <row r="43" spans="2:39" ht="11.5" customHeight="1" x14ac:dyDescent="0.35">
      <c r="B43" s="73" t="s">
        <v>75</v>
      </c>
      <c r="C43" s="73"/>
      <c r="D43" s="73"/>
      <c r="E43" s="73"/>
      <c r="F43" s="74" t="s">
        <v>80</v>
      </c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5"/>
      <c r="AI43" s="76"/>
      <c r="AJ43" s="76"/>
      <c r="AK43" s="76"/>
      <c r="AL43" s="77"/>
    </row>
    <row r="44" spans="2:39" ht="11.5" customHeight="1" x14ac:dyDescent="0.35">
      <c r="B44" s="73" t="s">
        <v>82</v>
      </c>
      <c r="C44" s="73"/>
      <c r="D44" s="73"/>
      <c r="E44" s="73"/>
      <c r="F44" s="74" t="s">
        <v>81</v>
      </c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5"/>
      <c r="AI44" s="76"/>
      <c r="AJ44" s="76"/>
      <c r="AK44" s="76"/>
      <c r="AL44" s="77"/>
    </row>
    <row r="45" spans="2:39" ht="11.5" customHeight="1" x14ac:dyDescent="0.35">
      <c r="B45" s="73" t="s">
        <v>83</v>
      </c>
      <c r="C45" s="73"/>
      <c r="D45" s="73"/>
      <c r="E45" s="73"/>
      <c r="F45" s="74" t="s">
        <v>87</v>
      </c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5"/>
      <c r="AI45" s="76"/>
      <c r="AJ45" s="76"/>
      <c r="AK45" s="76"/>
      <c r="AL45" s="77"/>
    </row>
    <row r="46" spans="2:39" ht="11.5" customHeight="1" x14ac:dyDescent="0.35">
      <c r="B46" s="73" t="s">
        <v>84</v>
      </c>
      <c r="C46" s="73"/>
      <c r="D46" s="73"/>
      <c r="E46" s="73"/>
      <c r="F46" s="74" t="s">
        <v>88</v>
      </c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5"/>
      <c r="AI46" s="76"/>
      <c r="AJ46" s="76"/>
      <c r="AK46" s="76"/>
      <c r="AL46" s="77"/>
    </row>
    <row r="47" spans="2:39" ht="11.5" customHeight="1" x14ac:dyDescent="0.35">
      <c r="B47" s="73" t="s">
        <v>85</v>
      </c>
      <c r="C47" s="73"/>
      <c r="D47" s="73"/>
      <c r="E47" s="73"/>
      <c r="F47" s="74" t="s">
        <v>89</v>
      </c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5"/>
      <c r="AI47" s="76"/>
      <c r="AJ47" s="76"/>
      <c r="AK47" s="76"/>
      <c r="AL47" s="77"/>
    </row>
    <row r="48" spans="2:39" ht="11.5" customHeight="1" x14ac:dyDescent="0.35">
      <c r="B48" s="73" t="s">
        <v>86</v>
      </c>
      <c r="C48" s="73"/>
      <c r="D48" s="73"/>
      <c r="E48" s="73"/>
      <c r="F48" s="74" t="s">
        <v>90</v>
      </c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5"/>
      <c r="AI48" s="76"/>
      <c r="AJ48" s="76"/>
      <c r="AK48" s="76"/>
      <c r="AL48" s="77"/>
    </row>
    <row r="49" spans="1:39" ht="11.5" customHeight="1" thickBot="1" x14ac:dyDescent="0.4">
      <c r="A49" s="28"/>
      <c r="B49" s="33"/>
      <c r="C49" s="33"/>
      <c r="D49" s="33"/>
      <c r="E49" s="33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5"/>
      <c r="AI49" s="36"/>
      <c r="AJ49" s="36"/>
      <c r="AK49" s="36"/>
      <c r="AL49" s="36"/>
      <c r="AM49" s="28"/>
    </row>
    <row r="50" spans="1:39" ht="11.5" customHeight="1" x14ac:dyDescent="0.35">
      <c r="A50" s="7" t="s">
        <v>108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r="51" spans="1:39" ht="11.5" customHeight="1" x14ac:dyDescent="0.35">
      <c r="A51" s="19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11"/>
    </row>
    <row r="52" spans="1:39" ht="11.5" customHeight="1" x14ac:dyDescent="0.35">
      <c r="A52" s="11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11"/>
    </row>
    <row r="53" spans="1:39" ht="11.5" customHeight="1" x14ac:dyDescent="0.35">
      <c r="A53" s="11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11"/>
    </row>
    <row r="54" spans="1:39" ht="11.5" customHeight="1" x14ac:dyDescent="0.35">
      <c r="A54" s="11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11"/>
    </row>
    <row r="55" spans="1:39" ht="11.5" customHeight="1" x14ac:dyDescent="0.35">
      <c r="A55" s="11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11"/>
    </row>
    <row r="56" spans="1:39" ht="11.5" customHeight="1" x14ac:dyDescent="0.35">
      <c r="A56" s="11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11"/>
    </row>
    <row r="57" spans="1:39" ht="11.5" customHeight="1" x14ac:dyDescent="0.35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</row>
    <row r="58" spans="1:39" ht="11.5" customHeight="1" x14ac:dyDescent="0.35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</row>
    <row r="59" spans="1:39" ht="11.5" customHeight="1" x14ac:dyDescent="0.35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</row>
    <row r="60" spans="1:39" ht="11.5" customHeight="1" x14ac:dyDescent="0.35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</row>
    <row r="61" spans="1:39" ht="11.5" customHeight="1" x14ac:dyDescent="0.35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</row>
    <row r="62" spans="1:39" ht="11.5" customHeight="1" thickBot="1" x14ac:dyDescent="0.4">
      <c r="A62" s="22"/>
      <c r="B62" s="22"/>
      <c r="C62" s="22"/>
      <c r="D62" s="22"/>
      <c r="E62" s="22"/>
      <c r="F62" s="22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6"/>
      <c r="AL62" s="6"/>
      <c r="AM62" s="6"/>
    </row>
    <row r="63" spans="1:39" ht="11.5" customHeight="1" x14ac:dyDescent="0.35">
      <c r="A63" s="23" t="s">
        <v>57</v>
      </c>
      <c r="B63" s="24"/>
      <c r="C63" s="24"/>
      <c r="D63" s="24"/>
      <c r="E63" s="24"/>
      <c r="F63" s="24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</row>
    <row r="64" spans="1:39" ht="11.5" customHeight="1" x14ac:dyDescent="0.35">
      <c r="A64" s="7"/>
      <c r="B64" s="9"/>
      <c r="C64" s="9"/>
      <c r="D64" s="9"/>
      <c r="E64" s="9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49" t="s">
        <v>100</v>
      </c>
      <c r="AF64" s="49"/>
      <c r="AG64" s="137">
        <f>VLOOKUP(U22, TCF!A4:B138, 2, FALSE)</f>
        <v>1.1519999999999999</v>
      </c>
      <c r="AH64" s="138"/>
      <c r="AI64" s="138"/>
      <c r="AJ64" s="11"/>
      <c r="AK64" s="11"/>
      <c r="AL64" s="9"/>
      <c r="AM64" s="11"/>
    </row>
    <row r="65" spans="1:39" ht="11.5" customHeight="1" x14ac:dyDescent="0.35">
      <c r="A65" s="7"/>
      <c r="B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9"/>
      <c r="AM65" s="11"/>
    </row>
    <row r="66" spans="1:39" ht="11.5" customHeight="1" x14ac:dyDescent="0.35">
      <c r="A66" s="7"/>
      <c r="B66" s="26"/>
      <c r="C66" s="26"/>
      <c r="I66" s="50" t="s">
        <v>101</v>
      </c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Y66" s="51" t="s">
        <v>102</v>
      </c>
      <c r="Z66" s="52"/>
      <c r="AA66" s="52"/>
      <c r="AB66" s="52"/>
      <c r="AC66" s="52"/>
      <c r="AD66" s="52"/>
      <c r="AE66" s="52"/>
      <c r="AF66" s="52"/>
      <c r="AG66" s="52"/>
      <c r="AH66" s="52"/>
      <c r="AI66" s="53"/>
      <c r="AL66" s="9"/>
      <c r="AM66" s="11"/>
    </row>
    <row r="67" spans="1:39" ht="11.5" customHeight="1" x14ac:dyDescent="0.35">
      <c r="A67" s="7"/>
      <c r="B67" s="50" t="s">
        <v>40</v>
      </c>
      <c r="C67" s="50"/>
      <c r="D67" s="50"/>
      <c r="E67" s="50"/>
      <c r="F67" s="50"/>
      <c r="G67" s="50"/>
      <c r="H67" s="50"/>
      <c r="I67" s="51" t="s">
        <v>103</v>
      </c>
      <c r="J67" s="52"/>
      <c r="K67" s="52"/>
      <c r="L67" s="53"/>
      <c r="M67" s="51" t="s">
        <v>41</v>
      </c>
      <c r="N67" s="52"/>
      <c r="O67" s="53"/>
      <c r="P67" s="51" t="s">
        <v>42</v>
      </c>
      <c r="Q67" s="52"/>
      <c r="R67" s="53"/>
      <c r="S67" s="51" t="s">
        <v>104</v>
      </c>
      <c r="T67" s="52"/>
      <c r="U67" s="53"/>
      <c r="V67" s="62" t="s">
        <v>17</v>
      </c>
      <c r="W67" s="63"/>
      <c r="Y67" s="51" t="s">
        <v>41</v>
      </c>
      <c r="Z67" s="52"/>
      <c r="AA67" s="53"/>
      <c r="AB67" s="51" t="s">
        <v>42</v>
      </c>
      <c r="AC67" s="52"/>
      <c r="AD67" s="53"/>
      <c r="AE67" s="51" t="s">
        <v>104</v>
      </c>
      <c r="AF67" s="52"/>
      <c r="AG67" s="53"/>
      <c r="AH67" s="62" t="s">
        <v>17</v>
      </c>
      <c r="AI67" s="63"/>
      <c r="AL67" s="9"/>
      <c r="AM67" s="11"/>
    </row>
    <row r="68" spans="1:39" ht="11.5" customHeight="1" x14ac:dyDescent="0.35">
      <c r="A68" s="3"/>
      <c r="B68" s="54" t="s">
        <v>43</v>
      </c>
      <c r="C68" s="54"/>
      <c r="D68" s="54"/>
      <c r="E68" s="54"/>
      <c r="F68" s="54"/>
      <c r="G68" s="54"/>
      <c r="H68" s="54"/>
      <c r="I68" s="55" t="s">
        <v>92</v>
      </c>
      <c r="J68" s="55"/>
      <c r="K68" s="55"/>
      <c r="L68" s="55"/>
      <c r="M68" s="56"/>
      <c r="N68" s="57"/>
      <c r="O68" s="58"/>
      <c r="P68" s="56"/>
      <c r="Q68" s="57"/>
      <c r="R68" s="58"/>
      <c r="S68" s="56"/>
      <c r="T68" s="57"/>
      <c r="U68" s="58"/>
      <c r="V68" s="59" t="s">
        <v>58</v>
      </c>
      <c r="W68" s="60"/>
      <c r="Y68" s="61" t="str">
        <f>IF(OR(COUNTIF(M68,"*&gt;*"),COUNTIF(M68,"*&lt;*")),M68,IF(M68="","",M68*$AH$74))</f>
        <v/>
      </c>
      <c r="Z68" s="61"/>
      <c r="AA68" s="61"/>
      <c r="AB68" s="61" t="str">
        <f>IF(OR(COUNTIF(P68,"*&gt;*"),COUNTIF(P68,"*&lt;*")),P68,IF(P68="","",P68*$AH$74))</f>
        <v/>
      </c>
      <c r="AC68" s="61"/>
      <c r="AD68" s="61"/>
      <c r="AE68" s="61" t="str">
        <f>IF(OR(COUNTIF(S68,"*&gt;*"),COUNTIF(S68,"*&lt;*")),S68,IF(S68="","",S68*$AH$74))</f>
        <v/>
      </c>
      <c r="AF68" s="61"/>
      <c r="AG68" s="61"/>
      <c r="AH68" s="62" t="str">
        <f>IF(V68 = "","",V68)</f>
        <v>MΩ</v>
      </c>
      <c r="AI68" s="63"/>
      <c r="AL68" s="9"/>
    </row>
    <row r="69" spans="1:39" ht="11.5" customHeight="1" x14ac:dyDescent="0.35">
      <c r="A69" s="3"/>
      <c r="B69" s="54" t="s">
        <v>44</v>
      </c>
      <c r="C69" s="54"/>
      <c r="D69" s="54"/>
      <c r="E69" s="54"/>
      <c r="F69" s="54"/>
      <c r="G69" s="54"/>
      <c r="H69" s="54"/>
      <c r="I69" s="55" t="s">
        <v>18</v>
      </c>
      <c r="J69" s="55"/>
      <c r="K69" s="55"/>
      <c r="L69" s="55"/>
      <c r="M69" s="56"/>
      <c r="N69" s="57"/>
      <c r="O69" s="58"/>
      <c r="P69" s="56"/>
      <c r="Q69" s="57"/>
      <c r="R69" s="58"/>
      <c r="S69" s="56"/>
      <c r="T69" s="57"/>
      <c r="U69" s="58"/>
      <c r="V69" s="59" t="s">
        <v>58</v>
      </c>
      <c r="W69" s="60"/>
      <c r="Y69" s="61" t="str">
        <f>IF(OR(COUNTIF(M69,"*&gt;*"),COUNTIF(M69,"*&lt;*")),M69,IF(M69="","",M69*$AH$74))</f>
        <v/>
      </c>
      <c r="Z69" s="61"/>
      <c r="AA69" s="61"/>
      <c r="AB69" s="61" t="str">
        <f>IF(OR(COUNTIF(P69,"*&gt;*"),COUNTIF(P69,"*&lt;*")),P69,IF(P69="","",P69*$AH$74))</f>
        <v/>
      </c>
      <c r="AC69" s="61"/>
      <c r="AD69" s="61"/>
      <c r="AE69" s="61" t="str">
        <f>IF(OR(COUNTIF(S69,"*&gt;*"),COUNTIF(S69,"*&lt;*")),S69,IF(S69="","",S69*$AH$74))</f>
        <v/>
      </c>
      <c r="AF69" s="61"/>
      <c r="AG69" s="61"/>
      <c r="AH69" s="62" t="str">
        <f>IF(V69 = "","",V69)</f>
        <v>MΩ</v>
      </c>
      <c r="AI69" s="63"/>
      <c r="AL69" s="9"/>
    </row>
    <row r="70" spans="1:39" ht="11.5" customHeight="1" x14ac:dyDescent="0.35">
      <c r="A70" s="3"/>
      <c r="B70" s="54" t="s">
        <v>45</v>
      </c>
      <c r="C70" s="54"/>
      <c r="D70" s="54"/>
      <c r="E70" s="54"/>
      <c r="F70" s="54"/>
      <c r="G70" s="54"/>
      <c r="H70" s="54"/>
      <c r="I70" s="55" t="s">
        <v>92</v>
      </c>
      <c r="J70" s="55"/>
      <c r="K70" s="55"/>
      <c r="L70" s="55"/>
      <c r="M70" s="56"/>
      <c r="N70" s="57"/>
      <c r="O70" s="58"/>
      <c r="P70" s="56"/>
      <c r="Q70" s="57"/>
      <c r="R70" s="58"/>
      <c r="S70" s="56"/>
      <c r="T70" s="57"/>
      <c r="U70" s="58"/>
      <c r="V70" s="59" t="s">
        <v>58</v>
      </c>
      <c r="W70" s="60"/>
      <c r="Y70" s="61" t="str">
        <f>IF(OR(COUNTIF(M70,"*&gt;*"),COUNTIF(M70,"*&lt;*")),M70,IF(M70="","",M70*$AH$74))</f>
        <v/>
      </c>
      <c r="Z70" s="61"/>
      <c r="AA70" s="61"/>
      <c r="AB70" s="61" t="str">
        <f>IF(OR(COUNTIF(P70,"*&gt;*"),COUNTIF(P70,"*&lt;*")),P70,IF(P70="","",P70*$AH$74))</f>
        <v/>
      </c>
      <c r="AC70" s="61"/>
      <c r="AD70" s="61"/>
      <c r="AE70" s="61" t="str">
        <f>IF(OR(COUNTIF(S70,"*&gt;*"),COUNTIF(S70,"*&lt;*")),S70,IF(S70="","",S70*$AH$74))</f>
        <v/>
      </c>
      <c r="AF70" s="61"/>
      <c r="AG70" s="61"/>
      <c r="AH70" s="62" t="str">
        <f>IF(V70 = "","",V70)</f>
        <v>MΩ</v>
      </c>
      <c r="AI70" s="63"/>
      <c r="AL70" s="9"/>
    </row>
    <row r="71" spans="1:39" ht="11.5" customHeight="1" x14ac:dyDescent="0.35">
      <c r="A71" s="3"/>
      <c r="B71" s="5"/>
      <c r="C71" s="5"/>
      <c r="D71" s="5"/>
      <c r="E71" s="5"/>
      <c r="F71" s="5"/>
      <c r="G71" s="5"/>
      <c r="H71" s="5"/>
      <c r="I71" s="5"/>
      <c r="J71" s="5"/>
      <c r="K71" s="27"/>
      <c r="L71" s="27"/>
      <c r="M71" s="27"/>
      <c r="N71" s="27"/>
      <c r="O71" s="27"/>
      <c r="P71" s="27"/>
      <c r="Q71" s="5"/>
      <c r="R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27"/>
      <c r="AE71" s="27"/>
      <c r="AF71" s="27"/>
      <c r="AG71" s="27"/>
      <c r="AH71" s="27"/>
      <c r="AI71" s="27"/>
      <c r="AJ71" s="5"/>
      <c r="AK71" s="5"/>
      <c r="AL71" s="9"/>
    </row>
    <row r="72" spans="1:39" ht="11.5" customHeight="1" x14ac:dyDescent="0.3">
      <c r="A72" s="3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64" t="s">
        <v>45</v>
      </c>
      <c r="AE72" s="64"/>
      <c r="AF72" s="64"/>
      <c r="AG72" s="64"/>
      <c r="AH72" s="12"/>
      <c r="AI72" s="12"/>
      <c r="AJ72" s="26"/>
      <c r="AK72" s="26"/>
      <c r="AL72" s="9"/>
    </row>
    <row r="73" spans="1:39" ht="11.5" customHeight="1" x14ac:dyDescent="0.3">
      <c r="A73" s="3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65" t="s">
        <v>34</v>
      </c>
      <c r="W73" s="65"/>
      <c r="X73" s="65"/>
      <c r="Y73" s="65"/>
      <c r="Z73" s="65" t="s">
        <v>35</v>
      </c>
      <c r="AA73" s="65"/>
      <c r="AB73" s="65"/>
      <c r="AC73" s="65"/>
      <c r="AD73" s="64"/>
      <c r="AE73" s="64"/>
      <c r="AF73" s="64"/>
      <c r="AG73" s="64"/>
      <c r="AH73" s="65" t="s">
        <v>105</v>
      </c>
      <c r="AI73" s="65"/>
      <c r="AJ73" s="65"/>
      <c r="AK73" s="65"/>
      <c r="AL73" s="9"/>
    </row>
    <row r="74" spans="1:39" ht="11.5" customHeight="1" x14ac:dyDescent="0.3">
      <c r="A74" s="3"/>
      <c r="B74" s="45" t="s">
        <v>106</v>
      </c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6" t="str">
        <f>IF(Y68 = "","",AB68/Y68)</f>
        <v/>
      </c>
      <c r="W74" s="46"/>
      <c r="X74" s="46"/>
      <c r="Y74" s="46"/>
      <c r="Z74" s="46" t="str">
        <f>IF(Y69 = "","",AB69/Y69)</f>
        <v/>
      </c>
      <c r="AA74" s="46"/>
      <c r="AB74" s="46"/>
      <c r="AC74" s="46"/>
      <c r="AD74" s="46" t="str">
        <f>IF(Y70 = "","",AB70/Y70)</f>
        <v/>
      </c>
      <c r="AE74" s="46"/>
      <c r="AF74" s="46"/>
      <c r="AG74" s="46"/>
      <c r="AH74" s="45" t="str">
        <f>IF(OR(V74="", Z74="", AD74=""), "", IF(AND(V74&gt;1, Z74&gt;1, AD74&gt;1), "Yes", "No"))</f>
        <v/>
      </c>
      <c r="AI74" s="45"/>
      <c r="AJ74" s="45"/>
      <c r="AK74" s="45"/>
      <c r="AL74" s="9"/>
      <c r="AM74" s="3"/>
    </row>
    <row r="75" spans="1:39" ht="11.5" customHeight="1" x14ac:dyDescent="0.3">
      <c r="A75" s="3"/>
      <c r="B75" s="45" t="s">
        <v>107</v>
      </c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6" t="str">
        <f>IF(AB68 = "","",AE68/AB68)</f>
        <v/>
      </c>
      <c r="W75" s="46"/>
      <c r="X75" s="46"/>
      <c r="Y75" s="46"/>
      <c r="Z75" s="46" t="str">
        <f>IF(AB69 = "","",AE69/AB69)</f>
        <v/>
      </c>
      <c r="AA75" s="46"/>
      <c r="AB75" s="46"/>
      <c r="AC75" s="46"/>
      <c r="AD75" s="46" t="str">
        <f>IF(AB70 = "","",AE70/AB70)</f>
        <v/>
      </c>
      <c r="AE75" s="46"/>
      <c r="AF75" s="46"/>
      <c r="AG75" s="46"/>
      <c r="AH75" s="45" t="str">
        <f>IF(OR(V75="", Z75="", AD75=""), "", IF(AND(V75&gt;1, Z75&gt;1, AD75&gt;1), "Yes", "No"))</f>
        <v/>
      </c>
      <c r="AI75" s="45"/>
      <c r="AJ75" s="45"/>
      <c r="AK75" s="45"/>
      <c r="AL75" s="9"/>
    </row>
    <row r="76" spans="1:39" ht="11.5" customHeight="1" x14ac:dyDescent="0.35">
      <c r="A76" s="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 spans="1:39" ht="11.5" customHeight="1" thickBot="1" x14ac:dyDescent="0.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spans="1:39" ht="11.5" customHeight="1" x14ac:dyDescent="0.35">
      <c r="A78" s="7" t="s">
        <v>21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</row>
    <row r="79" spans="1:39" ht="11.5" customHeight="1" x14ac:dyDescent="0.35">
      <c r="A79" s="7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</row>
    <row r="80" spans="1:39" ht="11.5" customHeight="1" x14ac:dyDescent="0.35">
      <c r="A80" s="11"/>
      <c r="B80" s="117" t="s">
        <v>23</v>
      </c>
      <c r="C80" s="117"/>
      <c r="D80" s="117"/>
      <c r="E80" s="117"/>
      <c r="F80" s="117"/>
      <c r="G80" s="117"/>
      <c r="H80" s="117"/>
      <c r="I80" s="117"/>
      <c r="J80" s="115"/>
      <c r="K80" s="115"/>
      <c r="L80" s="115"/>
      <c r="M80" s="115"/>
      <c r="N80" s="115"/>
      <c r="O80" s="115"/>
      <c r="P80" s="115"/>
      <c r="Q80" s="117" t="s">
        <v>24</v>
      </c>
      <c r="R80" s="117"/>
      <c r="S80" s="117"/>
      <c r="T80" s="117"/>
      <c r="U80" s="117"/>
      <c r="V80" s="115"/>
      <c r="W80" s="115"/>
      <c r="X80" s="115"/>
      <c r="Y80" s="115"/>
      <c r="Z80" s="115"/>
      <c r="AA80" s="115"/>
      <c r="AB80" s="3"/>
      <c r="AC80" s="117" t="s">
        <v>22</v>
      </c>
      <c r="AD80" s="117"/>
      <c r="AE80" s="117"/>
      <c r="AF80" s="116"/>
      <c r="AG80" s="116"/>
      <c r="AH80" s="116"/>
      <c r="AI80" s="116"/>
      <c r="AM80" s="11"/>
    </row>
    <row r="81" spans="1:39" ht="11.5" customHeight="1" x14ac:dyDescent="0.3">
      <c r="A81" s="11"/>
      <c r="B81" s="140" t="s">
        <v>49</v>
      </c>
      <c r="C81" s="140"/>
      <c r="D81" s="140"/>
      <c r="E81" s="140"/>
      <c r="F81" s="140"/>
      <c r="G81" s="140"/>
      <c r="H81" s="140"/>
      <c r="I81" s="140"/>
      <c r="J81" s="118"/>
      <c r="K81" s="118"/>
      <c r="L81" s="118"/>
      <c r="M81" s="118"/>
      <c r="N81" s="118"/>
      <c r="O81" s="118"/>
      <c r="P81" s="118"/>
      <c r="Q81" s="117" t="s">
        <v>24</v>
      </c>
      <c r="R81" s="117"/>
      <c r="S81" s="117"/>
      <c r="T81" s="117"/>
      <c r="U81" s="117"/>
      <c r="V81" s="115"/>
      <c r="W81" s="115"/>
      <c r="X81" s="115"/>
      <c r="Y81" s="115"/>
      <c r="Z81" s="115"/>
      <c r="AA81" s="115"/>
      <c r="AB81" s="3"/>
      <c r="AC81" s="117" t="s">
        <v>22</v>
      </c>
      <c r="AD81" s="117"/>
      <c r="AE81" s="117"/>
      <c r="AF81" s="116"/>
      <c r="AG81" s="116"/>
      <c r="AH81" s="116"/>
      <c r="AI81" s="116"/>
      <c r="AM81" s="11"/>
    </row>
    <row r="82" spans="1:39" ht="11.5" customHeight="1" thickBot="1" x14ac:dyDescent="0.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spans="1:39" ht="11.5" customHeight="1" x14ac:dyDescent="0.35">
      <c r="A83" s="7" t="s">
        <v>12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</row>
    <row r="84" spans="1:39" ht="11.5" customHeight="1" x14ac:dyDescent="0.35">
      <c r="A84" s="7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</row>
    <row r="85" spans="1:39" ht="11.5" customHeight="1" x14ac:dyDescent="0.35">
      <c r="A85" s="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11"/>
    </row>
    <row r="86" spans="1:39" ht="11.5" customHeight="1" x14ac:dyDescent="0.35">
      <c r="A86" s="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11"/>
    </row>
    <row r="87" spans="1:39" ht="11.5" customHeight="1" x14ac:dyDescent="0.35">
      <c r="A87" s="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11"/>
    </row>
    <row r="88" spans="1:39" ht="11.5" customHeight="1" x14ac:dyDescent="0.35">
      <c r="A88" s="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11"/>
    </row>
    <row r="89" spans="1:39" ht="11.5" customHeight="1" x14ac:dyDescent="0.35">
      <c r="A89" s="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11"/>
    </row>
    <row r="90" spans="1:39" ht="11.5" customHeight="1" x14ac:dyDescent="0.35">
      <c r="A90" s="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11"/>
    </row>
    <row r="91" spans="1:39" ht="11.5" customHeight="1" x14ac:dyDescent="0.35">
      <c r="A91" s="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11"/>
    </row>
    <row r="92" spans="1:39" ht="11.5" customHeight="1" x14ac:dyDescent="0.35">
      <c r="A92" s="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11"/>
    </row>
    <row r="93" spans="1:39" ht="11.5" customHeight="1" x14ac:dyDescent="0.35">
      <c r="A93" s="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11"/>
    </row>
    <row r="94" spans="1:39" ht="11.5" customHeight="1" x14ac:dyDescent="0.35">
      <c r="A94" s="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11"/>
    </row>
    <row r="95" spans="1:39" ht="11.5" customHeight="1" x14ac:dyDescent="0.35">
      <c r="A95" s="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11"/>
    </row>
    <row r="96" spans="1:39" ht="11.5" customHeight="1" x14ac:dyDescent="0.35">
      <c r="A96" s="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11"/>
    </row>
    <row r="97" spans="1:39" ht="11.5" customHeight="1" x14ac:dyDescent="0.35">
      <c r="A97" s="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11"/>
    </row>
    <row r="98" spans="1:39" ht="11.5" customHeight="1" x14ac:dyDescent="0.35">
      <c r="A98" s="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11"/>
    </row>
    <row r="99" spans="1:39" ht="11.5" customHeight="1" x14ac:dyDescent="0.35">
      <c r="A99" s="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11"/>
    </row>
    <row r="100" spans="1:39" ht="11.5" customHeight="1" x14ac:dyDescent="0.35">
      <c r="A100" s="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11"/>
    </row>
    <row r="101" spans="1:39" ht="11.5" customHeight="1" x14ac:dyDescent="0.35">
      <c r="A101" s="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11"/>
    </row>
    <row r="102" spans="1:39" ht="11.5" customHeight="1" x14ac:dyDescent="0.35">
      <c r="A102" s="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11"/>
    </row>
    <row r="103" spans="1:39" ht="11.5" customHeight="1" x14ac:dyDescent="0.35">
      <c r="A103" s="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11"/>
    </row>
    <row r="104" spans="1:39" ht="11.5" customHeight="1" x14ac:dyDescent="0.35">
      <c r="A104" s="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11"/>
    </row>
    <row r="105" spans="1:39" ht="11.5" customHeight="1" x14ac:dyDescent="0.35">
      <c r="A105" s="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11"/>
    </row>
    <row r="106" spans="1:39" ht="11.5" customHeight="1" x14ac:dyDescent="0.35">
      <c r="A106" s="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11"/>
    </row>
    <row r="107" spans="1:39" ht="11.5" customHeight="1" x14ac:dyDescent="0.35">
      <c r="A107" s="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11"/>
    </row>
    <row r="108" spans="1:39" ht="11.5" customHeight="1" x14ac:dyDescent="0.35">
      <c r="A108" s="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11"/>
    </row>
    <row r="109" spans="1:39" ht="11.5" customHeight="1" x14ac:dyDescent="0.35">
      <c r="A109" s="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11"/>
    </row>
    <row r="110" spans="1:39" ht="11.5" customHeight="1" x14ac:dyDescent="0.35">
      <c r="A110" s="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11"/>
    </row>
    <row r="111" spans="1:39" ht="11.5" customHeight="1" x14ac:dyDescent="0.35">
      <c r="A111" s="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11"/>
    </row>
    <row r="112" spans="1:39" ht="11.5" customHeight="1" x14ac:dyDescent="0.35">
      <c r="A112" s="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11"/>
    </row>
    <row r="113" spans="1:39" ht="11.5" customHeight="1" x14ac:dyDescent="0.35">
      <c r="A113" s="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11"/>
    </row>
    <row r="114" spans="1:39" ht="11.5" customHeight="1" x14ac:dyDescent="0.35">
      <c r="A114" s="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11"/>
    </row>
    <row r="115" spans="1:39" ht="11.5" customHeight="1" x14ac:dyDescent="0.35">
      <c r="A115" s="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11"/>
    </row>
    <row r="116" spans="1:39" ht="11.5" customHeight="1" x14ac:dyDescent="0.35">
      <c r="A116" s="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11"/>
    </row>
    <row r="117" spans="1:39" ht="11.5" customHeight="1" x14ac:dyDescent="0.35">
      <c r="A117" s="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11"/>
    </row>
    <row r="118" spans="1:39" ht="11.5" customHeight="1" x14ac:dyDescent="0.35">
      <c r="A118" s="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11"/>
    </row>
    <row r="119" spans="1:39" ht="11.5" customHeight="1" x14ac:dyDescent="0.35">
      <c r="A119" s="19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11"/>
    </row>
    <row r="120" spans="1:39" ht="11.5" customHeight="1" x14ac:dyDescent="0.35">
      <c r="A120" s="11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11"/>
    </row>
    <row r="121" spans="1:39" ht="11.5" customHeight="1" x14ac:dyDescent="0.35">
      <c r="A121" s="11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11"/>
    </row>
    <row r="122" spans="1:39" ht="11.5" customHeight="1" x14ac:dyDescent="0.35">
      <c r="A122" s="11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11"/>
    </row>
    <row r="123" spans="1:39" ht="11.5" customHeight="1" thickBot="1" x14ac:dyDescent="0.4">
      <c r="A123" s="6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6"/>
    </row>
  </sheetData>
  <sheetProtection formatCells="0" selectLockedCells="1"/>
  <dataConsolidate/>
  <mergeCells count="208">
    <mergeCell ref="B67:H67"/>
    <mergeCell ref="B68:H68"/>
    <mergeCell ref="B69:H69"/>
    <mergeCell ref="B80:I80"/>
    <mergeCell ref="B81:I81"/>
    <mergeCell ref="AC81:AE81"/>
    <mergeCell ref="A1:AM1"/>
    <mergeCell ref="K5:L5"/>
    <mergeCell ref="S5:V5"/>
    <mergeCell ref="Z6:AD6"/>
    <mergeCell ref="Z2:AD2"/>
    <mergeCell ref="AE2:AH2"/>
    <mergeCell ref="M5:N5"/>
    <mergeCell ref="P5:Q5"/>
    <mergeCell ref="Z3:AD3"/>
    <mergeCell ref="F4:X4"/>
    <mergeCell ref="F5:I5"/>
    <mergeCell ref="F2:X2"/>
    <mergeCell ref="AJ2:AL4"/>
    <mergeCell ref="AE3:AH3"/>
    <mergeCell ref="Z5:AD5"/>
    <mergeCell ref="AE5:AL5"/>
    <mergeCell ref="B2:E2"/>
    <mergeCell ref="B3:E3"/>
    <mergeCell ref="B4:E4"/>
    <mergeCell ref="B5:E5"/>
    <mergeCell ref="B6:E6"/>
    <mergeCell ref="AE6:AL6"/>
    <mergeCell ref="F3:X3"/>
    <mergeCell ref="F6:X6"/>
    <mergeCell ref="B35:E35"/>
    <mergeCell ref="F35:AG35"/>
    <mergeCell ref="AB17:AF17"/>
    <mergeCell ref="AH29:AL29"/>
    <mergeCell ref="AH30:AL30"/>
    <mergeCell ref="AH32:AL32"/>
    <mergeCell ref="AH33:AL33"/>
    <mergeCell ref="AH34:AL34"/>
    <mergeCell ref="AH28:AL28"/>
    <mergeCell ref="B30:E30"/>
    <mergeCell ref="B29:E29"/>
    <mergeCell ref="F29:AG29"/>
    <mergeCell ref="B28:E28"/>
    <mergeCell ref="F17:H17"/>
    <mergeCell ref="B18:E18"/>
    <mergeCell ref="I17:K17"/>
    <mergeCell ref="L17:N17"/>
    <mergeCell ref="X17:Z17"/>
    <mergeCell ref="F18:H18"/>
    <mergeCell ref="I18:K18"/>
    <mergeCell ref="L18:N18"/>
    <mergeCell ref="O18:Q18"/>
    <mergeCell ref="F30:AG30"/>
    <mergeCell ref="F28:AG28"/>
    <mergeCell ref="F10:L10"/>
    <mergeCell ref="F13:L13"/>
    <mergeCell ref="R18:T18"/>
    <mergeCell ref="B32:E32"/>
    <mergeCell ref="B33:E33"/>
    <mergeCell ref="B31:E31"/>
    <mergeCell ref="F31:AG31"/>
    <mergeCell ref="B34:E34"/>
    <mergeCell ref="F34:AG34"/>
    <mergeCell ref="B10:E10"/>
    <mergeCell ref="F14:H14"/>
    <mergeCell ref="J14:L14"/>
    <mergeCell ref="J15:L15"/>
    <mergeCell ref="F15:H15"/>
    <mergeCell ref="N10:R10"/>
    <mergeCell ref="N11:R11"/>
    <mergeCell ref="B15:E15"/>
    <mergeCell ref="B14:E14"/>
    <mergeCell ref="B17:E17"/>
    <mergeCell ref="B11:E11"/>
    <mergeCell ref="F11:H11"/>
    <mergeCell ref="F32:AG32"/>
    <mergeCell ref="F33:AG33"/>
    <mergeCell ref="J11:L11"/>
    <mergeCell ref="AH35:AL35"/>
    <mergeCell ref="AH27:AL27"/>
    <mergeCell ref="J80:P80"/>
    <mergeCell ref="V80:AA80"/>
    <mergeCell ref="V81:AA81"/>
    <mergeCell ref="AF81:AI81"/>
    <mergeCell ref="AF80:AI80"/>
    <mergeCell ref="AG17:AI17"/>
    <mergeCell ref="AC80:AE80"/>
    <mergeCell ref="Q81:U81"/>
    <mergeCell ref="Q80:U80"/>
    <mergeCell ref="J81:P81"/>
    <mergeCell ref="AG64:AI64"/>
    <mergeCell ref="AH31:AL31"/>
    <mergeCell ref="AD10:AI10"/>
    <mergeCell ref="AD11:AI11"/>
    <mergeCell ref="AG18:AI18"/>
    <mergeCell ref="N13:S13"/>
    <mergeCell ref="N14:S14"/>
    <mergeCell ref="N15:S15"/>
    <mergeCell ref="U13:Z13"/>
    <mergeCell ref="U14:Z14"/>
    <mergeCell ref="U15:Z15"/>
    <mergeCell ref="O17:Q17"/>
    <mergeCell ref="R17:T17"/>
    <mergeCell ref="U17:W17"/>
    <mergeCell ref="X18:Z18"/>
    <mergeCell ref="U18:W18"/>
    <mergeCell ref="M68:O68"/>
    <mergeCell ref="P68:R68"/>
    <mergeCell ref="S68:U68"/>
    <mergeCell ref="V68:W68"/>
    <mergeCell ref="Y68:AA68"/>
    <mergeCell ref="Z10:AC10"/>
    <mergeCell ref="Z11:AC11"/>
    <mergeCell ref="S10:X10"/>
    <mergeCell ref="S11:X11"/>
    <mergeCell ref="B36:E37"/>
    <mergeCell ref="F36:AG37"/>
    <mergeCell ref="AH36:AL37"/>
    <mergeCell ref="B38:E38"/>
    <mergeCell ref="F38:AG38"/>
    <mergeCell ref="AH38:AL38"/>
    <mergeCell ref="B42:E42"/>
    <mergeCell ref="F42:AG42"/>
    <mergeCell ref="AH42:AL42"/>
    <mergeCell ref="B48:E48"/>
    <mergeCell ref="F48:AG48"/>
    <mergeCell ref="AH48:AL48"/>
    <mergeCell ref="B39:E41"/>
    <mergeCell ref="F39:AG41"/>
    <mergeCell ref="AH39:AL41"/>
    <mergeCell ref="B45:E45"/>
    <mergeCell ref="F45:AG45"/>
    <mergeCell ref="AH45:AL45"/>
    <mergeCell ref="B46:E46"/>
    <mergeCell ref="F46:AG46"/>
    <mergeCell ref="AH46:AL46"/>
    <mergeCell ref="B47:E47"/>
    <mergeCell ref="F47:AG47"/>
    <mergeCell ref="AH47:AL47"/>
    <mergeCell ref="B43:E43"/>
    <mergeCell ref="F43:AG43"/>
    <mergeCell ref="AH43:AL43"/>
    <mergeCell ref="B44:E44"/>
    <mergeCell ref="F44:AG44"/>
    <mergeCell ref="AH44:AL44"/>
    <mergeCell ref="B22:F22"/>
    <mergeCell ref="G22:K22"/>
    <mergeCell ref="M22:T22"/>
    <mergeCell ref="U22:X22"/>
    <mergeCell ref="Z22:AF22"/>
    <mergeCell ref="AG22:AK22"/>
    <mergeCell ref="B23:F23"/>
    <mergeCell ref="G23:K23"/>
    <mergeCell ref="M23:T23"/>
    <mergeCell ref="U23:X23"/>
    <mergeCell ref="Z23:AF23"/>
    <mergeCell ref="AG23:AK23"/>
    <mergeCell ref="I67:L67"/>
    <mergeCell ref="M67:O67"/>
    <mergeCell ref="P67:R67"/>
    <mergeCell ref="S67:U67"/>
    <mergeCell ref="V67:W67"/>
    <mergeCell ref="Y67:AA67"/>
    <mergeCell ref="AB67:AD67"/>
    <mergeCell ref="AE67:AG67"/>
    <mergeCell ref="AH67:AI67"/>
    <mergeCell ref="V74:Y74"/>
    <mergeCell ref="Z74:AC74"/>
    <mergeCell ref="V73:Y73"/>
    <mergeCell ref="Z73:AC73"/>
    <mergeCell ref="AH73:AK73"/>
    <mergeCell ref="AB68:AD68"/>
    <mergeCell ref="AE68:AG68"/>
    <mergeCell ref="AH68:AI68"/>
    <mergeCell ref="I69:L69"/>
    <mergeCell ref="M69:O69"/>
    <mergeCell ref="P69:R69"/>
    <mergeCell ref="S69:U69"/>
    <mergeCell ref="V69:W69"/>
    <mergeCell ref="Y69:AA69"/>
    <mergeCell ref="AB69:AD69"/>
    <mergeCell ref="AE69:AG69"/>
    <mergeCell ref="AH69:AI69"/>
    <mergeCell ref="I68:L68"/>
    <mergeCell ref="B75:U75"/>
    <mergeCell ref="V75:Y75"/>
    <mergeCell ref="Z75:AC75"/>
    <mergeCell ref="AD75:AG75"/>
    <mergeCell ref="AH75:AK75"/>
    <mergeCell ref="B85:AL122"/>
    <mergeCell ref="B52:AL61"/>
    <mergeCell ref="AD74:AG74"/>
    <mergeCell ref="AH74:AK74"/>
    <mergeCell ref="AE64:AF64"/>
    <mergeCell ref="I66:W66"/>
    <mergeCell ref="Y66:AI66"/>
    <mergeCell ref="B70:H70"/>
    <mergeCell ref="I70:L70"/>
    <mergeCell ref="M70:O70"/>
    <mergeCell ref="P70:R70"/>
    <mergeCell ref="S70:U70"/>
    <mergeCell ref="V70:W70"/>
    <mergeCell ref="Y70:AA70"/>
    <mergeCell ref="AB70:AD70"/>
    <mergeCell ref="AE70:AG70"/>
    <mergeCell ref="AH70:AI70"/>
    <mergeCell ref="AD72:AG73"/>
    <mergeCell ref="B74:U74"/>
  </mergeCells>
  <phoneticPr fontId="2" type="noConversion"/>
  <conditionalFormatting sqref="AJ2">
    <cfRule type="cellIs" dxfId="3" priority="27" operator="equal">
      <formula>"LIMITED SERVICE"</formula>
    </cfRule>
    <cfRule type="cellIs" dxfId="2" priority="28" operator="equal">
      <formula>"FAIL"</formula>
    </cfRule>
    <cfRule type="cellIs" dxfId="1" priority="29" operator="equal">
      <formula>"PASS"</formula>
    </cfRule>
    <cfRule type="cellIs" dxfId="0" priority="30" operator="equal">
      <formula>"""PASS"""</formula>
    </cfRule>
  </conditionalFormatting>
  <dataValidations count="4">
    <dataValidation type="list" errorStyle="warning" allowBlank="1" showInputMessage="1" showErrorMessage="1" sqref="AI28:AL35 AH28:AH36 AI38:AL38 AH38:AH39 AH42:AL49" xr:uid="{6EEF4E07-8C3A-4411-B37D-774BCC384790}">
      <formula1>",Satisfactory, Unsatisfactory,Cleaned,See Comments,Not Applicable, By Others"</formula1>
    </dataValidation>
    <dataValidation type="list" allowBlank="1" showInputMessage="1" showErrorMessage="1" sqref="N14:N15" xr:uid="{B505F7B2-538F-4CD5-95E1-90F4507742A3}">
      <formula1>"Delta, Wye, Single Phase"</formula1>
    </dataValidation>
    <dataValidation type="list" allowBlank="1" showInputMessage="1" showErrorMessage="1" sqref="U14:U15" xr:uid="{E97AD4D3-4B22-4F9B-A376-BCB2964931C0}">
      <formula1>"Copper, Aluminum"</formula1>
    </dataValidation>
    <dataValidation type="list" allowBlank="1" showInputMessage="1" showErrorMessage="1" sqref="AM2:AM4 AJ2" xr:uid="{FD88D42F-4C2C-4489-B3FE-AA52572567EE}">
      <formula1>#REF!</formula1>
    </dataValidation>
  </dataValidations>
  <printOptions horizontalCentered="1"/>
  <pageMargins left="0.5" right="0.5" top="1" bottom="0.5" header="0.3" footer="0.3"/>
  <pageSetup scale="96" fitToHeight="0" orientation="portrait" r:id="rId1"/>
  <headerFooter>
    <oddHeader xml:space="preserve">&amp;L  &amp;G
                &amp;C&amp;"-,Bold"&amp;13Small Low Voltage Dry-Type
Transfomer Test&amp;R&amp;"-,Bold"&amp;12&amp;K000000&amp;G
ATS 7.2.1.1
2025 Edition      
&amp;14 </oddHeader>
    <oddFooter>&amp;L&amp;8&amp;K00-041AMPQES.COM&amp;C&amp;"Arial,Regular"&amp;9Sheet &amp;P of &amp;N&amp;R&amp;8 &amp;K00-041256-513-8255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8BD2-91A3-407A-B7A1-5E8C67935495}">
  <dimension ref="A1:C138"/>
  <sheetViews>
    <sheetView workbookViewId="0">
      <selection activeCell="E9" sqref="E9"/>
    </sheetView>
  </sheetViews>
  <sheetFormatPr defaultRowHeight="14.5" x14ac:dyDescent="0.35"/>
  <cols>
    <col min="1" max="1" width="14.90625" customWidth="1"/>
    <col min="2" max="2" width="18.26953125" customWidth="1"/>
    <col min="3" max="3" width="36.36328125" customWidth="1"/>
  </cols>
  <sheetData>
    <row r="1" spans="1:3" ht="15.5" x14ac:dyDescent="0.35">
      <c r="A1" s="141" t="s">
        <v>109</v>
      </c>
      <c r="B1" s="142"/>
      <c r="C1" s="38"/>
    </row>
    <row r="2" spans="1:3" ht="15.5" x14ac:dyDescent="0.35">
      <c r="A2" s="37"/>
      <c r="B2" s="39"/>
      <c r="C2" s="40"/>
    </row>
    <row r="3" spans="1:3" x14ac:dyDescent="0.35">
      <c r="A3" s="41" t="s">
        <v>110</v>
      </c>
      <c r="B3" s="41" t="s">
        <v>111</v>
      </c>
      <c r="C3" s="42" t="s">
        <v>112</v>
      </c>
    </row>
    <row r="4" spans="1:3" x14ac:dyDescent="0.35">
      <c r="A4" s="43">
        <v>-24</v>
      </c>
      <c r="B4" s="44">
        <f>ROUND(0.252*EXP(0.0691*A4),3)</f>
        <v>4.8000000000000001E-2</v>
      </c>
      <c r="C4" s="40" t="s">
        <v>113</v>
      </c>
    </row>
    <row r="5" spans="1:3" x14ac:dyDescent="0.35">
      <c r="A5" s="43">
        <v>-23</v>
      </c>
      <c r="B5" s="44">
        <f t="shared" ref="B5:B67" si="0">ROUND(0.252*EXP(0.0691*A5),3)</f>
        <v>5.0999999999999997E-2</v>
      </c>
      <c r="C5" s="40" t="s">
        <v>114</v>
      </c>
    </row>
    <row r="6" spans="1:3" x14ac:dyDescent="0.35">
      <c r="A6" s="43">
        <v>-22</v>
      </c>
      <c r="B6" s="44">
        <f t="shared" si="0"/>
        <v>5.5E-2</v>
      </c>
      <c r="C6" s="40" t="s">
        <v>114</v>
      </c>
    </row>
    <row r="7" spans="1:3" x14ac:dyDescent="0.35">
      <c r="A7" s="43">
        <v>-21</v>
      </c>
      <c r="B7" s="44">
        <f t="shared" si="0"/>
        <v>5.8999999999999997E-2</v>
      </c>
      <c r="C7" s="40" t="s">
        <v>114</v>
      </c>
    </row>
    <row r="8" spans="1:3" x14ac:dyDescent="0.35">
      <c r="A8" s="43">
        <v>-20</v>
      </c>
      <c r="B8" s="44">
        <f t="shared" si="0"/>
        <v>6.3E-2</v>
      </c>
      <c r="C8" s="40" t="s">
        <v>114</v>
      </c>
    </row>
    <row r="9" spans="1:3" x14ac:dyDescent="0.35">
      <c r="A9" s="43">
        <v>-19</v>
      </c>
      <c r="B9" s="44">
        <f t="shared" si="0"/>
        <v>6.8000000000000005E-2</v>
      </c>
      <c r="C9" s="40" t="s">
        <v>114</v>
      </c>
    </row>
    <row r="10" spans="1:3" x14ac:dyDescent="0.35">
      <c r="A10" s="43">
        <v>-18</v>
      </c>
      <c r="B10" s="44">
        <f t="shared" si="0"/>
        <v>7.2999999999999995E-2</v>
      </c>
      <c r="C10" s="40" t="s">
        <v>114</v>
      </c>
    </row>
    <row r="11" spans="1:3" x14ac:dyDescent="0.35">
      <c r="A11" s="43">
        <v>-17</v>
      </c>
      <c r="B11" s="44">
        <f t="shared" si="0"/>
        <v>7.8E-2</v>
      </c>
      <c r="C11" s="40" t="s">
        <v>114</v>
      </c>
    </row>
    <row r="12" spans="1:3" x14ac:dyDescent="0.35">
      <c r="A12" s="43">
        <v>-16</v>
      </c>
      <c r="B12" s="44">
        <f t="shared" si="0"/>
        <v>8.3000000000000004E-2</v>
      </c>
      <c r="C12" s="40" t="s">
        <v>114</v>
      </c>
    </row>
    <row r="13" spans="1:3" x14ac:dyDescent="0.35">
      <c r="A13" s="43">
        <v>-15</v>
      </c>
      <c r="B13" s="44">
        <f t="shared" si="0"/>
        <v>8.8999999999999996E-2</v>
      </c>
      <c r="C13" s="40" t="s">
        <v>114</v>
      </c>
    </row>
    <row r="14" spans="1:3" x14ac:dyDescent="0.35">
      <c r="A14" s="43">
        <v>-14</v>
      </c>
      <c r="B14" s="44">
        <f t="shared" si="0"/>
        <v>9.6000000000000002E-2</v>
      </c>
      <c r="C14" s="40" t="s">
        <v>114</v>
      </c>
    </row>
    <row r="15" spans="1:3" x14ac:dyDescent="0.35">
      <c r="A15" s="43">
        <v>-13</v>
      </c>
      <c r="B15" s="44">
        <f t="shared" si="0"/>
        <v>0.10299999999999999</v>
      </c>
      <c r="C15" s="40" t="s">
        <v>114</v>
      </c>
    </row>
    <row r="16" spans="1:3" x14ac:dyDescent="0.35">
      <c r="A16" s="43">
        <v>-12</v>
      </c>
      <c r="B16" s="44">
        <f t="shared" si="0"/>
        <v>0.11</v>
      </c>
      <c r="C16" s="40" t="s">
        <v>114</v>
      </c>
    </row>
    <row r="17" spans="1:3" x14ac:dyDescent="0.35">
      <c r="A17" s="43">
        <v>-11</v>
      </c>
      <c r="B17" s="44">
        <f t="shared" si="0"/>
        <v>0.11799999999999999</v>
      </c>
      <c r="C17" s="40" t="s">
        <v>114</v>
      </c>
    </row>
    <row r="18" spans="1:3" x14ac:dyDescent="0.35">
      <c r="A18" s="43">
        <v>-10</v>
      </c>
      <c r="B18" s="44">
        <v>0.125</v>
      </c>
      <c r="C18" s="40" t="s">
        <v>115</v>
      </c>
    </row>
    <row r="19" spans="1:3" x14ac:dyDescent="0.35">
      <c r="A19" s="43">
        <v>-9</v>
      </c>
      <c r="B19" s="44">
        <f t="shared" si="0"/>
        <v>0.13500000000000001</v>
      </c>
      <c r="C19" s="40" t="s">
        <v>114</v>
      </c>
    </row>
    <row r="20" spans="1:3" x14ac:dyDescent="0.35">
      <c r="A20" s="43">
        <v>-8</v>
      </c>
      <c r="B20" s="44">
        <f t="shared" si="0"/>
        <v>0.14499999999999999</v>
      </c>
      <c r="C20" s="40" t="s">
        <v>114</v>
      </c>
    </row>
    <row r="21" spans="1:3" x14ac:dyDescent="0.35">
      <c r="A21" s="43">
        <v>-7</v>
      </c>
      <c r="B21" s="44">
        <f t="shared" si="0"/>
        <v>0.155</v>
      </c>
      <c r="C21" s="40" t="s">
        <v>114</v>
      </c>
    </row>
    <row r="22" spans="1:3" x14ac:dyDescent="0.35">
      <c r="A22" s="43">
        <v>-6</v>
      </c>
      <c r="B22" s="44">
        <f t="shared" si="0"/>
        <v>0.16600000000000001</v>
      </c>
      <c r="C22" s="40" t="s">
        <v>114</v>
      </c>
    </row>
    <row r="23" spans="1:3" x14ac:dyDescent="0.35">
      <c r="A23" s="43">
        <v>-5</v>
      </c>
      <c r="B23" s="44">
        <v>0.18</v>
      </c>
      <c r="C23" s="40" t="s">
        <v>115</v>
      </c>
    </row>
    <row r="24" spans="1:3" x14ac:dyDescent="0.35">
      <c r="A24" s="43">
        <v>-4</v>
      </c>
      <c r="B24" s="44">
        <f t="shared" si="0"/>
        <v>0.191</v>
      </c>
      <c r="C24" s="40" t="s">
        <v>114</v>
      </c>
    </row>
    <row r="25" spans="1:3" x14ac:dyDescent="0.35">
      <c r="A25" s="43">
        <v>-3</v>
      </c>
      <c r="B25" s="44">
        <f t="shared" si="0"/>
        <v>0.20499999999999999</v>
      </c>
      <c r="C25" s="40" t="s">
        <v>114</v>
      </c>
    </row>
    <row r="26" spans="1:3" x14ac:dyDescent="0.35">
      <c r="A26" s="43">
        <v>-2</v>
      </c>
      <c r="B26" s="44">
        <f t="shared" si="0"/>
        <v>0.219</v>
      </c>
      <c r="C26" s="40" t="s">
        <v>114</v>
      </c>
    </row>
    <row r="27" spans="1:3" x14ac:dyDescent="0.35">
      <c r="A27" s="43">
        <v>-1</v>
      </c>
      <c r="B27" s="44">
        <f t="shared" si="0"/>
        <v>0.23499999999999999</v>
      </c>
      <c r="C27" s="40" t="s">
        <v>114</v>
      </c>
    </row>
    <row r="28" spans="1:3" x14ac:dyDescent="0.35">
      <c r="A28" s="43">
        <v>0</v>
      </c>
      <c r="B28" s="44">
        <v>0.25</v>
      </c>
      <c r="C28" s="40" t="s">
        <v>115</v>
      </c>
    </row>
    <row r="29" spans="1:3" x14ac:dyDescent="0.35">
      <c r="A29" s="43">
        <v>1</v>
      </c>
      <c r="B29" s="44">
        <f t="shared" si="0"/>
        <v>0.27</v>
      </c>
      <c r="C29" s="40" t="s">
        <v>114</v>
      </c>
    </row>
    <row r="30" spans="1:3" x14ac:dyDescent="0.35">
      <c r="A30" s="43">
        <v>2</v>
      </c>
      <c r="B30" s="44">
        <f t="shared" si="0"/>
        <v>0.28899999999999998</v>
      </c>
      <c r="C30" s="40" t="s">
        <v>114</v>
      </c>
    </row>
    <row r="31" spans="1:3" x14ac:dyDescent="0.35">
      <c r="A31" s="43">
        <v>3</v>
      </c>
      <c r="B31" s="44">
        <f t="shared" si="0"/>
        <v>0.31</v>
      </c>
      <c r="C31" s="40" t="s">
        <v>114</v>
      </c>
    </row>
    <row r="32" spans="1:3" x14ac:dyDescent="0.35">
      <c r="A32" s="43">
        <v>4</v>
      </c>
      <c r="B32" s="44">
        <f t="shared" si="0"/>
        <v>0.33200000000000002</v>
      </c>
      <c r="C32" s="40" t="s">
        <v>114</v>
      </c>
    </row>
    <row r="33" spans="1:3" x14ac:dyDescent="0.35">
      <c r="A33" s="43">
        <v>5</v>
      </c>
      <c r="B33" s="44">
        <v>0.36</v>
      </c>
      <c r="C33" s="40" t="s">
        <v>115</v>
      </c>
    </row>
    <row r="34" spans="1:3" x14ac:dyDescent="0.35">
      <c r="A34" s="43">
        <v>6</v>
      </c>
      <c r="B34" s="44">
        <f t="shared" si="0"/>
        <v>0.38100000000000001</v>
      </c>
      <c r="C34" s="40" t="s">
        <v>114</v>
      </c>
    </row>
    <row r="35" spans="1:3" x14ac:dyDescent="0.35">
      <c r="A35" s="43">
        <v>7</v>
      </c>
      <c r="B35" s="44">
        <f t="shared" si="0"/>
        <v>0.40899999999999997</v>
      </c>
      <c r="C35" s="40" t="s">
        <v>114</v>
      </c>
    </row>
    <row r="36" spans="1:3" x14ac:dyDescent="0.35">
      <c r="A36" s="43">
        <v>8</v>
      </c>
      <c r="B36" s="44">
        <f t="shared" si="0"/>
        <v>0.438</v>
      </c>
      <c r="C36" s="40" t="s">
        <v>114</v>
      </c>
    </row>
    <row r="37" spans="1:3" x14ac:dyDescent="0.35">
      <c r="A37" s="43">
        <v>9</v>
      </c>
      <c r="B37" s="44">
        <f t="shared" si="0"/>
        <v>0.46899999999999997</v>
      </c>
      <c r="C37" s="40" t="s">
        <v>114</v>
      </c>
    </row>
    <row r="38" spans="1:3" x14ac:dyDescent="0.35">
      <c r="A38" s="43">
        <v>10</v>
      </c>
      <c r="B38" s="44">
        <v>0.5</v>
      </c>
      <c r="C38" s="40" t="s">
        <v>115</v>
      </c>
    </row>
    <row r="39" spans="1:3" x14ac:dyDescent="0.35">
      <c r="A39" s="43">
        <v>11</v>
      </c>
      <c r="B39" s="44">
        <f t="shared" si="0"/>
        <v>0.53900000000000003</v>
      </c>
      <c r="C39" s="40" t="s">
        <v>114</v>
      </c>
    </row>
    <row r="40" spans="1:3" x14ac:dyDescent="0.35">
      <c r="A40" s="43">
        <v>12</v>
      </c>
      <c r="B40" s="44">
        <f t="shared" si="0"/>
        <v>0.57699999999999996</v>
      </c>
      <c r="C40" s="40" t="s">
        <v>114</v>
      </c>
    </row>
    <row r="41" spans="1:3" x14ac:dyDescent="0.35">
      <c r="A41" s="43">
        <v>13</v>
      </c>
      <c r="B41" s="44">
        <f t="shared" si="0"/>
        <v>0.61899999999999999</v>
      </c>
      <c r="C41" s="40" t="s">
        <v>114</v>
      </c>
    </row>
    <row r="42" spans="1:3" x14ac:dyDescent="0.35">
      <c r="A42" s="43">
        <v>14</v>
      </c>
      <c r="B42" s="44">
        <f t="shared" si="0"/>
        <v>0.66300000000000003</v>
      </c>
      <c r="C42" s="40" t="s">
        <v>114</v>
      </c>
    </row>
    <row r="43" spans="1:3" x14ac:dyDescent="0.35">
      <c r="A43" s="43">
        <v>15</v>
      </c>
      <c r="B43" s="44">
        <v>0.75</v>
      </c>
      <c r="C43" s="40" t="s">
        <v>115</v>
      </c>
    </row>
    <row r="44" spans="1:3" x14ac:dyDescent="0.35">
      <c r="A44" s="43">
        <v>16</v>
      </c>
      <c r="B44" s="44">
        <f t="shared" si="0"/>
        <v>0.76100000000000001</v>
      </c>
      <c r="C44" s="40" t="s">
        <v>114</v>
      </c>
    </row>
    <row r="45" spans="1:3" x14ac:dyDescent="0.35">
      <c r="A45" s="43">
        <v>17</v>
      </c>
      <c r="B45" s="44">
        <f t="shared" si="0"/>
        <v>0.81599999999999995</v>
      </c>
      <c r="C45" s="40" t="s">
        <v>114</v>
      </c>
    </row>
    <row r="46" spans="1:3" x14ac:dyDescent="0.35">
      <c r="A46" s="43">
        <v>18</v>
      </c>
      <c r="B46" s="44">
        <f t="shared" si="0"/>
        <v>0.874</v>
      </c>
      <c r="C46" s="40" t="s">
        <v>114</v>
      </c>
    </row>
    <row r="47" spans="1:3" x14ac:dyDescent="0.35">
      <c r="A47" s="43">
        <v>19</v>
      </c>
      <c r="B47" s="44">
        <f t="shared" si="0"/>
        <v>0.93700000000000006</v>
      </c>
      <c r="C47" s="40" t="s">
        <v>114</v>
      </c>
    </row>
    <row r="48" spans="1:3" x14ac:dyDescent="0.35">
      <c r="A48" s="43">
        <v>20</v>
      </c>
      <c r="B48" s="44">
        <v>1</v>
      </c>
      <c r="C48" s="40" t="s">
        <v>115</v>
      </c>
    </row>
    <row r="49" spans="1:3" x14ac:dyDescent="0.35">
      <c r="A49" s="43">
        <v>21</v>
      </c>
      <c r="B49" s="44">
        <f t="shared" si="0"/>
        <v>1.075</v>
      </c>
      <c r="C49" s="40" t="s">
        <v>114</v>
      </c>
    </row>
    <row r="50" spans="1:3" x14ac:dyDescent="0.35">
      <c r="A50" s="43">
        <v>22</v>
      </c>
      <c r="B50" s="44">
        <f t="shared" si="0"/>
        <v>1.1519999999999999</v>
      </c>
      <c r="C50" s="40" t="s">
        <v>114</v>
      </c>
    </row>
    <row r="51" spans="1:3" x14ac:dyDescent="0.35">
      <c r="A51" s="43">
        <v>23</v>
      </c>
      <c r="B51" s="44">
        <f t="shared" si="0"/>
        <v>1.2350000000000001</v>
      </c>
      <c r="C51" s="40" t="s">
        <v>114</v>
      </c>
    </row>
    <row r="52" spans="1:3" x14ac:dyDescent="0.35">
      <c r="A52" s="43">
        <v>24</v>
      </c>
      <c r="B52" s="44">
        <f t="shared" si="0"/>
        <v>1.323</v>
      </c>
      <c r="C52" s="40" t="s">
        <v>114</v>
      </c>
    </row>
    <row r="53" spans="1:3" x14ac:dyDescent="0.35">
      <c r="A53" s="43">
        <v>25</v>
      </c>
      <c r="B53" s="44">
        <v>1.4</v>
      </c>
      <c r="C53" s="40" t="s">
        <v>115</v>
      </c>
    </row>
    <row r="54" spans="1:3" x14ac:dyDescent="0.35">
      <c r="A54" s="43">
        <v>26</v>
      </c>
      <c r="B54" s="44">
        <f t="shared" si="0"/>
        <v>1.5189999999999999</v>
      </c>
      <c r="C54" s="40" t="s">
        <v>114</v>
      </c>
    </row>
    <row r="55" spans="1:3" x14ac:dyDescent="0.35">
      <c r="A55" s="43">
        <v>27</v>
      </c>
      <c r="B55" s="44">
        <f t="shared" si="0"/>
        <v>1.6279999999999999</v>
      </c>
      <c r="C55" s="40" t="s">
        <v>114</v>
      </c>
    </row>
    <row r="56" spans="1:3" x14ac:dyDescent="0.35">
      <c r="A56" s="43">
        <v>28</v>
      </c>
      <c r="B56" s="44">
        <f t="shared" si="0"/>
        <v>1.7450000000000001</v>
      </c>
      <c r="C56" s="40" t="s">
        <v>114</v>
      </c>
    </row>
    <row r="57" spans="1:3" x14ac:dyDescent="0.35">
      <c r="A57" s="43">
        <v>29</v>
      </c>
      <c r="B57" s="44">
        <f t="shared" si="0"/>
        <v>1.869</v>
      </c>
      <c r="C57" s="40" t="s">
        <v>114</v>
      </c>
    </row>
    <row r="58" spans="1:3" x14ac:dyDescent="0.35">
      <c r="A58" s="43">
        <v>30</v>
      </c>
      <c r="B58" s="44">
        <v>1.98</v>
      </c>
      <c r="C58" s="40" t="s">
        <v>115</v>
      </c>
    </row>
    <row r="59" spans="1:3" x14ac:dyDescent="0.35">
      <c r="A59" s="43">
        <v>31</v>
      </c>
      <c r="B59" s="44">
        <f t="shared" si="0"/>
        <v>2.1459999999999999</v>
      </c>
      <c r="C59" s="40" t="s">
        <v>114</v>
      </c>
    </row>
    <row r="60" spans="1:3" x14ac:dyDescent="0.35">
      <c r="A60" s="43">
        <v>32</v>
      </c>
      <c r="B60" s="44">
        <f t="shared" si="0"/>
        <v>2.2999999999999998</v>
      </c>
      <c r="C60" s="40" t="s">
        <v>114</v>
      </c>
    </row>
    <row r="61" spans="1:3" x14ac:dyDescent="0.35">
      <c r="A61" s="43">
        <v>33</v>
      </c>
      <c r="B61" s="44">
        <f t="shared" si="0"/>
        <v>2.464</v>
      </c>
      <c r="C61" s="40" t="s">
        <v>114</v>
      </c>
    </row>
    <row r="62" spans="1:3" x14ac:dyDescent="0.35">
      <c r="A62" s="43">
        <v>34</v>
      </c>
      <c r="B62" s="44">
        <f t="shared" si="0"/>
        <v>2.641</v>
      </c>
      <c r="C62" s="40" t="s">
        <v>114</v>
      </c>
    </row>
    <row r="63" spans="1:3" x14ac:dyDescent="0.35">
      <c r="A63" s="43">
        <v>35</v>
      </c>
      <c r="B63" s="44">
        <v>2.8</v>
      </c>
      <c r="C63" s="40" t="s">
        <v>115</v>
      </c>
    </row>
    <row r="64" spans="1:3" x14ac:dyDescent="0.35">
      <c r="A64" s="43">
        <v>36</v>
      </c>
      <c r="B64" s="44">
        <f t="shared" si="0"/>
        <v>3.032</v>
      </c>
      <c r="C64" s="40" t="s">
        <v>114</v>
      </c>
    </row>
    <row r="65" spans="1:3" x14ac:dyDescent="0.35">
      <c r="A65" s="43">
        <v>37</v>
      </c>
      <c r="B65" s="44">
        <f t="shared" si="0"/>
        <v>3.2490000000000001</v>
      </c>
      <c r="C65" s="40" t="s">
        <v>114</v>
      </c>
    </row>
    <row r="66" spans="1:3" x14ac:dyDescent="0.35">
      <c r="A66" s="43">
        <v>38</v>
      </c>
      <c r="B66" s="44">
        <f t="shared" si="0"/>
        <v>3.4820000000000002</v>
      </c>
      <c r="C66" s="40" t="s">
        <v>114</v>
      </c>
    </row>
    <row r="67" spans="1:3" x14ac:dyDescent="0.35">
      <c r="A67" s="43">
        <v>39</v>
      </c>
      <c r="B67" s="44">
        <f t="shared" si="0"/>
        <v>3.7309999999999999</v>
      </c>
      <c r="C67" s="40" t="s">
        <v>114</v>
      </c>
    </row>
    <row r="68" spans="1:3" x14ac:dyDescent="0.35">
      <c r="A68" s="43">
        <v>40</v>
      </c>
      <c r="B68" s="44">
        <v>3.95</v>
      </c>
      <c r="C68" s="40" t="s">
        <v>115</v>
      </c>
    </row>
    <row r="69" spans="1:3" x14ac:dyDescent="0.35">
      <c r="A69" s="43">
        <v>41</v>
      </c>
      <c r="B69" s="44">
        <f t="shared" ref="B69:B132" si="1">ROUND(0.252*EXP(0.0691*A69),3)</f>
        <v>4.2839999999999998</v>
      </c>
      <c r="C69" s="40" t="s">
        <v>114</v>
      </c>
    </row>
    <row r="70" spans="1:3" x14ac:dyDescent="0.35">
      <c r="A70" s="43">
        <v>42</v>
      </c>
      <c r="B70" s="44">
        <f t="shared" si="1"/>
        <v>4.59</v>
      </c>
      <c r="C70" s="40" t="s">
        <v>114</v>
      </c>
    </row>
    <row r="71" spans="1:3" x14ac:dyDescent="0.35">
      <c r="A71" s="43">
        <v>43</v>
      </c>
      <c r="B71" s="44">
        <f t="shared" si="1"/>
        <v>4.9180000000000001</v>
      </c>
      <c r="C71" s="40" t="s">
        <v>114</v>
      </c>
    </row>
    <row r="72" spans="1:3" x14ac:dyDescent="0.35">
      <c r="A72" s="43">
        <v>44</v>
      </c>
      <c r="B72" s="44">
        <f t="shared" si="1"/>
        <v>5.27</v>
      </c>
      <c r="C72" s="40" t="s">
        <v>114</v>
      </c>
    </row>
    <row r="73" spans="1:3" x14ac:dyDescent="0.35">
      <c r="A73" s="43">
        <v>45</v>
      </c>
      <c r="B73" s="44">
        <v>5.6</v>
      </c>
      <c r="C73" s="40" t="s">
        <v>115</v>
      </c>
    </row>
    <row r="74" spans="1:3" x14ac:dyDescent="0.35">
      <c r="A74" s="43">
        <v>46</v>
      </c>
      <c r="B74" s="44">
        <f t="shared" si="1"/>
        <v>6.0510000000000002</v>
      </c>
      <c r="C74" s="40" t="s">
        <v>114</v>
      </c>
    </row>
    <row r="75" spans="1:3" x14ac:dyDescent="0.35">
      <c r="A75" s="43">
        <v>47</v>
      </c>
      <c r="B75" s="44">
        <f t="shared" si="1"/>
        <v>6.484</v>
      </c>
      <c r="C75" s="40" t="s">
        <v>114</v>
      </c>
    </row>
    <row r="76" spans="1:3" x14ac:dyDescent="0.35">
      <c r="A76" s="43">
        <v>48</v>
      </c>
      <c r="B76" s="44">
        <f t="shared" si="1"/>
        <v>6.9480000000000004</v>
      </c>
      <c r="C76" s="40" t="s">
        <v>114</v>
      </c>
    </row>
    <row r="77" spans="1:3" x14ac:dyDescent="0.35">
      <c r="A77" s="43">
        <v>49</v>
      </c>
      <c r="B77" s="44">
        <f t="shared" si="1"/>
        <v>7.4450000000000003</v>
      </c>
      <c r="C77" s="40" t="s">
        <v>114</v>
      </c>
    </row>
    <row r="78" spans="1:3" x14ac:dyDescent="0.35">
      <c r="A78" s="43">
        <v>50</v>
      </c>
      <c r="B78" s="44">
        <v>7.85</v>
      </c>
      <c r="C78" s="40" t="s">
        <v>115</v>
      </c>
    </row>
    <row r="79" spans="1:3" x14ac:dyDescent="0.35">
      <c r="A79" s="43">
        <v>51</v>
      </c>
      <c r="B79" s="44">
        <f t="shared" si="1"/>
        <v>8.5489999999999995</v>
      </c>
      <c r="C79" s="40" t="s">
        <v>114</v>
      </c>
    </row>
    <row r="80" spans="1:3" x14ac:dyDescent="0.35">
      <c r="A80" s="43">
        <v>52</v>
      </c>
      <c r="B80" s="44">
        <f t="shared" si="1"/>
        <v>9.16</v>
      </c>
      <c r="C80" s="40" t="s">
        <v>114</v>
      </c>
    </row>
    <row r="81" spans="1:3" x14ac:dyDescent="0.35">
      <c r="A81" s="43">
        <v>53</v>
      </c>
      <c r="B81" s="44">
        <f t="shared" si="1"/>
        <v>9.8160000000000007</v>
      </c>
      <c r="C81" s="40" t="s">
        <v>114</v>
      </c>
    </row>
    <row r="82" spans="1:3" x14ac:dyDescent="0.35">
      <c r="A82" s="43">
        <v>54</v>
      </c>
      <c r="B82" s="44">
        <f t="shared" si="1"/>
        <v>10.518000000000001</v>
      </c>
      <c r="C82" s="40" t="s">
        <v>114</v>
      </c>
    </row>
    <row r="83" spans="1:3" x14ac:dyDescent="0.35">
      <c r="A83" s="43">
        <v>55</v>
      </c>
      <c r="B83" s="44">
        <v>11.2</v>
      </c>
      <c r="C83" s="40" t="s">
        <v>115</v>
      </c>
    </row>
    <row r="84" spans="1:3" x14ac:dyDescent="0.35">
      <c r="A84" s="43">
        <v>56</v>
      </c>
      <c r="B84" s="44">
        <f t="shared" si="1"/>
        <v>12.077</v>
      </c>
      <c r="C84" s="40" t="s">
        <v>114</v>
      </c>
    </row>
    <row r="85" spans="1:3" x14ac:dyDescent="0.35">
      <c r="A85" s="43">
        <v>57</v>
      </c>
      <c r="B85" s="44">
        <f t="shared" si="1"/>
        <v>12.941000000000001</v>
      </c>
      <c r="C85" s="40" t="s">
        <v>114</v>
      </c>
    </row>
    <row r="86" spans="1:3" x14ac:dyDescent="0.35">
      <c r="A86" s="43">
        <v>58</v>
      </c>
      <c r="B86" s="44">
        <f t="shared" si="1"/>
        <v>13.866</v>
      </c>
      <c r="C86" s="40" t="s">
        <v>114</v>
      </c>
    </row>
    <row r="87" spans="1:3" x14ac:dyDescent="0.35">
      <c r="A87" s="43">
        <v>59</v>
      </c>
      <c r="B87" s="44">
        <f t="shared" si="1"/>
        <v>14.859</v>
      </c>
      <c r="C87" s="40" t="s">
        <v>114</v>
      </c>
    </row>
    <row r="88" spans="1:3" x14ac:dyDescent="0.35">
      <c r="A88" s="43">
        <v>60</v>
      </c>
      <c r="B88" s="44">
        <v>15.85</v>
      </c>
      <c r="C88" s="40" t="s">
        <v>115</v>
      </c>
    </row>
    <row r="89" spans="1:3" x14ac:dyDescent="0.35">
      <c r="A89" s="43">
        <v>61</v>
      </c>
      <c r="B89" s="44">
        <f t="shared" si="1"/>
        <v>17.061</v>
      </c>
      <c r="C89" s="40" t="s">
        <v>114</v>
      </c>
    </row>
    <row r="90" spans="1:3" x14ac:dyDescent="0.35">
      <c r="A90" s="43">
        <v>62</v>
      </c>
      <c r="B90" s="44">
        <f t="shared" si="1"/>
        <v>18.280999999999999</v>
      </c>
      <c r="C90" s="40" t="s">
        <v>114</v>
      </c>
    </row>
    <row r="91" spans="1:3" x14ac:dyDescent="0.35">
      <c r="A91" s="43">
        <v>63</v>
      </c>
      <c r="B91" s="44">
        <f t="shared" si="1"/>
        <v>19.588999999999999</v>
      </c>
      <c r="C91" s="40" t="s">
        <v>114</v>
      </c>
    </row>
    <row r="92" spans="1:3" x14ac:dyDescent="0.35">
      <c r="A92" s="43">
        <v>64</v>
      </c>
      <c r="B92" s="44">
        <f t="shared" si="1"/>
        <v>20.991</v>
      </c>
      <c r="C92" s="40" t="s">
        <v>114</v>
      </c>
    </row>
    <row r="93" spans="1:3" x14ac:dyDescent="0.35">
      <c r="A93" s="43">
        <v>65</v>
      </c>
      <c r="B93" s="44">
        <v>22.4</v>
      </c>
      <c r="C93" s="40" t="s">
        <v>115</v>
      </c>
    </row>
    <row r="94" spans="1:3" x14ac:dyDescent="0.35">
      <c r="A94" s="43">
        <v>66</v>
      </c>
      <c r="B94" s="44">
        <f t="shared" si="1"/>
        <v>24.100999999999999</v>
      </c>
      <c r="C94" s="40" t="s">
        <v>114</v>
      </c>
    </row>
    <row r="95" spans="1:3" x14ac:dyDescent="0.35">
      <c r="A95" s="43">
        <v>67</v>
      </c>
      <c r="B95" s="44">
        <f t="shared" si="1"/>
        <v>25.826000000000001</v>
      </c>
      <c r="C95" s="40" t="s">
        <v>114</v>
      </c>
    </row>
    <row r="96" spans="1:3" x14ac:dyDescent="0.35">
      <c r="A96" s="43">
        <v>68</v>
      </c>
      <c r="B96" s="44">
        <f t="shared" si="1"/>
        <v>27.672999999999998</v>
      </c>
      <c r="C96" s="40" t="s">
        <v>114</v>
      </c>
    </row>
    <row r="97" spans="1:3" x14ac:dyDescent="0.35">
      <c r="A97" s="43">
        <v>69</v>
      </c>
      <c r="B97" s="44">
        <f t="shared" si="1"/>
        <v>29.652999999999999</v>
      </c>
      <c r="C97" s="40" t="s">
        <v>114</v>
      </c>
    </row>
    <row r="98" spans="1:3" x14ac:dyDescent="0.35">
      <c r="A98" s="43">
        <v>70</v>
      </c>
      <c r="B98" s="44">
        <v>31.75</v>
      </c>
      <c r="C98" s="40" t="s">
        <v>115</v>
      </c>
    </row>
    <row r="99" spans="1:3" x14ac:dyDescent="0.35">
      <c r="A99" s="43">
        <v>71</v>
      </c>
      <c r="B99" s="44">
        <f t="shared" si="1"/>
        <v>34.048000000000002</v>
      </c>
      <c r="C99" s="40" t="s">
        <v>114</v>
      </c>
    </row>
    <row r="100" spans="1:3" x14ac:dyDescent="0.35">
      <c r="A100" s="43">
        <v>72</v>
      </c>
      <c r="B100" s="44">
        <f t="shared" si="1"/>
        <v>36.484000000000002</v>
      </c>
      <c r="C100" s="40" t="s">
        <v>114</v>
      </c>
    </row>
    <row r="101" spans="1:3" x14ac:dyDescent="0.35">
      <c r="A101" s="43">
        <v>73</v>
      </c>
      <c r="B101" s="44">
        <f t="shared" si="1"/>
        <v>39.094000000000001</v>
      </c>
      <c r="C101" s="40" t="s">
        <v>114</v>
      </c>
    </row>
    <row r="102" spans="1:3" x14ac:dyDescent="0.35">
      <c r="A102" s="43">
        <v>74</v>
      </c>
      <c r="B102" s="44">
        <f t="shared" si="1"/>
        <v>41.890999999999998</v>
      </c>
      <c r="C102" s="40" t="s">
        <v>114</v>
      </c>
    </row>
    <row r="103" spans="1:3" x14ac:dyDescent="0.35">
      <c r="A103" s="43">
        <v>75</v>
      </c>
      <c r="B103" s="44">
        <v>44.7</v>
      </c>
      <c r="C103" s="40" t="s">
        <v>115</v>
      </c>
    </row>
    <row r="104" spans="1:3" x14ac:dyDescent="0.35">
      <c r="A104" s="43">
        <v>76</v>
      </c>
      <c r="B104" s="44">
        <f t="shared" si="1"/>
        <v>48.1</v>
      </c>
      <c r="C104" s="40" t="s">
        <v>114</v>
      </c>
    </row>
    <row r="105" spans="1:3" x14ac:dyDescent="0.35">
      <c r="A105" s="43">
        <v>77</v>
      </c>
      <c r="B105" s="44">
        <f t="shared" si="1"/>
        <v>51.540999999999997</v>
      </c>
      <c r="C105" s="40" t="s">
        <v>114</v>
      </c>
    </row>
    <row r="106" spans="1:3" x14ac:dyDescent="0.35">
      <c r="A106" s="43">
        <v>78</v>
      </c>
      <c r="B106" s="44">
        <f t="shared" si="1"/>
        <v>55.228000000000002</v>
      </c>
      <c r="C106" s="40" t="s">
        <v>114</v>
      </c>
    </row>
    <row r="107" spans="1:3" x14ac:dyDescent="0.35">
      <c r="A107" s="43">
        <v>79</v>
      </c>
      <c r="B107" s="44">
        <f t="shared" si="1"/>
        <v>59.179000000000002</v>
      </c>
      <c r="C107" s="40" t="s">
        <v>114</v>
      </c>
    </row>
    <row r="108" spans="1:3" x14ac:dyDescent="0.35">
      <c r="A108" s="43">
        <v>80</v>
      </c>
      <c r="B108" s="44">
        <v>63.5</v>
      </c>
      <c r="C108" s="40" t="s">
        <v>115</v>
      </c>
    </row>
    <row r="109" spans="1:3" x14ac:dyDescent="0.35">
      <c r="A109" s="43">
        <v>81</v>
      </c>
      <c r="B109" s="44">
        <f t="shared" si="1"/>
        <v>67.95</v>
      </c>
      <c r="C109" s="40" t="s">
        <v>114</v>
      </c>
    </row>
    <row r="110" spans="1:3" x14ac:dyDescent="0.35">
      <c r="A110" s="43">
        <v>82</v>
      </c>
      <c r="B110" s="44">
        <f t="shared" si="1"/>
        <v>72.811000000000007</v>
      </c>
      <c r="C110" s="40" t="s">
        <v>114</v>
      </c>
    </row>
    <row r="111" spans="1:3" x14ac:dyDescent="0.35">
      <c r="A111" s="43">
        <v>83</v>
      </c>
      <c r="B111" s="44">
        <f t="shared" si="1"/>
        <v>78.021000000000001</v>
      </c>
      <c r="C111" s="40" t="s">
        <v>114</v>
      </c>
    </row>
    <row r="112" spans="1:3" x14ac:dyDescent="0.35">
      <c r="A112" s="43">
        <v>84</v>
      </c>
      <c r="B112" s="44">
        <f t="shared" si="1"/>
        <v>83.602999999999994</v>
      </c>
      <c r="C112" s="40" t="s">
        <v>114</v>
      </c>
    </row>
    <row r="113" spans="1:3" x14ac:dyDescent="0.35">
      <c r="A113" s="43">
        <v>85</v>
      </c>
      <c r="B113" s="44">
        <v>89.789000000000001</v>
      </c>
      <c r="C113" s="40" t="s">
        <v>115</v>
      </c>
    </row>
    <row r="114" spans="1:3" x14ac:dyDescent="0.35">
      <c r="A114" s="43">
        <v>86</v>
      </c>
      <c r="B114" s="44">
        <f t="shared" si="1"/>
        <v>95.992999999999995</v>
      </c>
      <c r="C114" s="40" t="s">
        <v>114</v>
      </c>
    </row>
    <row r="115" spans="1:3" x14ac:dyDescent="0.35">
      <c r="A115" s="43">
        <v>87</v>
      </c>
      <c r="B115" s="44">
        <f t="shared" si="1"/>
        <v>102.861</v>
      </c>
      <c r="C115" s="40" t="s">
        <v>114</v>
      </c>
    </row>
    <row r="116" spans="1:3" x14ac:dyDescent="0.35">
      <c r="A116" s="43">
        <v>88</v>
      </c>
      <c r="B116" s="44">
        <f t="shared" si="1"/>
        <v>110.21899999999999</v>
      </c>
      <c r="C116" s="40" t="s">
        <v>114</v>
      </c>
    </row>
    <row r="117" spans="1:3" x14ac:dyDescent="0.35">
      <c r="A117" s="43">
        <v>89</v>
      </c>
      <c r="B117" s="44">
        <f t="shared" si="1"/>
        <v>118.105</v>
      </c>
      <c r="C117" s="40" t="s">
        <v>114</v>
      </c>
    </row>
    <row r="118" spans="1:3" x14ac:dyDescent="0.35">
      <c r="A118" s="43">
        <v>90</v>
      </c>
      <c r="B118" s="44">
        <v>127</v>
      </c>
      <c r="C118" s="40" t="s">
        <v>115</v>
      </c>
    </row>
    <row r="119" spans="1:3" x14ac:dyDescent="0.35">
      <c r="A119" s="43">
        <v>91</v>
      </c>
      <c r="B119" s="44">
        <f t="shared" si="1"/>
        <v>135.60900000000001</v>
      </c>
      <c r="C119" s="40" t="s">
        <v>114</v>
      </c>
    </row>
    <row r="120" spans="1:3" x14ac:dyDescent="0.35">
      <c r="A120" s="43">
        <v>92</v>
      </c>
      <c r="B120" s="44">
        <f t="shared" si="1"/>
        <v>145.31100000000001</v>
      </c>
      <c r="C120" s="40" t="s">
        <v>114</v>
      </c>
    </row>
    <row r="121" spans="1:3" x14ac:dyDescent="0.35">
      <c r="A121" s="43">
        <v>93</v>
      </c>
      <c r="B121" s="44">
        <f t="shared" si="1"/>
        <v>155.70699999999999</v>
      </c>
      <c r="C121" s="40" t="s">
        <v>114</v>
      </c>
    </row>
    <row r="122" spans="1:3" x14ac:dyDescent="0.35">
      <c r="A122" s="43">
        <v>94</v>
      </c>
      <c r="B122" s="44">
        <f t="shared" si="1"/>
        <v>166.846</v>
      </c>
      <c r="C122" s="40" t="s">
        <v>114</v>
      </c>
    </row>
    <row r="123" spans="1:3" x14ac:dyDescent="0.35">
      <c r="A123" s="43">
        <v>95</v>
      </c>
      <c r="B123" s="44">
        <v>180</v>
      </c>
      <c r="C123" s="40" t="s">
        <v>115</v>
      </c>
    </row>
    <row r="124" spans="1:3" x14ac:dyDescent="0.35">
      <c r="A124" s="43">
        <v>96</v>
      </c>
      <c r="B124" s="44">
        <f t="shared" si="1"/>
        <v>191.57400000000001</v>
      </c>
      <c r="C124" s="40" t="s">
        <v>114</v>
      </c>
    </row>
    <row r="125" spans="1:3" x14ac:dyDescent="0.35">
      <c r="A125" s="43">
        <v>97</v>
      </c>
      <c r="B125" s="44">
        <f t="shared" si="1"/>
        <v>205.28</v>
      </c>
      <c r="C125" s="40" t="s">
        <v>114</v>
      </c>
    </row>
    <row r="126" spans="1:3" x14ac:dyDescent="0.35">
      <c r="A126" s="43">
        <v>98</v>
      </c>
      <c r="B126" s="44">
        <f t="shared" si="1"/>
        <v>219.96600000000001</v>
      </c>
      <c r="C126" s="40" t="s">
        <v>114</v>
      </c>
    </row>
    <row r="127" spans="1:3" x14ac:dyDescent="0.35">
      <c r="A127" s="43">
        <v>99</v>
      </c>
      <c r="B127" s="44">
        <f t="shared" si="1"/>
        <v>235.703</v>
      </c>
      <c r="C127" s="40" t="s">
        <v>114</v>
      </c>
    </row>
    <row r="128" spans="1:3" x14ac:dyDescent="0.35">
      <c r="A128" s="43">
        <v>100</v>
      </c>
      <c r="B128" s="44">
        <v>245</v>
      </c>
      <c r="C128" s="40" t="s">
        <v>115</v>
      </c>
    </row>
    <row r="129" spans="1:3" x14ac:dyDescent="0.35">
      <c r="A129" s="43">
        <v>101</v>
      </c>
      <c r="B129" s="44">
        <f t="shared" si="1"/>
        <v>270.63600000000002</v>
      </c>
      <c r="C129" s="40" t="s">
        <v>114</v>
      </c>
    </row>
    <row r="130" spans="1:3" x14ac:dyDescent="0.35">
      <c r="A130" s="43">
        <v>102</v>
      </c>
      <c r="B130" s="44">
        <f t="shared" si="1"/>
        <v>289.99799999999999</v>
      </c>
      <c r="C130" s="40" t="s">
        <v>114</v>
      </c>
    </row>
    <row r="131" spans="1:3" x14ac:dyDescent="0.35">
      <c r="A131" s="43">
        <v>103</v>
      </c>
      <c r="B131" s="44">
        <f t="shared" si="1"/>
        <v>310.745</v>
      </c>
      <c r="C131" s="40" t="s">
        <v>114</v>
      </c>
    </row>
    <row r="132" spans="1:3" x14ac:dyDescent="0.35">
      <c r="A132" s="43">
        <v>104</v>
      </c>
      <c r="B132" s="44">
        <f t="shared" si="1"/>
        <v>332.97699999999998</v>
      </c>
      <c r="C132" s="40" t="s">
        <v>114</v>
      </c>
    </row>
    <row r="133" spans="1:3" x14ac:dyDescent="0.35">
      <c r="A133" s="43">
        <v>105</v>
      </c>
      <c r="B133" s="44">
        <v>359.15</v>
      </c>
      <c r="C133" s="40" t="s">
        <v>115</v>
      </c>
    </row>
    <row r="134" spans="1:3" x14ac:dyDescent="0.35">
      <c r="A134" s="43">
        <v>106</v>
      </c>
      <c r="B134" s="44">
        <f t="shared" ref="B134:B137" si="2">ROUND(0.252*EXP(0.0691*A134),3)</f>
        <v>382.32600000000002</v>
      </c>
      <c r="C134" s="40" t="s">
        <v>114</v>
      </c>
    </row>
    <row r="135" spans="1:3" x14ac:dyDescent="0.35">
      <c r="A135" s="43">
        <v>107</v>
      </c>
      <c r="B135" s="44">
        <f t="shared" si="2"/>
        <v>409.67899999999997</v>
      </c>
      <c r="C135" s="40" t="s">
        <v>114</v>
      </c>
    </row>
    <row r="136" spans="1:3" x14ac:dyDescent="0.35">
      <c r="A136" s="43">
        <v>108</v>
      </c>
      <c r="B136" s="44">
        <f t="shared" si="2"/>
        <v>438.98899999999998</v>
      </c>
      <c r="C136" s="40" t="s">
        <v>114</v>
      </c>
    </row>
    <row r="137" spans="1:3" x14ac:dyDescent="0.35">
      <c r="A137" s="43">
        <v>109</v>
      </c>
      <c r="B137" s="44">
        <f t="shared" si="2"/>
        <v>470.39499999999998</v>
      </c>
      <c r="C137" s="40" t="s">
        <v>114</v>
      </c>
    </row>
    <row r="138" spans="1:3" x14ac:dyDescent="0.35">
      <c r="A138" s="43">
        <v>110</v>
      </c>
      <c r="B138" s="44">
        <v>509</v>
      </c>
      <c r="C138" s="40" t="s">
        <v>115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Test Sheet</vt:lpstr>
      <vt:lpstr>TCF</vt:lpstr>
      <vt:lpstr>'Test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Rodgers</dc:creator>
  <cp:lastModifiedBy>Ethan Thoenes</cp:lastModifiedBy>
  <cp:lastPrinted>2024-12-03T21:22:19Z</cp:lastPrinted>
  <dcterms:created xsi:type="dcterms:W3CDTF">2009-06-02T15:38:13Z</dcterms:created>
  <dcterms:modified xsi:type="dcterms:W3CDTF">2026-02-09T17:38:15Z</dcterms:modified>
</cp:coreProperties>
</file>
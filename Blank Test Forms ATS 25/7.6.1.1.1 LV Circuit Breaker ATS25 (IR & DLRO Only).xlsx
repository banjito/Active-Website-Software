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 sheetId="1" r:id="rId4"/>
  </sheets>
  <definedNames/>
  <calcPr/>
  <extLst>
    <ext uri="GoogleSheetsCustomDataVersion2">
      <go:sheetsCustomData xmlns:go="http://customooxmlschemas.google.com/" r:id="rId5" roundtripDataChecksum="5Re+Z+GPXoNpmr7Mkxu4Iv8fHsjYSA3d6irD2udRVqI="/>
    </ext>
  </extLst>
</workbook>
</file>

<file path=xl/sharedStrings.xml><?xml version="1.0" encoding="utf-8"?>
<sst xmlns="http://schemas.openxmlformats.org/spreadsheetml/2006/main" count="176" uniqueCount="156">
  <si>
    <t>Customer</t>
  </si>
  <si>
    <t>Job #</t>
  </si>
  <si>
    <t>PASS</t>
  </si>
  <si>
    <t>Address</t>
  </si>
  <si>
    <t>Technicians</t>
  </si>
  <si>
    <t>User</t>
  </si>
  <si>
    <t>Substation</t>
  </si>
  <si>
    <t>Date</t>
  </si>
  <si>
    <t>Temp.</t>
  </si>
  <si>
    <t>°F</t>
  </si>
  <si>
    <t>°C</t>
  </si>
  <si>
    <t>Humidity</t>
  </si>
  <si>
    <t>%</t>
  </si>
  <si>
    <t>Eqpt. Identifer</t>
  </si>
  <si>
    <t>Breaker Identifier</t>
  </si>
  <si>
    <t>Circuit / Cell No.</t>
  </si>
  <si>
    <t>Nameplate Data</t>
  </si>
  <si>
    <t>Manufacturer</t>
  </si>
  <si>
    <t>Frame Size (A)</t>
  </si>
  <si>
    <t>Curve No.</t>
  </si>
  <si>
    <t>Catalog Number</t>
  </si>
  <si>
    <t>Rating Plug (A)</t>
  </si>
  <si>
    <t>Operation</t>
  </si>
  <si>
    <t>Over-Center Handle</t>
  </si>
  <si>
    <t>Serial Number</t>
  </si>
  <si>
    <t>Rated Voltage (V)</t>
  </si>
  <si>
    <t>Mounting</t>
  </si>
  <si>
    <t>Bolt-In</t>
  </si>
  <si>
    <t>Breaker Type</t>
  </si>
  <si>
    <t>Operating Voltage (V)</t>
  </si>
  <si>
    <t>Zone Interlock</t>
  </si>
  <si>
    <t>Yes</t>
  </si>
  <si>
    <t>Trip Unit Type</t>
  </si>
  <si>
    <t>I.C. Rating (kA)</t>
  </si>
  <si>
    <t>Thermal Memory</t>
  </si>
  <si>
    <t>Visual and Mechanical Inspection</t>
  </si>
  <si>
    <t>NETA Section</t>
  </si>
  <si>
    <t>Results</t>
  </si>
  <si>
    <t>7.6.1.1.1.A.1</t>
  </si>
  <si>
    <t>Compare equipment nameplate data with drawings.</t>
  </si>
  <si>
    <t>7.6.1.1.1.A.2</t>
  </si>
  <si>
    <t>Inspect physical and mechanical condition.</t>
  </si>
  <si>
    <t>7.6.1.1.1.A.3</t>
  </si>
  <si>
    <t>Verify the unit is clean.</t>
  </si>
  <si>
    <t>7.6.1.1.1.A.4</t>
  </si>
  <si>
    <t>Operate the circuit breaker to ensure smooth operation.</t>
  </si>
  <si>
    <t>7.6.1.1.1.A.5</t>
  </si>
  <si>
    <t>Verify tightness of accessible bolted electrical connections by calibrated torque-wrench method. Torque values shall be in accordance with manufacturer’s published data. In the absence of manufacturer’s data, use Table 100.12.</t>
  </si>
  <si>
    <t>7.6.1.1.1.A.6</t>
  </si>
  <si>
    <t>Perform adjustments for final protective device settings in accordance with the coordination study.</t>
  </si>
  <si>
    <t>7.6.1.1.1.A.7</t>
  </si>
  <si>
    <t>*Perform thermographic survey in accordance with Section 9.</t>
  </si>
  <si>
    <t>Device Settings</t>
  </si>
  <si>
    <t>Trip Type:</t>
  </si>
  <si>
    <t>LI</t>
  </si>
  <si>
    <t>Settings As Found</t>
  </si>
  <si>
    <t>Settings As Left</t>
  </si>
  <si>
    <t>Function</t>
  </si>
  <si>
    <t>Setting</t>
  </si>
  <si>
    <t>Delay</t>
  </si>
  <si>
    <r>
      <rPr>
        <rFont val="Calibri"/>
        <color theme="1"/>
        <sz val="10.0"/>
      </rPr>
      <t>I</t>
    </r>
    <r>
      <rPr>
        <rFont val="Calibri"/>
        <color theme="1"/>
        <sz val="10.0"/>
        <vertAlign val="superscript"/>
      </rPr>
      <t>2</t>
    </r>
    <r>
      <rPr>
        <rFont val="Calibri"/>
        <color theme="1"/>
        <sz val="10.0"/>
      </rPr>
      <t>t</t>
    </r>
  </si>
  <si>
    <r>
      <rPr>
        <rFont val="Calibri"/>
        <color theme="1"/>
        <sz val="10.0"/>
      </rPr>
      <t>I</t>
    </r>
    <r>
      <rPr>
        <rFont val="Calibri"/>
        <color theme="1"/>
        <sz val="10.0"/>
        <vertAlign val="superscript"/>
      </rPr>
      <t>2</t>
    </r>
    <r>
      <rPr>
        <rFont val="Calibri"/>
        <color theme="1"/>
        <sz val="10.0"/>
      </rPr>
      <t>t</t>
    </r>
  </si>
  <si>
    <t>Coordination Study</t>
  </si>
  <si>
    <t>No./ID.</t>
  </si>
  <si>
    <t>Rev.</t>
  </si>
  <si>
    <t>Instantaneous</t>
  </si>
  <si>
    <t>Ground Fault</t>
  </si>
  <si>
    <t>Electrical Tests - Contact/Pole Resistance</t>
  </si>
  <si>
    <t>Resistance Measurements</t>
  </si>
  <si>
    <t>Value Deviation</t>
  </si>
  <si>
    <t>Result</t>
  </si>
  <si>
    <t>Pole 1</t>
  </si>
  <si>
    <t>Pole 2</t>
  </si>
  <si>
    <t>Pole 3</t>
  </si>
  <si>
    <t>Units</t>
  </si>
  <si>
    <t>Measured</t>
  </si>
  <si>
    <t>Criteria</t>
  </si>
  <si>
    <t>µΩ</t>
  </si>
  <si>
    <t>&lt;50%</t>
  </si>
  <si>
    <t>Electrical Tests - Insulation Resistance</t>
  </si>
  <si>
    <t>Insulation Temperature (°F):</t>
  </si>
  <si>
    <t>Test Voltage (V):</t>
  </si>
  <si>
    <t>Temperature Correction Factor:</t>
  </si>
  <si>
    <t>Test Duration:</t>
  </si>
  <si>
    <t>1 min</t>
  </si>
  <si>
    <t>Test Points</t>
  </si>
  <si>
    <t>Breaker Position</t>
  </si>
  <si>
    <t>Measured Values</t>
  </si>
  <si>
    <t>Temperature Corrected</t>
  </si>
  <si>
    <t>Table 100.1 Criteria</t>
  </si>
  <si>
    <t>P1 (P1-P2)</t>
  </si>
  <si>
    <t>P2 (P2-P3)</t>
  </si>
  <si>
    <t>P3 (P3-P1)</t>
  </si>
  <si>
    <t>Value</t>
  </si>
  <si>
    <t>Pole to Pole</t>
  </si>
  <si>
    <t>Closed</t>
  </si>
  <si>
    <t>MΩ</t>
  </si>
  <si>
    <t>≥</t>
  </si>
  <si>
    <t>Pole to Frame</t>
  </si>
  <si>
    <t>Line to Load</t>
  </si>
  <si>
    <t>Open</t>
  </si>
  <si>
    <t>&gt;</t>
  </si>
  <si>
    <t>Test Equipment Used</t>
  </si>
  <si>
    <t>Digital Low-Resistance Ohmmeter:</t>
  </si>
  <si>
    <t>Serial Number:</t>
  </si>
  <si>
    <t>AMP ID:</t>
  </si>
  <si>
    <t>Megohmmeter:</t>
  </si>
  <si>
    <t>Comments:</t>
  </si>
  <si>
    <t>Function Legend:</t>
  </si>
  <si>
    <t>LTD</t>
  </si>
  <si>
    <t>Long Time Delay</t>
  </si>
  <si>
    <t>INST-D</t>
  </si>
  <si>
    <t>Instantaneous Delay</t>
  </si>
  <si>
    <t>Thermal</t>
  </si>
  <si>
    <t xml:space="preserve">Overload protection element </t>
  </si>
  <si>
    <t>LTPU</t>
  </si>
  <si>
    <t>Long Time Pick-up</t>
  </si>
  <si>
    <t>INST-PU</t>
  </si>
  <si>
    <t>Instantaneous Pick-up</t>
  </si>
  <si>
    <t>Magnetic</t>
  </si>
  <si>
    <t>Short circuit protection element</t>
  </si>
  <si>
    <t>STD</t>
  </si>
  <si>
    <t>Short Time Delay</t>
  </si>
  <si>
    <t>GFD</t>
  </si>
  <si>
    <t>Ground Fault Delay</t>
  </si>
  <si>
    <t>STPU</t>
  </si>
  <si>
    <t>Short Time Pick-up</t>
  </si>
  <si>
    <t>GFPU</t>
  </si>
  <si>
    <t>Ground Fault Pick-up</t>
  </si>
  <si>
    <t>Trip Type Legend:</t>
  </si>
  <si>
    <t>Long-Time, Instantaneous</t>
  </si>
  <si>
    <t>TMF</t>
  </si>
  <si>
    <t>Fixed Thermal, Fixed Magnetic</t>
  </si>
  <si>
    <t>LS</t>
  </si>
  <si>
    <t>Long Time, Short Time</t>
  </si>
  <si>
    <t>TMD</t>
  </si>
  <si>
    <t>AdjustableThermal, Fixed Magnetic</t>
  </si>
  <si>
    <t>LSI</t>
  </si>
  <si>
    <t xml:space="preserve">Long Time, Short Time, </t>
  </si>
  <si>
    <t>TMA</t>
  </si>
  <si>
    <t>Fixed Thermal, Adjustable Magnetic</t>
  </si>
  <si>
    <t>LIG</t>
  </si>
  <si>
    <t>Long Time, Instantaneous, Ground Fault</t>
  </si>
  <si>
    <t>TF</t>
  </si>
  <si>
    <t>Fixed Thermal</t>
  </si>
  <si>
    <t>LSG</t>
  </si>
  <si>
    <t>Long Time, Short Time, Ground Fault</t>
  </si>
  <si>
    <t>TA</t>
  </si>
  <si>
    <t>Adjustable Thermal</t>
  </si>
  <si>
    <t>LSIG</t>
  </si>
  <si>
    <t>Long Time, Short Time, Instantaneous, Ground Fault</t>
  </si>
  <si>
    <t>MF</t>
  </si>
  <si>
    <t>Fixed Magnetic</t>
  </si>
  <si>
    <t>G</t>
  </si>
  <si>
    <t>MA</t>
  </si>
  <si>
    <t>Adjustable Magnetic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</si>
</sst>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theme="1"/>
      <name val="Calibri"/>
      <scheme val="minor"/>
    </font>
    <font>
      <sz val="10.0"/>
      <color theme="1"/>
      <name val="Calibri"/>
    </font>
    <font/>
    <font>
      <sz val="9.0"/>
      <color theme="1"/>
      <name val="Calibri"/>
    </font>
    <font>
      <b/>
      <sz val="9.0"/>
      <color theme="1"/>
      <name val="Calibri"/>
    </font>
    <font>
      <b/>
      <sz val="11.0"/>
      <color theme="1"/>
      <name val="Calibri"/>
    </font>
    <font>
      <b/>
      <u/>
      <sz val="10.0"/>
      <color rgb="FF351D13"/>
      <name val="Calibri"/>
    </font>
    <font>
      <b/>
      <sz val="10.0"/>
      <color rgb="FF663300"/>
      <name val="Calibri"/>
    </font>
    <font>
      <b/>
      <sz val="10.0"/>
      <color theme="1"/>
      <name val="Calibri"/>
    </font>
    <font>
      <b/>
      <u/>
      <sz val="10.0"/>
      <color theme="1"/>
      <name val="Calibri"/>
    </font>
    <font>
      <sz val="11.0"/>
      <color theme="1"/>
      <name val="Calibri"/>
    </font>
    <font>
      <sz val="8.0"/>
      <color theme="1"/>
      <name val="Calibri"/>
    </font>
    <font>
      <b/>
      <u/>
      <sz val="10.0"/>
      <color rgb="FF351D13"/>
      <name val="Calibri"/>
    </font>
    <font>
      <b/>
      <u/>
      <sz val="9.0"/>
      <color rgb="FF351D13"/>
      <name val="Calibri"/>
    </font>
  </fonts>
  <fills count="4">
    <fill>
      <patternFill patternType="none"/>
    </fill>
    <fill>
      <patternFill patternType="lightGray"/>
    </fill>
    <fill>
      <patternFill patternType="solid">
        <fgColor theme="0"/>
        <bgColor theme="0"/>
      </patternFill>
    </fill>
    <fill>
      <patternFill patternType="solid">
        <fgColor rgb="FFD8D8D8"/>
        <bgColor rgb="FFD8D8D8"/>
      </patternFill>
    </fill>
  </fills>
  <borders count="45">
    <border/>
    <border>
      <left/>
      <top style="medium">
        <color rgb="FFDAB56C"/>
      </top>
      <bottom/>
    </border>
    <border>
      <top style="medium">
        <color rgb="FFDAB56C"/>
      </top>
      <bottom/>
    </border>
    <border>
      <right/>
      <top style="medium">
        <color rgb="FFDAB56C"/>
      </top>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top/>
      <bottom/>
    </border>
    <border>
      <left/>
      <top/>
    </border>
    <border>
      <top/>
    </border>
    <border>
      <right/>
      <top/>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border>
    <border>
      <right/>
    </border>
    <border>
      <left/>
      <bottom/>
    </border>
    <border>
      <bottom/>
    </border>
    <border>
      <right/>
      <bottom/>
    </border>
    <border>
      <left/>
      <top/>
      <bottom style="thin">
        <color theme="1"/>
      </bottom>
    </border>
    <border>
      <right/>
      <top/>
      <bottom style="thin">
        <color theme="1"/>
      </bottom>
    </border>
    <border>
      <left/>
      <right/>
      <top style="thin">
        <color rgb="FF000000"/>
      </top>
      <bottom style="thin">
        <color theme="1"/>
      </bottom>
    </border>
    <border>
      <top/>
      <bottom style="thin">
        <color theme="1"/>
      </bottom>
    </border>
    <border>
      <left/>
      <top style="thin">
        <color theme="1"/>
      </top>
      <bottom style="thin">
        <color theme="1"/>
      </bottom>
    </border>
    <border>
      <top style="thin">
        <color theme="1"/>
      </top>
      <bottom style="thin">
        <color theme="1"/>
      </bottom>
    </border>
    <border>
      <right/>
      <top style="thin">
        <color theme="1"/>
      </top>
      <bottom style="thin">
        <color theme="1"/>
      </bottom>
    </border>
    <border>
      <left/>
      <right/>
      <top/>
      <bottom style="medium">
        <color rgb="FFDAB56C"/>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medium">
        <color rgb="FFDAB56C"/>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top style="medium">
        <color rgb="FFDAB56C"/>
      </top>
      <bottom/>
    </border>
    <border>
      <left/>
      <right/>
      <top/>
      <bottom style="thin">
        <color rgb="FF000000"/>
      </bottom>
    </border>
    <border>
      <right/>
      <top style="thin">
        <color rgb="FF000000"/>
      </top>
    </border>
    <border>
      <left style="thin">
        <color rgb="FF000000"/>
      </left>
      <right/>
      <top style="thin">
        <color rgb="FF000000"/>
      </top>
      <bottom style="thin">
        <color rgb="FF000000"/>
      </bottom>
    </border>
    <border>
      <right/>
      <bottom style="thin">
        <color rgb="FF000000"/>
      </bottom>
    </border>
    <border>
      <left style="thin">
        <color rgb="FF000000"/>
      </left>
      <right/>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1" numFmtId="0" xfId="0" applyAlignment="1" applyFont="1">
      <alignment vertical="center"/>
    </xf>
    <xf borderId="4" fillId="2" fontId="3" numFmtId="0" xfId="0" applyAlignment="1" applyBorder="1" applyFont="1">
      <alignment vertical="center"/>
    </xf>
    <xf borderId="5" fillId="0" fontId="2" numFmtId="0" xfId="0" applyBorder="1" applyFont="1"/>
    <xf borderId="6" fillId="0" fontId="2" numFmtId="0" xfId="0" applyBorder="1" applyFont="1"/>
    <xf borderId="7" fillId="2" fontId="3" numFmtId="49" xfId="0" applyAlignment="1" applyBorder="1" applyFont="1" applyNumberFormat="1">
      <alignment horizontal="center" vertical="center"/>
    </xf>
    <xf borderId="8" fillId="0" fontId="2" numFmtId="0" xfId="0" applyBorder="1" applyFont="1"/>
    <xf borderId="9" fillId="0" fontId="2" numFmtId="0" xfId="0" applyBorder="1" applyFont="1"/>
    <xf borderId="10" fillId="2" fontId="4" numFmtId="0" xfId="0" applyAlignment="1" applyBorder="1" applyFont="1">
      <alignment vertical="center"/>
    </xf>
    <xf borderId="4" fillId="2" fontId="3" numFmtId="0" xfId="0" applyAlignment="1" applyBorder="1" applyFont="1">
      <alignment horizontal="left" vertical="center"/>
    </xf>
    <xf borderId="10" fillId="2" fontId="3" numFmtId="0" xfId="0" applyAlignment="1" applyBorder="1" applyFont="1">
      <alignment vertical="center"/>
    </xf>
    <xf borderId="11" fillId="2" fontId="5"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2" fontId="3" numFmtId="49" xfId="0" applyAlignment="1" applyBorder="1" applyFont="1" applyNumberFormat="1">
      <alignment vertical="center"/>
    </xf>
    <xf borderId="15" fillId="0" fontId="2" numFmtId="0" xfId="0" applyBorder="1" applyFont="1"/>
    <xf borderId="16" fillId="0" fontId="2" numFmtId="0" xfId="0" applyBorder="1" applyFont="1"/>
    <xf borderId="14" fillId="2" fontId="3" numFmtId="49" xfId="0" applyAlignment="1" applyBorder="1" applyFont="1" applyNumberFormat="1">
      <alignment horizontal="center"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7" fillId="2" fontId="3" numFmtId="14" xfId="0" applyAlignment="1" applyBorder="1" applyFont="1" applyNumberFormat="1">
      <alignment horizontal="center" vertical="center"/>
    </xf>
    <xf borderId="4" fillId="2" fontId="3" numFmtId="0" xfId="0" applyAlignment="1" applyBorder="1" applyFont="1">
      <alignment horizontal="center" vertical="center"/>
    </xf>
    <xf borderId="7" fillId="2" fontId="3" numFmtId="0" xfId="0" applyAlignment="1" applyBorder="1" applyFont="1">
      <alignment horizontal="center" vertical="center"/>
    </xf>
    <xf borderId="22" fillId="2" fontId="3" numFmtId="0" xfId="0" applyAlignment="1" applyBorder="1" applyFont="1">
      <alignment horizontal="center" vertical="center"/>
    </xf>
    <xf borderId="23" fillId="0" fontId="2" numFmtId="0" xfId="0" applyBorder="1" applyFont="1"/>
    <xf borderId="4" fillId="2" fontId="3" numFmtId="0" xfId="0" applyAlignment="1" applyBorder="1" applyFont="1">
      <alignment horizontal="right" vertical="center"/>
    </xf>
    <xf borderId="24" fillId="2" fontId="3" numFmtId="49" xfId="0" applyAlignment="1" applyBorder="1" applyFont="1" applyNumberFormat="1">
      <alignment horizontal="center" vertical="center"/>
    </xf>
    <xf borderId="24" fillId="2" fontId="3" numFmtId="0" xfId="0" applyAlignment="1" applyBorder="1" applyFont="1">
      <alignment horizontal="center" vertical="center"/>
    </xf>
    <xf borderId="22" fillId="2" fontId="3" numFmtId="49" xfId="0" applyAlignment="1" applyBorder="1" applyFont="1" applyNumberFormat="1">
      <alignment horizontal="center" vertical="center"/>
    </xf>
    <xf borderId="25" fillId="0" fontId="2" numFmtId="0" xfId="0" applyBorder="1" applyFont="1"/>
    <xf borderId="26" fillId="2" fontId="3" numFmtId="49" xfId="0" applyAlignment="1" applyBorder="1" applyFont="1" applyNumberFormat="1">
      <alignment horizontal="center" vertical="center"/>
    </xf>
    <xf borderId="27" fillId="0" fontId="2" numFmtId="0" xfId="0" applyBorder="1" applyFont="1"/>
    <xf borderId="28" fillId="0" fontId="2" numFmtId="0" xfId="0" applyBorder="1" applyFont="1"/>
    <xf borderId="29" fillId="2" fontId="1" numFmtId="0" xfId="0" applyAlignment="1" applyBorder="1" applyFont="1">
      <alignment vertical="center"/>
    </xf>
    <xf borderId="10" fillId="2" fontId="6" numFmtId="0" xfId="0" applyAlignment="1" applyBorder="1" applyFont="1">
      <alignment vertical="center"/>
    </xf>
    <xf borderId="10" fillId="2" fontId="7" numFmtId="0" xfId="0" applyAlignment="1" applyBorder="1" applyFont="1">
      <alignment vertical="center"/>
    </xf>
    <xf borderId="10" fillId="2" fontId="8" numFmtId="0" xfId="0" applyAlignment="1" applyBorder="1" applyFont="1">
      <alignment vertical="center"/>
    </xf>
    <xf borderId="10" fillId="2" fontId="1" numFmtId="0" xfId="0" applyAlignment="1" applyBorder="1" applyFont="1">
      <alignment horizontal="center" vertical="center"/>
    </xf>
    <xf borderId="10" fillId="2" fontId="1" numFmtId="0" xfId="0" applyAlignment="1" applyBorder="1" applyFont="1">
      <alignment vertical="center"/>
    </xf>
    <xf borderId="10" fillId="2" fontId="1" numFmtId="49" xfId="0" applyAlignment="1" applyBorder="1" applyFont="1" applyNumberFormat="1">
      <alignment horizontal="center" vertical="center"/>
    </xf>
    <xf borderId="10" fillId="2" fontId="8" numFmtId="0" xfId="0" applyAlignment="1" applyBorder="1" applyFont="1">
      <alignment horizontal="left" vertical="center"/>
    </xf>
    <xf borderId="7" fillId="2" fontId="3" numFmtId="49" xfId="0" applyAlignment="1" applyBorder="1" applyFont="1" applyNumberFormat="1">
      <alignment vertical="center"/>
    </xf>
    <xf borderId="0" fillId="0" fontId="3" numFmtId="0" xfId="0" applyAlignment="1" applyFont="1">
      <alignment vertical="center"/>
    </xf>
    <xf borderId="30" fillId="0" fontId="3" numFmtId="49" xfId="0" applyAlignment="1" applyBorder="1" applyFont="1" applyNumberFormat="1">
      <alignment horizontal="center" readingOrder="0" vertical="center"/>
    </xf>
    <xf borderId="30" fillId="0" fontId="2" numFmtId="0" xfId="0" applyBorder="1" applyFont="1"/>
    <xf borderId="15" fillId="0" fontId="3" numFmtId="0" xfId="0" applyAlignment="1" applyBorder="1" applyFont="1">
      <alignment horizontal="center" readingOrder="0" vertical="center"/>
    </xf>
    <xf borderId="15" fillId="0" fontId="3" numFmtId="0" xfId="0" applyAlignment="1" applyBorder="1" applyFont="1">
      <alignment readingOrder="0" vertical="center"/>
    </xf>
    <xf borderId="15" fillId="0" fontId="3" numFmtId="0" xfId="0" applyAlignment="1" applyBorder="1" applyFont="1">
      <alignment horizontal="center" vertical="center"/>
    </xf>
    <xf borderId="15" fillId="0" fontId="1" numFmtId="0" xfId="0" applyAlignment="1" applyBorder="1" applyFont="1">
      <alignment horizontal="center"/>
    </xf>
    <xf borderId="10" fillId="2" fontId="3" numFmtId="49" xfId="0" applyAlignment="1" applyBorder="1" applyFont="1" applyNumberFormat="1">
      <alignment vertical="center"/>
    </xf>
    <xf borderId="10" fillId="2" fontId="3" numFmtId="0" xfId="0" applyAlignment="1" applyBorder="1" applyFont="1">
      <alignment horizontal="left" vertical="center"/>
    </xf>
    <xf borderId="0" fillId="0" fontId="1" numFmtId="0" xfId="0" applyAlignment="1" applyFont="1">
      <alignment horizontal="center"/>
    </xf>
    <xf borderId="10" fillId="2" fontId="9" numFmtId="0" xfId="0" applyAlignment="1" applyBorder="1" applyFont="1">
      <alignment vertical="center"/>
    </xf>
    <xf borderId="10" fillId="2" fontId="1" numFmtId="0" xfId="0" applyAlignment="1" applyBorder="1" applyFont="1">
      <alignment horizontal="left" vertical="center"/>
    </xf>
    <xf borderId="10" fillId="2" fontId="1" numFmtId="0" xfId="0" applyAlignment="1" applyBorder="1" applyFont="1">
      <alignment horizontal="right" vertical="center"/>
    </xf>
    <xf borderId="31" fillId="2" fontId="3" numFmtId="0" xfId="0" applyAlignment="1" applyBorder="1" applyFont="1">
      <alignment vertical="center"/>
    </xf>
    <xf borderId="32" fillId="0" fontId="2" numFmtId="0" xfId="0" applyBorder="1" applyFont="1"/>
    <xf borderId="31" fillId="2" fontId="3" numFmtId="0" xfId="0" applyAlignment="1" applyBorder="1" applyFont="1">
      <alignment horizontal="center" vertical="center"/>
    </xf>
    <xf borderId="31" fillId="2" fontId="3" numFmtId="0" xfId="0" applyAlignment="1" applyBorder="1" applyFont="1">
      <alignment shrinkToFit="0" vertical="center" wrapText="1"/>
    </xf>
    <xf borderId="10" fillId="2" fontId="3" numFmtId="0" xfId="0" applyAlignment="1" applyBorder="1" applyFont="1">
      <alignment shrinkToFit="0" vertical="center" wrapText="1"/>
    </xf>
    <xf borderId="10" fillId="2" fontId="3" numFmtId="0" xfId="0" applyAlignment="1" applyBorder="1" applyFont="1">
      <alignment horizontal="center" vertical="center"/>
    </xf>
    <xf borderId="0" fillId="0" fontId="10" numFmtId="0" xfId="0" applyAlignment="1" applyFont="1">
      <alignment horizontal="center" vertical="center"/>
    </xf>
    <xf borderId="33" fillId="0" fontId="1" numFmtId="0" xfId="0" applyAlignment="1" applyBorder="1" applyFont="1">
      <alignment vertical="center"/>
    </xf>
    <xf borderId="29" fillId="2" fontId="1" numFmtId="0" xfId="0" applyAlignment="1" applyBorder="1" applyFont="1">
      <alignment horizontal="left" vertical="center"/>
    </xf>
    <xf borderId="29" fillId="2" fontId="3" numFmtId="0" xfId="0" applyAlignment="1" applyBorder="1" applyFont="1">
      <alignment horizontal="left" shrinkToFit="0" vertical="center" wrapText="1"/>
    </xf>
    <xf borderId="29" fillId="2" fontId="3" numFmtId="0" xfId="0" applyAlignment="1" applyBorder="1" applyFont="1">
      <alignment vertical="center"/>
    </xf>
    <xf borderId="31" fillId="0" fontId="1" numFmtId="0" xfId="0" applyAlignment="1" applyBorder="1" applyFont="1">
      <alignment horizontal="center" vertical="center"/>
    </xf>
    <xf borderId="31" fillId="0" fontId="1" numFmtId="0" xfId="0" applyAlignment="1" applyBorder="1" applyFont="1">
      <alignment horizontal="center" readingOrder="0" vertical="center"/>
    </xf>
    <xf borderId="31" fillId="0" fontId="1" numFmtId="0" xfId="0" applyAlignment="1" applyBorder="1" applyFont="1">
      <alignment horizontal="center"/>
    </xf>
    <xf borderId="31" fillId="0" fontId="1" numFmtId="49" xfId="0" applyAlignment="1" applyBorder="1" applyFont="1" applyNumberFormat="1">
      <alignment horizontal="center" vertical="center"/>
    </xf>
    <xf borderId="31" fillId="3" fontId="1" numFmtId="49" xfId="0" applyAlignment="1" applyBorder="1" applyFill="1" applyFont="1" applyNumberFormat="1">
      <alignment horizontal="center" vertical="center"/>
    </xf>
    <xf borderId="34" fillId="0" fontId="1" numFmtId="0" xfId="0" applyAlignment="1" applyBorder="1" applyFont="1">
      <alignment horizontal="center" vertical="center"/>
    </xf>
    <xf borderId="35" fillId="0" fontId="2" numFmtId="0" xfId="0" applyBorder="1" applyFont="1"/>
    <xf borderId="10" fillId="2" fontId="1" numFmtId="0" xfId="0" applyAlignment="1" applyBorder="1" applyFont="1">
      <alignment shrinkToFit="0" vertical="center" wrapText="1"/>
    </xf>
    <xf borderId="31" fillId="2" fontId="1" numFmtId="0" xfId="0" applyAlignment="1" applyBorder="1" applyFont="1">
      <alignment horizontal="center" vertical="center"/>
    </xf>
    <xf borderId="29" fillId="2" fontId="1" numFmtId="0" xfId="0" applyAlignment="1" applyBorder="1" applyFont="1">
      <alignment horizontal="center" vertical="center"/>
    </xf>
    <xf borderId="31" fillId="0" fontId="1" numFmtId="0" xfId="0" applyAlignment="1" applyBorder="1" applyFont="1">
      <alignment horizontal="center" shrinkToFit="0" vertical="center" wrapText="1"/>
    </xf>
    <xf borderId="0" fillId="0" fontId="1" numFmtId="0" xfId="0" applyAlignment="1" applyFont="1">
      <alignment horizontal="center" vertical="center"/>
    </xf>
    <xf borderId="36" fillId="2" fontId="1" numFmtId="0" xfId="0" applyAlignment="1" applyBorder="1" applyFont="1">
      <alignment horizontal="center" shrinkToFit="0" vertical="center" wrapText="1"/>
    </xf>
    <xf borderId="37" fillId="0" fontId="2" numFmtId="0" xfId="0" applyBorder="1" applyFont="1"/>
    <xf borderId="38" fillId="0" fontId="2" numFmtId="0" xfId="0" applyBorder="1" applyFont="1"/>
    <xf borderId="31" fillId="2" fontId="1" numFmtId="10" xfId="0" applyAlignment="1" applyBorder="1" applyFont="1" applyNumberFormat="1">
      <alignment horizontal="center" vertical="center"/>
    </xf>
    <xf borderId="34" fillId="0" fontId="2" numFmtId="0" xfId="0" applyBorder="1" applyFont="1"/>
    <xf borderId="10" fillId="2" fontId="1" numFmtId="10" xfId="0" applyAlignment="1" applyBorder="1" applyFont="1" applyNumberFormat="1">
      <alignment horizontal="center" vertical="center"/>
    </xf>
    <xf borderId="10" fillId="2" fontId="1" numFmtId="0" xfId="0" applyAlignment="1" applyBorder="1" applyFont="1">
      <alignment horizontal="center" shrinkToFit="0" vertical="center" wrapText="1"/>
    </xf>
    <xf borderId="39" fillId="2" fontId="1" numFmtId="0" xfId="0" applyAlignment="1" applyBorder="1" applyFont="1">
      <alignment vertical="center"/>
    </xf>
    <xf borderId="31" fillId="0" fontId="3" numFmtId="0" xfId="0" applyAlignment="1" applyBorder="1" applyFont="1">
      <alignment horizontal="right" vertical="center"/>
    </xf>
    <xf borderId="31" fillId="0" fontId="3" numFmtId="0" xfId="0" applyAlignment="1" applyBorder="1" applyFont="1">
      <alignment horizontal="center" vertical="center"/>
    </xf>
    <xf borderId="31" fillId="2" fontId="3" numFmtId="0" xfId="0" applyAlignment="1" applyBorder="1" applyFont="1">
      <alignment horizontal="right" vertical="center"/>
    </xf>
    <xf borderId="36" fillId="0" fontId="3" numFmtId="0" xfId="0" applyAlignment="1" applyBorder="1" applyFont="1">
      <alignment horizontal="center" vertical="center"/>
    </xf>
    <xf borderId="36" fillId="0" fontId="3" numFmtId="0" xfId="0" applyAlignment="1" applyBorder="1" applyFont="1">
      <alignment horizontal="center" shrinkToFit="0" vertical="center" wrapText="1"/>
    </xf>
    <xf borderId="40" fillId="2" fontId="3" numFmtId="0" xfId="0" applyAlignment="1" applyBorder="1" applyFont="1">
      <alignment vertical="center"/>
    </xf>
    <xf borderId="31" fillId="0" fontId="11" numFmtId="0" xfId="0" applyAlignment="1" applyBorder="1" applyFont="1">
      <alignment horizontal="center" vertical="center"/>
    </xf>
    <xf borderId="36" fillId="0" fontId="3" numFmtId="49" xfId="0" applyAlignment="1" applyBorder="1" applyFont="1" applyNumberFormat="1">
      <alignment horizontal="center" vertical="center"/>
    </xf>
    <xf borderId="34" fillId="0" fontId="3" numFmtId="0" xfId="0" applyAlignment="1" applyBorder="1" applyFont="1">
      <alignment horizontal="center" vertical="center"/>
    </xf>
    <xf borderId="36" fillId="2" fontId="3" numFmtId="0" xfId="0" applyAlignment="1" applyBorder="1" applyFont="1">
      <alignment horizontal="center" vertical="center"/>
    </xf>
    <xf borderId="41" fillId="0" fontId="2" numFmtId="0" xfId="0" applyBorder="1" applyFont="1"/>
    <xf borderId="42" fillId="2" fontId="3" numFmtId="49" xfId="0" applyAlignment="1" applyBorder="1" applyFont="1" applyNumberFormat="1">
      <alignment horizontal="right" vertical="center"/>
    </xf>
    <xf borderId="14" fillId="2" fontId="3" numFmtId="0" xfId="0" applyAlignment="1" applyBorder="1" applyFont="1">
      <alignment horizontal="left" vertical="center"/>
    </xf>
    <xf borderId="42" fillId="2" fontId="3" numFmtId="164" xfId="0" applyAlignment="1" applyBorder="1" applyFont="1" applyNumberFormat="1">
      <alignment horizontal="right" vertical="center"/>
    </xf>
    <xf borderId="14" fillId="2" fontId="3" numFmtId="1" xfId="0" applyAlignment="1" applyBorder="1" applyFont="1" applyNumberFormat="1">
      <alignment horizontal="left" vertical="center"/>
    </xf>
    <xf borderId="14" fillId="2" fontId="3" numFmtId="0" xfId="0" applyAlignment="1" applyBorder="1" applyFont="1">
      <alignment horizontal="center" vertical="center"/>
    </xf>
    <xf borderId="15" fillId="0" fontId="3" numFmtId="0" xfId="0" applyAlignment="1" applyBorder="1" applyFont="1">
      <alignment horizontal="left" vertical="center"/>
    </xf>
    <xf borderId="31" fillId="2" fontId="3" numFmtId="0" xfId="0" applyAlignment="1" applyBorder="1" applyFont="1">
      <alignment horizontal="center" shrinkToFit="0" vertical="center" wrapText="1"/>
    </xf>
    <xf borderId="43" fillId="0" fontId="2" numFmtId="0" xfId="0" applyBorder="1" applyFont="1"/>
    <xf borderId="44" fillId="2" fontId="3" numFmtId="164" xfId="0" applyAlignment="1" applyBorder="1" applyFont="1" applyNumberFormat="1">
      <alignment horizontal="right" vertical="center"/>
    </xf>
    <xf borderId="39" fillId="2" fontId="12" numFmtId="0" xfId="0" applyAlignment="1" applyBorder="1" applyFont="1">
      <alignment vertical="center"/>
    </xf>
    <xf borderId="4" fillId="2" fontId="1" numFmtId="0" xfId="0" applyAlignment="1" applyBorder="1" applyFont="1">
      <alignment horizontal="right" vertical="center"/>
    </xf>
    <xf borderId="7" fillId="2" fontId="1" numFmtId="49" xfId="0" applyAlignment="1" applyBorder="1" applyFont="1" applyNumberFormat="1">
      <alignment horizontal="center" vertical="center"/>
    </xf>
    <xf borderId="0" fillId="0" fontId="1" numFmtId="49" xfId="0" applyAlignment="1" applyFont="1" applyNumberFormat="1">
      <alignment vertical="center"/>
    </xf>
    <xf borderId="7" fillId="2" fontId="1" numFmtId="49" xfId="0" applyAlignment="1" applyBorder="1" applyFont="1" applyNumberFormat="1">
      <alignment horizontal="center"/>
    </xf>
    <xf borderId="0" fillId="0" fontId="1" numFmtId="0" xfId="0" applyAlignment="1" applyFont="1">
      <alignment horizontal="left" vertical="top"/>
    </xf>
    <xf borderId="10" fillId="2" fontId="13" numFmtId="0" xfId="0" applyAlignment="1" applyBorder="1" applyFont="1">
      <alignment vertical="center"/>
    </xf>
    <xf borderId="31" fillId="0" fontId="3" numFmtId="0" xfId="0" applyAlignment="1" applyBorder="1" applyFont="1">
      <alignment horizontal="center" shrinkToFit="0" vertical="center" wrapText="1"/>
    </xf>
    <xf borderId="31" fillId="0" fontId="3" numFmtId="0" xfId="0" applyAlignment="1" applyBorder="1" applyFont="1">
      <alignment vertical="center"/>
    </xf>
    <xf borderId="31" fillId="0" fontId="3" numFmtId="49" xfId="0" applyAlignment="1" applyBorder="1" applyFont="1" applyNumberFormat="1">
      <alignment shrinkToFit="0" vertical="center" wrapText="1"/>
    </xf>
    <xf borderId="0" fillId="0" fontId="3" numFmtId="49" xfId="0" applyAlignment="1" applyFont="1" applyNumberFormat="1">
      <alignment horizontal="left" shrinkToFit="0" vertical="center" wrapText="1"/>
    </xf>
    <xf borderId="0" fillId="0" fontId="1" numFmtId="49" xfId="0" applyAlignment="1" applyFont="1" applyNumberFormat="1">
      <alignment horizontal="left" shrinkToFit="0" vertical="top" wrapText="1"/>
    </xf>
    <xf borderId="31" fillId="0" fontId="3" numFmtId="49" xfId="0" applyAlignment="1" applyBorder="1" applyFont="1" applyNumberFormat="1">
      <alignment horizontal="center" shrinkToFit="0" vertical="top" wrapText="1"/>
    </xf>
    <xf borderId="31" fillId="0" fontId="3" numFmtId="49" xfId="0" applyAlignment="1" applyBorder="1" applyFont="1" applyNumberFormat="1">
      <alignment shrinkToFit="0" vertical="top" wrapText="1"/>
    </xf>
  </cellXfs>
  <cellStyles count="1">
    <cellStyle xfId="0" name="Normal" builtinId="0"/>
  </cellStyles>
  <dxfs count="6">
    <dxf>
      <font/>
      <fill>
        <patternFill patternType="none"/>
      </fill>
      <border>
        <top style="thin">
          <color rgb="FF000000"/>
        </top>
      </border>
    </dxf>
    <dxf>
      <font/>
      <numFmt numFmtId="0" formatCode=";;;"/>
      <fill>
        <patternFill patternType="solid">
          <fgColor theme="0"/>
          <bgColor theme="0"/>
        </patternFill>
      </fill>
      <border/>
    </dxf>
    <dxf>
      <font/>
      <fill>
        <patternFill patternType="solid">
          <fgColor rgb="FFD8D8D8"/>
          <bgColor rgb="FFD8D8D8"/>
        </patternFill>
      </fill>
      <border>
        <left style="thin">
          <color rgb="FF000000"/>
        </left>
        <right style="thin">
          <color rgb="FF000000"/>
        </right>
        <top style="thin">
          <color rgb="FF000000"/>
        </top>
        <bottom style="thin">
          <color rgb="FF000000"/>
        </bottom>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9" width="2.43"/>
  </cols>
  <sheetData>
    <row r="1" ht="5.2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row>
    <row r="2" ht="11.25" customHeight="1">
      <c r="A2" s="4"/>
      <c r="B2" s="5" t="s">
        <v>0</v>
      </c>
      <c r="C2" s="6"/>
      <c r="D2" s="6"/>
      <c r="E2" s="7"/>
      <c r="F2" s="4"/>
      <c r="G2" s="8"/>
      <c r="H2" s="9"/>
      <c r="I2" s="9"/>
      <c r="J2" s="9"/>
      <c r="K2" s="9"/>
      <c r="L2" s="9"/>
      <c r="M2" s="9"/>
      <c r="N2" s="9"/>
      <c r="O2" s="9"/>
      <c r="P2" s="9"/>
      <c r="Q2" s="9"/>
      <c r="R2" s="9"/>
      <c r="S2" s="9"/>
      <c r="T2" s="9"/>
      <c r="U2" s="9"/>
      <c r="V2" s="9"/>
      <c r="W2" s="9"/>
      <c r="X2" s="10"/>
      <c r="Y2" s="11"/>
      <c r="Z2" s="12" t="s">
        <v>1</v>
      </c>
      <c r="AA2" s="6"/>
      <c r="AB2" s="6"/>
      <c r="AC2" s="6"/>
      <c r="AD2" s="7"/>
      <c r="AE2" s="8"/>
      <c r="AF2" s="9"/>
      <c r="AG2" s="9"/>
      <c r="AH2" s="10"/>
      <c r="AI2" s="13"/>
      <c r="AJ2" s="14" t="s">
        <v>2</v>
      </c>
      <c r="AK2" s="15"/>
      <c r="AL2" s="16"/>
      <c r="AM2" s="4"/>
    </row>
    <row r="3" ht="11.25" customHeight="1">
      <c r="A3" s="4"/>
      <c r="B3" s="5" t="s">
        <v>3</v>
      </c>
      <c r="C3" s="6"/>
      <c r="D3" s="6"/>
      <c r="E3" s="7"/>
      <c r="F3" s="4"/>
      <c r="G3" s="17"/>
      <c r="H3" s="18"/>
      <c r="I3" s="18"/>
      <c r="J3" s="18"/>
      <c r="K3" s="18"/>
      <c r="L3" s="18"/>
      <c r="M3" s="18"/>
      <c r="N3" s="18"/>
      <c r="O3" s="18"/>
      <c r="P3" s="18"/>
      <c r="Q3" s="18"/>
      <c r="R3" s="18"/>
      <c r="S3" s="18"/>
      <c r="T3" s="18"/>
      <c r="U3" s="18"/>
      <c r="V3" s="18"/>
      <c r="W3" s="18"/>
      <c r="X3" s="19"/>
      <c r="Y3" s="11"/>
      <c r="Z3" s="12" t="s">
        <v>4</v>
      </c>
      <c r="AA3" s="6"/>
      <c r="AB3" s="6"/>
      <c r="AC3" s="6"/>
      <c r="AD3" s="7"/>
      <c r="AE3" s="20"/>
      <c r="AF3" s="18"/>
      <c r="AG3" s="18"/>
      <c r="AH3" s="19"/>
      <c r="AI3" s="13"/>
      <c r="AJ3" s="21"/>
      <c r="AL3" s="22"/>
      <c r="AM3" s="4"/>
    </row>
    <row r="4" ht="11.25" customHeight="1">
      <c r="A4" s="4"/>
      <c r="B4" s="5" t="s">
        <v>5</v>
      </c>
      <c r="C4" s="6"/>
      <c r="D4" s="6"/>
      <c r="E4" s="7"/>
      <c r="F4" s="4"/>
      <c r="G4" s="17"/>
      <c r="H4" s="18"/>
      <c r="I4" s="18"/>
      <c r="J4" s="18"/>
      <c r="K4" s="18"/>
      <c r="L4" s="18"/>
      <c r="M4" s="18"/>
      <c r="N4" s="18"/>
      <c r="O4" s="18"/>
      <c r="P4" s="18"/>
      <c r="Q4" s="18"/>
      <c r="R4" s="18"/>
      <c r="S4" s="18"/>
      <c r="T4" s="18"/>
      <c r="U4" s="18"/>
      <c r="V4" s="18"/>
      <c r="W4" s="18"/>
      <c r="X4" s="19"/>
      <c r="Y4" s="13"/>
      <c r="Z4" s="12" t="s">
        <v>6</v>
      </c>
      <c r="AA4" s="6"/>
      <c r="AB4" s="6"/>
      <c r="AC4" s="6"/>
      <c r="AD4" s="7"/>
      <c r="AE4" s="20"/>
      <c r="AF4" s="18"/>
      <c r="AG4" s="18"/>
      <c r="AH4" s="19"/>
      <c r="AI4" s="13"/>
      <c r="AJ4" s="23"/>
      <c r="AK4" s="24"/>
      <c r="AL4" s="25"/>
      <c r="AM4" s="4"/>
    </row>
    <row r="5" ht="11.25" customHeight="1">
      <c r="A5" s="4"/>
      <c r="B5" s="5" t="s">
        <v>7</v>
      </c>
      <c r="C5" s="6"/>
      <c r="D5" s="6"/>
      <c r="E5" s="7"/>
      <c r="F5" s="4"/>
      <c r="G5" s="26"/>
      <c r="H5" s="9"/>
      <c r="I5" s="9"/>
      <c r="J5" s="10"/>
      <c r="K5" s="13"/>
      <c r="L5" s="27" t="s">
        <v>8</v>
      </c>
      <c r="M5" s="7"/>
      <c r="N5" s="28"/>
      <c r="O5" s="10"/>
      <c r="P5" s="13" t="s">
        <v>9</v>
      </c>
      <c r="Q5" s="29">
        <f>ROUND((N5-32)*5/9,1)</f>
        <v>-17.8</v>
      </c>
      <c r="R5" s="30"/>
      <c r="S5" s="13" t="s">
        <v>10</v>
      </c>
      <c r="T5" s="31" t="s">
        <v>11</v>
      </c>
      <c r="U5" s="6"/>
      <c r="V5" s="7"/>
      <c r="W5" s="32"/>
      <c r="X5" s="33" t="s">
        <v>12</v>
      </c>
      <c r="Y5" s="13"/>
      <c r="Z5" s="12" t="s">
        <v>13</v>
      </c>
      <c r="AA5" s="6"/>
      <c r="AB5" s="6"/>
      <c r="AC5" s="6"/>
      <c r="AD5" s="7"/>
      <c r="AE5" s="34"/>
      <c r="AF5" s="35"/>
      <c r="AG5" s="35"/>
      <c r="AH5" s="35"/>
      <c r="AI5" s="35"/>
      <c r="AJ5" s="35"/>
      <c r="AK5" s="35"/>
      <c r="AL5" s="30"/>
      <c r="AM5" s="4"/>
    </row>
    <row r="6" ht="11.25" customHeight="1">
      <c r="A6" s="4"/>
      <c r="B6" s="12" t="s">
        <v>14</v>
      </c>
      <c r="C6" s="6"/>
      <c r="D6" s="6"/>
      <c r="E6" s="6"/>
      <c r="F6" s="7"/>
      <c r="G6" s="8"/>
      <c r="H6" s="9"/>
      <c r="I6" s="9"/>
      <c r="J6" s="9"/>
      <c r="K6" s="9"/>
      <c r="L6" s="9"/>
      <c r="M6" s="9"/>
      <c r="N6" s="9"/>
      <c r="O6" s="9"/>
      <c r="P6" s="9"/>
      <c r="Q6" s="9"/>
      <c r="R6" s="9"/>
      <c r="S6" s="9"/>
      <c r="T6" s="9"/>
      <c r="U6" s="9"/>
      <c r="V6" s="9"/>
      <c r="W6" s="9"/>
      <c r="X6" s="10"/>
      <c r="Y6" s="13"/>
      <c r="Z6" s="12" t="s">
        <v>15</v>
      </c>
      <c r="AA6" s="6"/>
      <c r="AB6" s="6"/>
      <c r="AC6" s="6"/>
      <c r="AD6" s="7"/>
      <c r="AE6" s="36"/>
      <c r="AF6" s="37"/>
      <c r="AG6" s="37"/>
      <c r="AH6" s="37"/>
      <c r="AI6" s="37"/>
      <c r="AJ6" s="37"/>
      <c r="AK6" s="37"/>
      <c r="AL6" s="38"/>
      <c r="AM6" s="4"/>
    </row>
    <row r="7" ht="11.2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row>
    <row r="8" ht="11.25" customHeight="1">
      <c r="A8" s="40" t="s">
        <v>16</v>
      </c>
      <c r="B8" s="41"/>
      <c r="C8" s="41"/>
      <c r="D8" s="41"/>
      <c r="E8" s="41"/>
      <c r="F8" s="42"/>
      <c r="G8" s="43"/>
      <c r="H8" s="43"/>
      <c r="I8" s="43"/>
      <c r="J8" s="43"/>
      <c r="K8" s="43"/>
      <c r="L8" s="43"/>
      <c r="M8" s="43"/>
      <c r="N8" s="43"/>
      <c r="O8" s="43"/>
      <c r="P8" s="43"/>
      <c r="Q8" s="43"/>
      <c r="R8" s="43"/>
      <c r="S8" s="43"/>
      <c r="T8" s="43"/>
      <c r="U8" s="43"/>
      <c r="V8" s="43"/>
      <c r="W8" s="44"/>
      <c r="X8" s="43"/>
      <c r="Y8" s="44"/>
      <c r="Z8" s="45"/>
      <c r="AA8" s="44"/>
      <c r="AB8" s="44"/>
      <c r="AC8" s="44"/>
      <c r="AD8" s="44"/>
      <c r="AE8" s="44"/>
      <c r="AF8" s="44"/>
      <c r="AG8" s="44"/>
      <c r="AH8" s="4"/>
      <c r="AI8" s="4"/>
      <c r="AJ8" s="4"/>
      <c r="AK8" s="4"/>
      <c r="AL8" s="4"/>
      <c r="AM8" s="44"/>
    </row>
    <row r="9" ht="11.25" customHeight="1">
      <c r="A9" s="40"/>
      <c r="B9" s="41"/>
      <c r="C9" s="41"/>
      <c r="D9" s="41"/>
      <c r="E9" s="41"/>
      <c r="F9" s="42"/>
      <c r="G9" s="43"/>
      <c r="H9" s="43"/>
      <c r="I9" s="43"/>
      <c r="J9" s="43"/>
      <c r="K9" s="43"/>
      <c r="L9" s="43"/>
      <c r="M9" s="43"/>
      <c r="N9" s="43"/>
      <c r="O9" s="43"/>
      <c r="P9" s="43"/>
      <c r="Q9" s="43"/>
      <c r="R9" s="43"/>
      <c r="S9" s="43"/>
      <c r="T9" s="43"/>
      <c r="U9" s="4"/>
      <c r="V9" s="4"/>
      <c r="W9" s="4"/>
      <c r="X9" s="4"/>
      <c r="Y9" s="4"/>
      <c r="Z9" s="45"/>
      <c r="AA9" s="44"/>
      <c r="AB9" s="44"/>
      <c r="AC9" s="44"/>
      <c r="AD9" s="44"/>
      <c r="AE9" s="44"/>
      <c r="AF9" s="44"/>
      <c r="AG9" s="44"/>
      <c r="AH9" s="4"/>
      <c r="AI9" s="4"/>
      <c r="AJ9" s="4"/>
      <c r="AK9" s="4"/>
      <c r="AL9" s="4"/>
      <c r="AM9" s="44"/>
    </row>
    <row r="10" ht="11.25" customHeight="1">
      <c r="A10" s="46"/>
      <c r="B10" s="5" t="s">
        <v>17</v>
      </c>
      <c r="C10" s="6"/>
      <c r="D10" s="6"/>
      <c r="E10" s="6"/>
      <c r="F10" s="7"/>
      <c r="G10" s="47"/>
      <c r="H10" s="9"/>
      <c r="I10" s="9"/>
      <c r="J10" s="9"/>
      <c r="K10" s="9"/>
      <c r="L10" s="9"/>
      <c r="M10" s="10"/>
      <c r="N10" s="4"/>
      <c r="O10" s="5" t="s">
        <v>18</v>
      </c>
      <c r="P10" s="6"/>
      <c r="Q10" s="6"/>
      <c r="R10" s="6"/>
      <c r="S10" s="6"/>
      <c r="T10" s="7"/>
      <c r="U10" s="8"/>
      <c r="V10" s="9"/>
      <c r="W10" s="9"/>
      <c r="X10" s="9"/>
      <c r="Y10" s="10"/>
      <c r="Z10" s="4"/>
      <c r="AA10" s="5" t="s">
        <v>19</v>
      </c>
      <c r="AB10" s="6"/>
      <c r="AC10" s="6"/>
      <c r="AD10" s="6"/>
      <c r="AE10" s="7"/>
      <c r="AF10" s="47"/>
      <c r="AG10" s="9"/>
      <c r="AH10" s="9"/>
      <c r="AI10" s="9"/>
      <c r="AJ10" s="9"/>
      <c r="AK10" s="9"/>
      <c r="AL10" s="10"/>
      <c r="AM10" s="44"/>
    </row>
    <row r="11" ht="11.25" customHeight="1">
      <c r="A11" s="46"/>
      <c r="B11" s="5" t="s">
        <v>20</v>
      </c>
      <c r="C11" s="6"/>
      <c r="D11" s="6"/>
      <c r="E11" s="6"/>
      <c r="F11" s="7"/>
      <c r="G11" s="17"/>
      <c r="H11" s="18"/>
      <c r="I11" s="18"/>
      <c r="J11" s="18"/>
      <c r="K11" s="18"/>
      <c r="L11" s="18"/>
      <c r="M11" s="19"/>
      <c r="N11" s="4"/>
      <c r="O11" s="5" t="s">
        <v>21</v>
      </c>
      <c r="P11" s="6"/>
      <c r="Q11" s="6"/>
      <c r="R11" s="6"/>
      <c r="S11" s="6"/>
      <c r="T11" s="7"/>
      <c r="U11" s="20"/>
      <c r="V11" s="18"/>
      <c r="W11" s="18"/>
      <c r="X11" s="18"/>
      <c r="Y11" s="19"/>
      <c r="Z11" s="4"/>
      <c r="AA11" s="48" t="s">
        <v>22</v>
      </c>
      <c r="AF11" s="49" t="s">
        <v>23</v>
      </c>
      <c r="AG11" s="50"/>
      <c r="AH11" s="50"/>
      <c r="AI11" s="50"/>
      <c r="AJ11" s="50"/>
      <c r="AK11" s="50"/>
      <c r="AL11" s="50"/>
      <c r="AM11" s="44"/>
    </row>
    <row r="12" ht="11.25" customHeight="1">
      <c r="A12" s="46"/>
      <c r="B12" s="5" t="s">
        <v>24</v>
      </c>
      <c r="C12" s="6"/>
      <c r="D12" s="6"/>
      <c r="E12" s="6"/>
      <c r="F12" s="7"/>
      <c r="G12" s="17"/>
      <c r="H12" s="18"/>
      <c r="I12" s="18"/>
      <c r="J12" s="18"/>
      <c r="K12" s="18"/>
      <c r="L12" s="18"/>
      <c r="M12" s="19"/>
      <c r="N12" s="4"/>
      <c r="O12" s="48" t="s">
        <v>25</v>
      </c>
      <c r="U12" s="51">
        <v>250.0</v>
      </c>
      <c r="V12" s="18"/>
      <c r="W12" s="18"/>
      <c r="X12" s="18"/>
      <c r="Y12" s="18"/>
      <c r="Z12" s="48"/>
      <c r="AA12" s="48" t="s">
        <v>26</v>
      </c>
      <c r="AF12" s="52" t="s">
        <v>27</v>
      </c>
      <c r="AG12" s="18"/>
      <c r="AH12" s="18"/>
      <c r="AI12" s="18"/>
      <c r="AJ12" s="18"/>
      <c r="AK12" s="18"/>
      <c r="AL12" s="18"/>
      <c r="AM12" s="44"/>
    </row>
    <row r="13" ht="11.25" customHeight="1">
      <c r="A13" s="46"/>
      <c r="B13" s="5" t="s">
        <v>28</v>
      </c>
      <c r="C13" s="6"/>
      <c r="D13" s="6"/>
      <c r="E13" s="6"/>
      <c r="F13" s="7"/>
      <c r="G13" s="17"/>
      <c r="H13" s="18"/>
      <c r="I13" s="18"/>
      <c r="J13" s="18"/>
      <c r="K13" s="18"/>
      <c r="L13" s="18"/>
      <c r="M13" s="19"/>
      <c r="N13" s="4"/>
      <c r="O13" s="48" t="s">
        <v>29</v>
      </c>
      <c r="U13" s="53"/>
      <c r="V13" s="18"/>
      <c r="W13" s="18"/>
      <c r="X13" s="18"/>
      <c r="Y13" s="18"/>
      <c r="Z13" s="4"/>
      <c r="AA13" s="48" t="s">
        <v>30</v>
      </c>
      <c r="AF13" s="52" t="s">
        <v>31</v>
      </c>
      <c r="AG13" s="18"/>
      <c r="AH13" s="18"/>
      <c r="AI13" s="18"/>
      <c r="AJ13" s="18"/>
      <c r="AK13" s="18"/>
      <c r="AL13" s="18"/>
      <c r="AM13" s="44"/>
    </row>
    <row r="14" ht="11.25" customHeight="1">
      <c r="A14" s="46"/>
      <c r="B14" s="5" t="s">
        <v>32</v>
      </c>
      <c r="C14" s="6"/>
      <c r="D14" s="6"/>
      <c r="E14" s="6"/>
      <c r="F14" s="7"/>
      <c r="G14" s="17"/>
      <c r="H14" s="18"/>
      <c r="I14" s="18"/>
      <c r="J14" s="18"/>
      <c r="K14" s="18"/>
      <c r="L14" s="18"/>
      <c r="M14" s="19"/>
      <c r="N14" s="4"/>
      <c r="O14" s="12" t="s">
        <v>33</v>
      </c>
      <c r="P14" s="6"/>
      <c r="Q14" s="6"/>
      <c r="R14" s="6"/>
      <c r="S14" s="6"/>
      <c r="T14" s="7"/>
      <c r="U14" s="54"/>
      <c r="V14" s="18"/>
      <c r="W14" s="18"/>
      <c r="X14" s="18"/>
      <c r="Y14" s="18"/>
      <c r="Z14" s="4"/>
      <c r="AA14" s="48" t="s">
        <v>34</v>
      </c>
      <c r="AF14" s="52" t="s">
        <v>31</v>
      </c>
      <c r="AG14" s="18"/>
      <c r="AH14" s="18"/>
      <c r="AI14" s="18"/>
      <c r="AJ14" s="18"/>
      <c r="AK14" s="18"/>
      <c r="AL14" s="18"/>
      <c r="AM14" s="44"/>
    </row>
    <row r="15" ht="11.25" customHeight="1">
      <c r="A15" s="46"/>
      <c r="B15" s="13"/>
      <c r="C15" s="13"/>
      <c r="D15" s="13"/>
      <c r="E15" s="13"/>
      <c r="F15" s="13"/>
      <c r="G15" s="55"/>
      <c r="H15" s="55"/>
      <c r="I15" s="55"/>
      <c r="J15" s="55"/>
      <c r="K15" s="55"/>
      <c r="L15" s="55"/>
      <c r="M15" s="55"/>
      <c r="N15" s="4"/>
      <c r="O15" s="56"/>
      <c r="P15" s="56"/>
      <c r="Q15" s="56"/>
      <c r="R15" s="56"/>
      <c r="S15" s="56"/>
      <c r="T15" s="56"/>
      <c r="U15" s="57"/>
      <c r="V15" s="57"/>
      <c r="W15" s="57"/>
      <c r="X15" s="57"/>
      <c r="Y15" s="57"/>
      <c r="Z15" s="4"/>
      <c r="AA15" s="48"/>
      <c r="AB15" s="48"/>
      <c r="AC15" s="48"/>
      <c r="AD15" s="48"/>
      <c r="AE15" s="48"/>
      <c r="AF15" s="48"/>
      <c r="AG15" s="48"/>
      <c r="AH15" s="48"/>
      <c r="AI15" s="48"/>
      <c r="AJ15" s="48"/>
      <c r="AK15" s="48"/>
      <c r="AL15" s="48"/>
      <c r="AM15" s="44"/>
    </row>
    <row r="16" ht="11.25"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row>
    <row r="17" ht="11.25" customHeight="1">
      <c r="A17" s="40" t="s">
        <v>35</v>
      </c>
      <c r="B17" s="58"/>
      <c r="C17" s="58"/>
      <c r="D17" s="58"/>
      <c r="E17" s="58"/>
      <c r="F17" s="58"/>
      <c r="G17" s="58"/>
      <c r="H17" s="58"/>
      <c r="I17" s="58"/>
      <c r="J17" s="42"/>
      <c r="K17" s="42"/>
      <c r="L17" s="59"/>
      <c r="M17" s="44"/>
      <c r="N17" s="43"/>
      <c r="O17" s="43"/>
      <c r="P17" s="43"/>
      <c r="Q17" s="43"/>
      <c r="R17" s="43"/>
      <c r="S17" s="43"/>
      <c r="T17" s="43"/>
      <c r="U17" s="43"/>
      <c r="V17" s="60"/>
      <c r="W17" s="60"/>
      <c r="X17" s="60"/>
      <c r="Y17" s="59"/>
      <c r="Z17" s="59"/>
      <c r="AA17" s="44"/>
      <c r="AB17" s="44"/>
      <c r="AC17" s="44"/>
      <c r="AD17" s="44"/>
      <c r="AE17" s="44"/>
      <c r="AF17" s="44"/>
      <c r="AG17" s="44"/>
      <c r="AH17" s="44"/>
      <c r="AI17" s="44"/>
      <c r="AJ17" s="44"/>
      <c r="AK17" s="44"/>
      <c r="AL17" s="44"/>
      <c r="AM17" s="44"/>
    </row>
    <row r="18" ht="11.2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13"/>
    </row>
    <row r="19" ht="11.25" customHeight="1">
      <c r="A19" s="4"/>
      <c r="B19" s="13" t="s">
        <v>36</v>
      </c>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28" t="s">
        <v>37</v>
      </c>
      <c r="AI19" s="9"/>
      <c r="AJ19" s="9"/>
      <c r="AK19" s="9"/>
      <c r="AL19" s="10"/>
      <c r="AM19" s="44"/>
    </row>
    <row r="20" ht="11.25" customHeight="1">
      <c r="A20" s="4"/>
      <c r="B20" s="61" t="s">
        <v>38</v>
      </c>
      <c r="C20" s="18"/>
      <c r="D20" s="18"/>
      <c r="E20" s="62"/>
      <c r="F20" s="61" t="s">
        <v>39</v>
      </c>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62"/>
      <c r="AH20" s="63"/>
      <c r="AI20" s="18"/>
      <c r="AJ20" s="18"/>
      <c r="AK20" s="18"/>
      <c r="AL20" s="62"/>
      <c r="AM20" s="44"/>
    </row>
    <row r="21" ht="11.25" customHeight="1">
      <c r="A21" s="4"/>
      <c r="B21" s="61" t="s">
        <v>40</v>
      </c>
      <c r="C21" s="18"/>
      <c r="D21" s="18"/>
      <c r="E21" s="62"/>
      <c r="F21" s="61" t="s">
        <v>41</v>
      </c>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62"/>
      <c r="AH21" s="63"/>
      <c r="AI21" s="18"/>
      <c r="AJ21" s="18"/>
      <c r="AK21" s="18"/>
      <c r="AL21" s="62"/>
      <c r="AM21" s="44"/>
    </row>
    <row r="22" ht="11.25" customHeight="1">
      <c r="A22" s="4"/>
      <c r="B22" s="61" t="s">
        <v>42</v>
      </c>
      <c r="C22" s="18"/>
      <c r="D22" s="18"/>
      <c r="E22" s="62"/>
      <c r="F22" s="61" t="s">
        <v>43</v>
      </c>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62"/>
      <c r="AH22" s="63"/>
      <c r="AI22" s="18"/>
      <c r="AJ22" s="18"/>
      <c r="AK22" s="18"/>
      <c r="AL22" s="62"/>
      <c r="AM22" s="44"/>
    </row>
    <row r="23" ht="11.25" customHeight="1">
      <c r="A23" s="4"/>
      <c r="B23" s="61" t="s">
        <v>44</v>
      </c>
      <c r="C23" s="18"/>
      <c r="D23" s="18"/>
      <c r="E23" s="62"/>
      <c r="F23" s="64" t="s">
        <v>45</v>
      </c>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62"/>
      <c r="AH23" s="63"/>
      <c r="AI23" s="18"/>
      <c r="AJ23" s="18"/>
      <c r="AK23" s="18"/>
      <c r="AL23" s="62"/>
      <c r="AM23" s="44"/>
    </row>
    <row r="24" ht="37.5" customHeight="1">
      <c r="A24" s="4"/>
      <c r="B24" s="61" t="s">
        <v>46</v>
      </c>
      <c r="C24" s="18"/>
      <c r="D24" s="18"/>
      <c r="E24" s="62"/>
      <c r="F24" s="64" t="s">
        <v>47</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62"/>
      <c r="AH24" s="63"/>
      <c r="AI24" s="18"/>
      <c r="AJ24" s="18"/>
      <c r="AK24" s="18"/>
      <c r="AL24" s="62"/>
      <c r="AM24" s="13"/>
    </row>
    <row r="25" ht="11.25" customHeight="1">
      <c r="A25" s="4"/>
      <c r="B25" s="61" t="s">
        <v>48</v>
      </c>
      <c r="C25" s="18"/>
      <c r="D25" s="18"/>
      <c r="E25" s="62"/>
      <c r="F25" s="64" t="s">
        <v>49</v>
      </c>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62"/>
      <c r="AH25" s="63"/>
      <c r="AI25" s="18"/>
      <c r="AJ25" s="18"/>
      <c r="AK25" s="18"/>
      <c r="AL25" s="62"/>
      <c r="AM25" s="13"/>
    </row>
    <row r="26" ht="11.25" customHeight="1">
      <c r="A26" s="4"/>
      <c r="B26" s="61" t="s">
        <v>50</v>
      </c>
      <c r="C26" s="18"/>
      <c r="D26" s="18"/>
      <c r="E26" s="62"/>
      <c r="F26" s="64" t="s">
        <v>51</v>
      </c>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62"/>
      <c r="AH26" s="63"/>
      <c r="AI26" s="18"/>
      <c r="AJ26" s="18"/>
      <c r="AK26" s="18"/>
      <c r="AL26" s="62"/>
      <c r="AM26" s="13"/>
    </row>
    <row r="27" ht="11.25" customHeight="1">
      <c r="A27" s="4"/>
      <c r="B27" s="13"/>
      <c r="C27" s="13"/>
      <c r="D27" s="13"/>
      <c r="E27" s="13"/>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6"/>
      <c r="AI27" s="67"/>
      <c r="AJ27" s="67"/>
      <c r="AK27" s="67"/>
      <c r="AL27" s="67"/>
      <c r="AM27" s="13"/>
    </row>
    <row r="28" ht="11.25" customHeight="1">
      <c r="A28" s="68"/>
      <c r="B28" s="69"/>
      <c r="C28" s="69"/>
      <c r="D28" s="69"/>
      <c r="E28" s="69"/>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69"/>
      <c r="AI28" s="69"/>
      <c r="AJ28" s="69"/>
      <c r="AK28" s="69"/>
      <c r="AL28" s="69"/>
      <c r="AM28" s="71"/>
    </row>
    <row r="29" ht="11.25" customHeight="1">
      <c r="A29" s="40" t="s">
        <v>52</v>
      </c>
      <c r="B29" s="42"/>
      <c r="C29" s="42"/>
      <c r="D29" s="42"/>
      <c r="E29" s="42"/>
      <c r="F29" s="42"/>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row>
    <row r="30" ht="11.25" customHeight="1">
      <c r="A30" s="40"/>
      <c r="B30" s="42"/>
      <c r="C30" s="42"/>
      <c r="D30" s="42"/>
      <c r="E30" s="42"/>
      <c r="F30" s="42"/>
      <c r="G30" s="4"/>
      <c r="H30" s="4"/>
      <c r="I30" s="4"/>
      <c r="J30" s="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row>
    <row r="31" ht="11.25" customHeight="1">
      <c r="A31" s="40"/>
      <c r="B31" s="72" t="s">
        <v>53</v>
      </c>
      <c r="C31" s="18"/>
      <c r="D31" s="18"/>
      <c r="E31" s="18"/>
      <c r="F31" s="62"/>
      <c r="G31" s="73" t="s">
        <v>54</v>
      </c>
      <c r="H31" s="18"/>
      <c r="I31" s="18"/>
      <c r="J31" s="62"/>
      <c r="K31" s="4"/>
      <c r="L31" s="74" t="s">
        <v>55</v>
      </c>
      <c r="M31" s="18"/>
      <c r="N31" s="18"/>
      <c r="O31" s="18"/>
      <c r="P31" s="18"/>
      <c r="Q31" s="18"/>
      <c r="R31" s="18"/>
      <c r="S31" s="18"/>
      <c r="T31" s="18"/>
      <c r="U31" s="18"/>
      <c r="V31" s="18"/>
      <c r="W31" s="18"/>
      <c r="X31" s="62"/>
      <c r="Y31" s="4"/>
      <c r="Z31" s="74" t="s">
        <v>56</v>
      </c>
      <c r="AA31" s="18"/>
      <c r="AB31" s="18"/>
      <c r="AC31" s="18"/>
      <c r="AD31" s="18"/>
      <c r="AE31" s="18"/>
      <c r="AF31" s="18"/>
      <c r="AG31" s="18"/>
      <c r="AH31" s="18"/>
      <c r="AI31" s="18"/>
      <c r="AJ31" s="18"/>
      <c r="AK31" s="18"/>
      <c r="AL31" s="62"/>
      <c r="AM31" s="44"/>
    </row>
    <row r="32" ht="11.25" customHeight="1">
      <c r="A32" s="40"/>
      <c r="B32" s="4"/>
      <c r="C32" s="4"/>
      <c r="D32" s="4"/>
      <c r="E32" s="4"/>
      <c r="F32" s="4"/>
      <c r="G32" s="4"/>
      <c r="H32" s="4"/>
      <c r="I32" s="4"/>
      <c r="J32" s="4"/>
      <c r="K32" s="4"/>
      <c r="L32" s="72" t="s">
        <v>57</v>
      </c>
      <c r="M32" s="18"/>
      <c r="N32" s="18"/>
      <c r="O32" s="18"/>
      <c r="P32" s="62"/>
      <c r="Q32" s="72" t="s">
        <v>58</v>
      </c>
      <c r="R32" s="18"/>
      <c r="S32" s="62"/>
      <c r="T32" s="72" t="s">
        <v>59</v>
      </c>
      <c r="U32" s="18"/>
      <c r="V32" s="62"/>
      <c r="W32" s="72" t="s">
        <v>60</v>
      </c>
      <c r="X32" s="62"/>
      <c r="Y32" s="4"/>
      <c r="Z32" s="72" t="s">
        <v>57</v>
      </c>
      <c r="AA32" s="18"/>
      <c r="AB32" s="18"/>
      <c r="AC32" s="18"/>
      <c r="AD32" s="62"/>
      <c r="AE32" s="72" t="s">
        <v>58</v>
      </c>
      <c r="AF32" s="18"/>
      <c r="AG32" s="62"/>
      <c r="AH32" s="72" t="s">
        <v>59</v>
      </c>
      <c r="AI32" s="18"/>
      <c r="AJ32" s="62"/>
      <c r="AK32" s="72" t="s">
        <v>61</v>
      </c>
      <c r="AL32" s="62"/>
      <c r="AM32" s="4"/>
    </row>
    <row r="33" ht="11.25" customHeight="1">
      <c r="A33" s="40"/>
      <c r="B33" s="72" t="s">
        <v>62</v>
      </c>
      <c r="C33" s="18"/>
      <c r="D33" s="18"/>
      <c r="E33" s="18"/>
      <c r="F33" s="18"/>
      <c r="G33" s="18"/>
      <c r="H33" s="18"/>
      <c r="I33" s="18"/>
      <c r="J33" s="62"/>
      <c r="K33" s="4"/>
      <c r="L33" s="74" t="str">
        <f>IF(OR(ISNUMBER(FIND("T",$G$31)),ISNUMBER(FIND("M",$G$31))),"Thermal","Long Time")</f>
        <v>Long Time</v>
      </c>
      <c r="M33" s="18"/>
      <c r="N33" s="18"/>
      <c r="O33" s="18"/>
      <c r="P33" s="62"/>
      <c r="Q33" s="75"/>
      <c r="R33" s="18"/>
      <c r="S33" s="62"/>
      <c r="T33" s="75"/>
      <c r="U33" s="18"/>
      <c r="V33" s="62"/>
      <c r="W33" s="76"/>
      <c r="X33" s="62"/>
      <c r="Y33" s="4"/>
      <c r="Z33" s="74" t="str">
        <f>IF(OR(ISNUMBER(FIND("T",$G$31)),ISNUMBER(FIND("M",$G$31))),"Thermal","Long Time")</f>
        <v>Long Time</v>
      </c>
      <c r="AA33" s="18"/>
      <c r="AB33" s="18"/>
      <c r="AC33" s="18"/>
      <c r="AD33" s="62"/>
      <c r="AE33" s="75"/>
      <c r="AF33" s="18"/>
      <c r="AG33" s="62"/>
      <c r="AH33" s="75"/>
      <c r="AI33" s="18"/>
      <c r="AJ33" s="62"/>
      <c r="AK33" s="76"/>
      <c r="AL33" s="62"/>
      <c r="AM33" s="4"/>
    </row>
    <row r="34" ht="11.25" customHeight="1">
      <c r="A34" s="40"/>
      <c r="B34" s="77" t="s">
        <v>63</v>
      </c>
      <c r="C34" s="50"/>
      <c r="D34" s="78"/>
      <c r="E34" s="72"/>
      <c r="F34" s="18"/>
      <c r="G34" s="18"/>
      <c r="H34" s="18"/>
      <c r="I34" s="18"/>
      <c r="J34" s="62"/>
      <c r="K34" s="4"/>
      <c r="L34" s="74" t="str">
        <f>IF(OR(ISNUMBER(FIND("T",$G$31)),ISNUMBER(FIND("M",$G$31))),"Magnetic","Short Time")</f>
        <v>Short Time</v>
      </c>
      <c r="M34" s="18"/>
      <c r="N34" s="18"/>
      <c r="O34" s="18"/>
      <c r="P34" s="62"/>
      <c r="Q34" s="75"/>
      <c r="R34" s="18"/>
      <c r="S34" s="62"/>
      <c r="T34" s="75"/>
      <c r="U34" s="18"/>
      <c r="V34" s="62"/>
      <c r="W34" s="75"/>
      <c r="X34" s="62"/>
      <c r="Y34" s="4"/>
      <c r="Z34" s="74" t="str">
        <f>IF(OR(ISNUMBER(FIND("T",$G$31)),ISNUMBER(FIND("M",$G$31))),"Magnetic","Short Time")</f>
        <v>Short Time</v>
      </c>
      <c r="AA34" s="18"/>
      <c r="AB34" s="18"/>
      <c r="AC34" s="18"/>
      <c r="AD34" s="62"/>
      <c r="AE34" s="75"/>
      <c r="AF34" s="18"/>
      <c r="AG34" s="62"/>
      <c r="AH34" s="75"/>
      <c r="AI34" s="18"/>
      <c r="AJ34" s="62"/>
      <c r="AK34" s="75"/>
      <c r="AL34" s="62"/>
      <c r="AM34" s="4"/>
    </row>
    <row r="35" ht="11.25" customHeight="1">
      <c r="A35" s="79"/>
      <c r="B35" s="72" t="s">
        <v>64</v>
      </c>
      <c r="C35" s="18"/>
      <c r="D35" s="62"/>
      <c r="E35" s="72"/>
      <c r="F35" s="18"/>
      <c r="G35" s="18"/>
      <c r="H35" s="18"/>
      <c r="I35" s="18"/>
      <c r="J35" s="62"/>
      <c r="K35" s="4"/>
      <c r="L35" s="80" t="s">
        <v>65</v>
      </c>
      <c r="M35" s="18"/>
      <c r="N35" s="18"/>
      <c r="O35" s="18"/>
      <c r="P35" s="62"/>
      <c r="Q35" s="75"/>
      <c r="R35" s="18"/>
      <c r="S35" s="62"/>
      <c r="T35" s="76"/>
      <c r="U35" s="18"/>
      <c r="V35" s="62"/>
      <c r="W35" s="76"/>
      <c r="X35" s="62"/>
      <c r="Y35" s="4"/>
      <c r="Z35" s="80" t="s">
        <v>65</v>
      </c>
      <c r="AA35" s="18"/>
      <c r="AB35" s="18"/>
      <c r="AC35" s="18"/>
      <c r="AD35" s="62"/>
      <c r="AE35" s="75"/>
      <c r="AF35" s="18"/>
      <c r="AG35" s="62"/>
      <c r="AH35" s="76"/>
      <c r="AI35" s="18"/>
      <c r="AJ35" s="62"/>
      <c r="AK35" s="76"/>
      <c r="AL35" s="62"/>
      <c r="AM35" s="4"/>
    </row>
    <row r="36" ht="11.25" customHeight="1">
      <c r="A36" s="79"/>
      <c r="B36" s="72" t="s">
        <v>7</v>
      </c>
      <c r="C36" s="18"/>
      <c r="D36" s="62"/>
      <c r="E36" s="72"/>
      <c r="F36" s="18"/>
      <c r="G36" s="18"/>
      <c r="H36" s="18"/>
      <c r="I36" s="18"/>
      <c r="J36" s="62"/>
      <c r="K36" s="4"/>
      <c r="L36" s="74" t="s">
        <v>66</v>
      </c>
      <c r="M36" s="18"/>
      <c r="N36" s="18"/>
      <c r="O36" s="18"/>
      <c r="P36" s="62"/>
      <c r="Q36" s="75"/>
      <c r="R36" s="18"/>
      <c r="S36" s="62"/>
      <c r="T36" s="75"/>
      <c r="U36" s="18"/>
      <c r="V36" s="62"/>
      <c r="W36" s="75"/>
      <c r="X36" s="62"/>
      <c r="Y36" s="4"/>
      <c r="Z36" s="74" t="s">
        <v>66</v>
      </c>
      <c r="AA36" s="18"/>
      <c r="AB36" s="18"/>
      <c r="AC36" s="18"/>
      <c r="AD36" s="62"/>
      <c r="AE36" s="75"/>
      <c r="AF36" s="18"/>
      <c r="AG36" s="62"/>
      <c r="AH36" s="75"/>
      <c r="AI36" s="18"/>
      <c r="AJ36" s="62"/>
      <c r="AK36" s="75"/>
      <c r="AL36" s="62"/>
      <c r="AM36" s="4"/>
    </row>
    <row r="37" ht="11.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1.25" customHeight="1">
      <c r="A38" s="69"/>
      <c r="B38" s="69"/>
      <c r="C38" s="69"/>
      <c r="D38" s="69"/>
      <c r="E38" s="69"/>
      <c r="F38" s="69"/>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39"/>
      <c r="AL38" s="39"/>
      <c r="AM38" s="39"/>
    </row>
    <row r="39" ht="11.25" customHeight="1">
      <c r="A39" s="40" t="s">
        <v>67</v>
      </c>
      <c r="B39" s="42"/>
      <c r="C39" s="42"/>
      <c r="D39" s="42"/>
      <c r="E39" s="42"/>
      <c r="F39" s="42"/>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row>
    <row r="40" ht="11.25" customHeight="1">
      <c r="A40" s="40"/>
      <c r="B40" s="42"/>
      <c r="C40" s="42"/>
      <c r="D40" s="42"/>
      <c r="E40" s="42"/>
      <c r="F40" s="42"/>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row>
    <row r="41" ht="11.25" customHeight="1">
      <c r="A41" s="79"/>
      <c r="B41" s="72" t="s">
        <v>68</v>
      </c>
      <c r="C41" s="18"/>
      <c r="D41" s="18"/>
      <c r="E41" s="18"/>
      <c r="F41" s="18"/>
      <c r="G41" s="18"/>
      <c r="H41" s="18"/>
      <c r="I41" s="18"/>
      <c r="J41" s="18"/>
      <c r="K41" s="18"/>
      <c r="L41" s="18"/>
      <c r="M41" s="18"/>
      <c r="N41" s="18"/>
      <c r="O41" s="62"/>
      <c r="P41" s="4"/>
      <c r="Q41" s="82" t="s">
        <v>69</v>
      </c>
      <c r="R41" s="18"/>
      <c r="S41" s="18"/>
      <c r="T41" s="18"/>
      <c r="U41" s="18"/>
      <c r="V41" s="18"/>
      <c r="W41" s="18"/>
      <c r="X41" s="62"/>
      <c r="Y41" s="4"/>
      <c r="Z41" s="72" t="s">
        <v>70</v>
      </c>
      <c r="AA41" s="18"/>
      <c r="AB41" s="18"/>
      <c r="AC41" s="62"/>
      <c r="AD41" s="4"/>
      <c r="AE41" s="83"/>
      <c r="AG41" s="4"/>
      <c r="AH41" s="4"/>
      <c r="AI41" s="4"/>
      <c r="AJ41" s="4"/>
      <c r="AK41" s="4"/>
      <c r="AL41" s="4"/>
      <c r="AM41" s="4"/>
    </row>
    <row r="42" ht="11.25" customHeight="1">
      <c r="A42" s="79"/>
      <c r="B42" s="72" t="s">
        <v>71</v>
      </c>
      <c r="C42" s="18"/>
      <c r="D42" s="18"/>
      <c r="E42" s="62"/>
      <c r="F42" s="72" t="s">
        <v>72</v>
      </c>
      <c r="G42" s="18"/>
      <c r="H42" s="18"/>
      <c r="I42" s="62"/>
      <c r="J42" s="72" t="s">
        <v>73</v>
      </c>
      <c r="K42" s="18"/>
      <c r="L42" s="18"/>
      <c r="M42" s="62"/>
      <c r="N42" s="72" t="s">
        <v>74</v>
      </c>
      <c r="O42" s="62"/>
      <c r="P42" s="4"/>
      <c r="Q42" s="72" t="s">
        <v>75</v>
      </c>
      <c r="R42" s="18"/>
      <c r="S42" s="18"/>
      <c r="T42" s="62"/>
      <c r="U42" s="72" t="s">
        <v>76</v>
      </c>
      <c r="V42" s="18"/>
      <c r="W42" s="18"/>
      <c r="X42" s="62"/>
      <c r="Y42" s="4"/>
      <c r="Z42" s="84" t="str">
        <f>IF(U43="N/A","N/A",IF(ISNUMBER(Q43)=FALSE,"-",IF(Q43&gt;0.5,"FAIL","PASS")))</f>
        <v>-</v>
      </c>
      <c r="AA42" s="85"/>
      <c r="AB42" s="85"/>
      <c r="AC42" s="86"/>
      <c r="AD42" s="4"/>
      <c r="AE42" s="83"/>
      <c r="AG42" s="4"/>
      <c r="AH42" s="4"/>
      <c r="AI42" s="4"/>
      <c r="AJ42" s="4"/>
      <c r="AK42" s="4"/>
      <c r="AL42" s="4"/>
      <c r="AM42" s="4"/>
    </row>
    <row r="43" ht="11.25" customHeight="1">
      <c r="A43" s="79"/>
      <c r="B43" s="72"/>
      <c r="C43" s="18"/>
      <c r="D43" s="18"/>
      <c r="E43" s="62"/>
      <c r="F43" s="72"/>
      <c r="G43" s="18"/>
      <c r="H43" s="18"/>
      <c r="I43" s="62"/>
      <c r="J43" s="72"/>
      <c r="K43" s="18"/>
      <c r="L43" s="18"/>
      <c r="M43" s="62"/>
      <c r="N43" s="80" t="s">
        <v>77</v>
      </c>
      <c r="O43" s="62"/>
      <c r="P43" s="4"/>
      <c r="Q43" s="87" t="str">
        <f>IF(OR(ISNUMBER(B43)=FALSE,ISNUMBER(F43)=FALSE,ISNUMBER(J43)=FALSE),"-",(MAX(B43,F43,J43)/MIN(B43,F43,J43)-1))</f>
        <v>-</v>
      </c>
      <c r="R43" s="18"/>
      <c r="S43" s="18"/>
      <c r="T43" s="62"/>
      <c r="U43" s="72" t="s">
        <v>78</v>
      </c>
      <c r="V43" s="18"/>
      <c r="W43" s="18"/>
      <c r="X43" s="62"/>
      <c r="Y43" s="4"/>
      <c r="Z43" s="88"/>
      <c r="AA43" s="50"/>
      <c r="AB43" s="50"/>
      <c r="AC43" s="78"/>
      <c r="AD43" s="4"/>
      <c r="AE43" s="4"/>
      <c r="AF43" s="83"/>
      <c r="AG43" s="83"/>
      <c r="AH43" s="83"/>
      <c r="AI43" s="83"/>
      <c r="AJ43" s="83"/>
      <c r="AK43" s="4"/>
      <c r="AL43" s="79"/>
      <c r="AM43" s="4"/>
    </row>
    <row r="44" ht="11.25" customHeight="1">
      <c r="A44" s="79"/>
      <c r="B44" s="83"/>
      <c r="C44" s="83"/>
      <c r="D44" s="83"/>
      <c r="E44" s="83"/>
      <c r="F44" s="83"/>
      <c r="G44" s="83"/>
      <c r="H44" s="83"/>
      <c r="I44" s="83"/>
      <c r="J44" s="83"/>
      <c r="K44" s="83"/>
      <c r="L44" s="83"/>
      <c r="M44" s="83"/>
      <c r="N44" s="43"/>
      <c r="O44" s="43"/>
      <c r="P44" s="4"/>
      <c r="Q44" s="89"/>
      <c r="R44" s="89"/>
      <c r="S44" s="89"/>
      <c r="T44" s="89"/>
      <c r="U44" s="83"/>
      <c r="V44" s="83"/>
      <c r="W44" s="83"/>
      <c r="X44" s="83"/>
      <c r="Y44" s="4"/>
      <c r="Z44" s="90"/>
      <c r="AA44" s="90"/>
      <c r="AB44" s="90"/>
      <c r="AC44" s="90"/>
      <c r="AD44" s="4"/>
      <c r="AE44" s="4"/>
      <c r="AF44" s="83"/>
      <c r="AG44" s="83"/>
      <c r="AH44" s="83"/>
      <c r="AI44" s="83"/>
      <c r="AJ44" s="83"/>
      <c r="AK44" s="4"/>
      <c r="AL44" s="79"/>
      <c r="AM44" s="4"/>
    </row>
    <row r="45" ht="11.25" customHeight="1">
      <c r="A45" s="69"/>
      <c r="B45" s="69"/>
      <c r="C45" s="69"/>
      <c r="D45" s="69"/>
      <c r="E45" s="69"/>
      <c r="F45" s="69"/>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39"/>
      <c r="AL45" s="39"/>
      <c r="AM45" s="39"/>
    </row>
    <row r="46" ht="11.25" customHeight="1">
      <c r="A46" s="40" t="s">
        <v>79</v>
      </c>
      <c r="B46" s="42"/>
      <c r="C46" s="42"/>
      <c r="D46" s="42"/>
      <c r="E46" s="42"/>
      <c r="F46" s="42"/>
      <c r="G46" s="44"/>
      <c r="H46" s="44"/>
      <c r="I46" s="44"/>
      <c r="J46" s="44"/>
      <c r="K46" s="44"/>
      <c r="L46" s="44"/>
      <c r="M46" s="44"/>
      <c r="N46" s="44"/>
      <c r="O46" s="44"/>
      <c r="P46" s="44"/>
      <c r="Q46" s="44"/>
      <c r="R46" s="44"/>
      <c r="S46" s="44"/>
      <c r="T46" s="44"/>
      <c r="U46" s="44"/>
      <c r="V46" s="44"/>
      <c r="W46" s="44"/>
      <c r="X46" s="44"/>
      <c r="Y46" s="44"/>
      <c r="Z46" s="44"/>
      <c r="AA46" s="44"/>
      <c r="AB46" s="44"/>
      <c r="AC46" s="91"/>
      <c r="AD46" s="44"/>
      <c r="AE46" s="44"/>
      <c r="AF46" s="44"/>
      <c r="AG46" s="44"/>
      <c r="AH46" s="44"/>
      <c r="AI46" s="44"/>
      <c r="AJ46" s="44"/>
      <c r="AK46" s="44"/>
      <c r="AL46" s="44"/>
      <c r="AM46" s="44"/>
    </row>
    <row r="47" ht="11.25" customHeight="1">
      <c r="A47" s="79"/>
      <c r="B47" s="79"/>
      <c r="C47" s="79"/>
      <c r="D47" s="79"/>
      <c r="E47" s="79"/>
      <c r="F47" s="79"/>
      <c r="G47" s="79"/>
      <c r="H47" s="79"/>
      <c r="I47" s="79"/>
      <c r="J47" s="79"/>
      <c r="K47" s="79"/>
      <c r="L47" s="79"/>
      <c r="M47" s="79"/>
      <c r="N47" s="79"/>
      <c r="O47" s="79"/>
      <c r="P47" s="79"/>
      <c r="Q47" s="79"/>
      <c r="R47" s="92" t="s">
        <v>80</v>
      </c>
      <c r="S47" s="18"/>
      <c r="T47" s="18"/>
      <c r="U47" s="18"/>
      <c r="V47" s="18"/>
      <c r="W47" s="18"/>
      <c r="X47" s="18"/>
      <c r="Y47" s="18"/>
      <c r="Z47" s="62"/>
      <c r="AA47" s="93"/>
      <c r="AB47" s="18"/>
      <c r="AC47" s="62"/>
      <c r="AD47" s="4"/>
      <c r="AE47" s="94" t="s">
        <v>81</v>
      </c>
      <c r="AF47" s="18"/>
      <c r="AG47" s="18"/>
      <c r="AH47" s="18"/>
      <c r="AI47" s="62"/>
      <c r="AJ47" s="63">
        <f>IF($U$12="","",IF($U$12&lt;=250,500,1000))</f>
        <v>500</v>
      </c>
      <c r="AK47" s="18"/>
      <c r="AL47" s="62"/>
      <c r="AM47" s="79"/>
    </row>
    <row r="48" ht="11.25" customHeight="1">
      <c r="A48" s="79"/>
      <c r="B48" s="4"/>
      <c r="C48" s="4"/>
      <c r="D48" s="4"/>
      <c r="E48" s="4"/>
      <c r="F48" s="4"/>
      <c r="G48" s="4"/>
      <c r="H48" s="4"/>
      <c r="I48" s="4"/>
      <c r="J48" s="4"/>
      <c r="K48" s="4"/>
      <c r="L48" s="4"/>
      <c r="M48" s="4"/>
      <c r="N48" s="4"/>
      <c r="O48" s="4"/>
      <c r="P48" s="4"/>
      <c r="Q48" s="4"/>
      <c r="R48" s="92" t="s">
        <v>82</v>
      </c>
      <c r="S48" s="18"/>
      <c r="T48" s="18"/>
      <c r="U48" s="18"/>
      <c r="V48" s="18"/>
      <c r="W48" s="18"/>
      <c r="X48" s="18"/>
      <c r="Y48" s="18"/>
      <c r="Z48" s="62"/>
      <c r="AA48" s="53">
        <f>ROUND(0.1758*EXP(0.0256*AA47),3)</f>
        <v>0.176</v>
      </c>
      <c r="AB48" s="18"/>
      <c r="AC48" s="62"/>
      <c r="AD48" s="4"/>
      <c r="AE48" s="94" t="s">
        <v>83</v>
      </c>
      <c r="AF48" s="18"/>
      <c r="AG48" s="18"/>
      <c r="AH48" s="18"/>
      <c r="AI48" s="62"/>
      <c r="AJ48" s="93" t="s">
        <v>84</v>
      </c>
      <c r="AK48" s="18"/>
      <c r="AL48" s="62"/>
      <c r="AM48" s="4"/>
    </row>
    <row r="49" ht="11.25" customHeight="1">
      <c r="A49" s="7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4"/>
      <c r="AD49" s="4"/>
      <c r="AE49" s="4"/>
      <c r="AF49" s="4"/>
      <c r="AG49" s="4"/>
      <c r="AH49" s="4"/>
      <c r="AI49" s="4"/>
      <c r="AJ49" s="4"/>
      <c r="AK49" s="4"/>
      <c r="AL49" s="4"/>
      <c r="AM49" s="4"/>
    </row>
    <row r="50" ht="11.25" customHeight="1">
      <c r="A50" s="79"/>
      <c r="B50" s="95" t="s">
        <v>85</v>
      </c>
      <c r="C50" s="85"/>
      <c r="D50" s="85"/>
      <c r="E50" s="86"/>
      <c r="F50" s="96" t="s">
        <v>86</v>
      </c>
      <c r="G50" s="85"/>
      <c r="H50" s="86"/>
      <c r="I50" s="93" t="s">
        <v>87</v>
      </c>
      <c r="J50" s="18"/>
      <c r="K50" s="18"/>
      <c r="L50" s="18"/>
      <c r="M50" s="18"/>
      <c r="N50" s="18"/>
      <c r="O50" s="18"/>
      <c r="P50" s="18"/>
      <c r="Q50" s="62"/>
      <c r="R50" s="93" t="s">
        <v>88</v>
      </c>
      <c r="S50" s="18"/>
      <c r="T50" s="18"/>
      <c r="U50" s="18"/>
      <c r="V50" s="18"/>
      <c r="W50" s="18"/>
      <c r="X50" s="18"/>
      <c r="Y50" s="18"/>
      <c r="Z50" s="62"/>
      <c r="AA50" s="48"/>
      <c r="AB50" s="97"/>
      <c r="AC50" s="48"/>
      <c r="AD50" s="98" t="s">
        <v>89</v>
      </c>
      <c r="AE50" s="18"/>
      <c r="AF50" s="18"/>
      <c r="AG50" s="18"/>
      <c r="AH50" s="62"/>
      <c r="AI50" s="48"/>
      <c r="AJ50" s="95" t="s">
        <v>37</v>
      </c>
      <c r="AK50" s="85"/>
      <c r="AL50" s="86"/>
      <c r="AM50" s="4"/>
    </row>
    <row r="51" ht="11.25" customHeight="1">
      <c r="A51" s="79"/>
      <c r="B51" s="88"/>
      <c r="C51" s="50"/>
      <c r="D51" s="50"/>
      <c r="E51" s="78"/>
      <c r="F51" s="88"/>
      <c r="G51" s="50"/>
      <c r="H51" s="78"/>
      <c r="I51" s="99" t="s">
        <v>90</v>
      </c>
      <c r="J51" s="85"/>
      <c r="K51" s="86"/>
      <c r="L51" s="99" t="s">
        <v>91</v>
      </c>
      <c r="M51" s="85"/>
      <c r="N51" s="86"/>
      <c r="O51" s="99" t="s">
        <v>92</v>
      </c>
      <c r="P51" s="85"/>
      <c r="Q51" s="86"/>
      <c r="R51" s="99" t="s">
        <v>90</v>
      </c>
      <c r="S51" s="85"/>
      <c r="T51" s="86"/>
      <c r="U51" s="99" t="s">
        <v>91</v>
      </c>
      <c r="V51" s="85"/>
      <c r="W51" s="86"/>
      <c r="X51" s="99" t="s">
        <v>92</v>
      </c>
      <c r="Y51" s="85"/>
      <c r="Z51" s="86"/>
      <c r="AA51" s="93" t="s">
        <v>74</v>
      </c>
      <c r="AB51" s="62"/>
      <c r="AC51" s="48"/>
      <c r="AD51" s="95" t="s">
        <v>93</v>
      </c>
      <c r="AE51" s="85"/>
      <c r="AF51" s="86"/>
      <c r="AG51" s="100" t="s">
        <v>74</v>
      </c>
      <c r="AH51" s="78"/>
      <c r="AI51" s="48"/>
      <c r="AJ51" s="88"/>
      <c r="AK51" s="50"/>
      <c r="AL51" s="78"/>
      <c r="AM51" s="4"/>
    </row>
    <row r="52" ht="11.25" customHeight="1">
      <c r="A52" s="79"/>
      <c r="B52" s="63" t="s">
        <v>94</v>
      </c>
      <c r="C52" s="18"/>
      <c r="D52" s="18"/>
      <c r="E52" s="62"/>
      <c r="F52" s="101" t="s">
        <v>95</v>
      </c>
      <c r="G52" s="85"/>
      <c r="H52" s="102"/>
      <c r="I52" s="103"/>
      <c r="J52" s="104"/>
      <c r="K52" s="62"/>
      <c r="L52" s="103"/>
      <c r="M52" s="104"/>
      <c r="N52" s="62"/>
      <c r="O52" s="103"/>
      <c r="P52" s="104"/>
      <c r="Q52" s="62"/>
      <c r="R52" s="105" t="str">
        <f t="shared" ref="R52:R54" si="1">IF(OR(COUNTIF(I52,"*&gt;*"),COUNTIF(I52,"*&lt;*"),COUNTIF(I52,"N/A")),I52,IF(I52="","",I52*#REF!))</f>
        <v/>
      </c>
      <c r="S52" s="106" t="str">
        <f t="shared" ref="S52:S54" si="2">IF(J52="","",IF(ISNUMBER(J52)=FALSE, J52,J52*$AA$48))</f>
        <v/>
      </c>
      <c r="T52" s="62"/>
      <c r="U52" s="105" t="str">
        <f t="shared" ref="U52:U54" si="3">IF(OR(COUNTIF(L52,"*&gt;*"),COUNTIF(L52,"*&lt;*"),COUNTIF(L52,"N/A")),L52,IF(L52="","",L52*#REF!))</f>
        <v/>
      </c>
      <c r="V52" s="106" t="str">
        <f t="shared" ref="V52:V54" si="4">IF(M52="","",IF(ISNUMBER(M52)=FALSE, M52,M52*$AA$48))</f>
        <v/>
      </c>
      <c r="W52" s="62"/>
      <c r="X52" s="105" t="str">
        <f t="shared" ref="X52:X54" si="5">IF(OR(COUNTIF(O52,"*&gt;*"),COUNTIF(O52,"*&lt;*"),COUNTIF(O52,"N/A")),O52,IF(O52="","",O52*#REF!))</f>
        <v/>
      </c>
      <c r="Y52" s="106" t="str">
        <f t="shared" ref="Y52:Y54" si="6">IF(P52="","",IF(ISNUMBER(P52)=FALSE, P52,P52*$AA$48))</f>
        <v/>
      </c>
      <c r="Z52" s="62"/>
      <c r="AA52" s="107" t="s">
        <v>96</v>
      </c>
      <c r="AB52" s="62"/>
      <c r="AC52" s="48"/>
      <c r="AD52" s="92" t="s">
        <v>97</v>
      </c>
      <c r="AE52" s="108">
        <f t="shared" ref="AE52:AE54" si="7">IF($U$12="","",IF($U$12&lt;=250,IF(AA52="MΩ",25,0.025),IF(AA52="MΩ",100,0.1)))</f>
        <v>25</v>
      </c>
      <c r="AF52" s="62"/>
      <c r="AG52" s="53" t="str">
        <f t="shared" ref="AG52:AG54" si="8">IF(AA52="","",AA52)</f>
        <v>MΩ</v>
      </c>
      <c r="AH52" s="62"/>
      <c r="AI52" s="48"/>
      <c r="AJ52" s="109" t="str">
        <f t="shared" ref="AJ52:AJ54" si="9">IF(OR(S52="",ISNUMBER(S52)=FALSE,V52="",ISNUMBER(V52)=FALSE,Y52="",ISNUMBER(Y52)=FALSE,AE52=""),"-",IF(AE52="N/A","N/A",IF(AND(S52&gt;AE52,V52&gt;AE52,Y52&gt;AE52),"PASS","FAIL")))</f>
        <v>-</v>
      </c>
      <c r="AK52" s="18"/>
      <c r="AL52" s="62"/>
      <c r="AM52" s="4"/>
    </row>
    <row r="53" ht="11.25" customHeight="1">
      <c r="A53" s="79"/>
      <c r="B53" s="63" t="s">
        <v>98</v>
      </c>
      <c r="C53" s="18"/>
      <c r="D53" s="18"/>
      <c r="E53" s="62"/>
      <c r="F53" s="88"/>
      <c r="G53" s="50"/>
      <c r="H53" s="110"/>
      <c r="I53" s="103"/>
      <c r="J53" s="104"/>
      <c r="K53" s="62"/>
      <c r="L53" s="103"/>
      <c r="M53" s="104"/>
      <c r="N53" s="62"/>
      <c r="O53" s="103"/>
      <c r="P53" s="104"/>
      <c r="Q53" s="62"/>
      <c r="R53" s="105" t="str">
        <f t="shared" si="1"/>
        <v/>
      </c>
      <c r="S53" s="106" t="str">
        <f t="shared" si="2"/>
        <v/>
      </c>
      <c r="T53" s="62"/>
      <c r="U53" s="105" t="str">
        <f t="shared" si="3"/>
        <v/>
      </c>
      <c r="V53" s="106" t="str">
        <f t="shared" si="4"/>
        <v/>
      </c>
      <c r="W53" s="62"/>
      <c r="X53" s="105" t="str">
        <f t="shared" si="5"/>
        <v/>
      </c>
      <c r="Y53" s="106" t="str">
        <f t="shared" si="6"/>
        <v/>
      </c>
      <c r="Z53" s="62"/>
      <c r="AA53" s="107" t="s">
        <v>96</v>
      </c>
      <c r="AB53" s="62"/>
      <c r="AC53" s="48"/>
      <c r="AD53" s="92" t="s">
        <v>97</v>
      </c>
      <c r="AE53" s="108">
        <f t="shared" si="7"/>
        <v>25</v>
      </c>
      <c r="AF53" s="62"/>
      <c r="AG53" s="53" t="str">
        <f t="shared" si="8"/>
        <v>MΩ</v>
      </c>
      <c r="AH53" s="62"/>
      <c r="AI53" s="48"/>
      <c r="AJ53" s="109" t="str">
        <f t="shared" si="9"/>
        <v>-</v>
      </c>
      <c r="AK53" s="18"/>
      <c r="AL53" s="62"/>
      <c r="AM53" s="4"/>
    </row>
    <row r="54" ht="11.25" customHeight="1">
      <c r="A54" s="79"/>
      <c r="B54" s="63" t="s">
        <v>99</v>
      </c>
      <c r="C54" s="18"/>
      <c r="D54" s="18"/>
      <c r="E54" s="62"/>
      <c r="F54" s="63" t="s">
        <v>100</v>
      </c>
      <c r="G54" s="18"/>
      <c r="H54" s="19"/>
      <c r="I54" s="103"/>
      <c r="J54" s="104"/>
      <c r="K54" s="62"/>
      <c r="L54" s="103"/>
      <c r="M54" s="104"/>
      <c r="N54" s="62"/>
      <c r="O54" s="103"/>
      <c r="P54" s="104"/>
      <c r="Q54" s="62"/>
      <c r="R54" s="111" t="str">
        <f t="shared" si="1"/>
        <v/>
      </c>
      <c r="S54" s="106" t="str">
        <f t="shared" si="2"/>
        <v/>
      </c>
      <c r="T54" s="62"/>
      <c r="U54" s="111" t="str">
        <f t="shared" si="3"/>
        <v/>
      </c>
      <c r="V54" s="106" t="str">
        <f t="shared" si="4"/>
        <v/>
      </c>
      <c r="W54" s="62"/>
      <c r="X54" s="111" t="str">
        <f t="shared" si="5"/>
        <v/>
      </c>
      <c r="Y54" s="106" t="str">
        <f t="shared" si="6"/>
        <v/>
      </c>
      <c r="Z54" s="62"/>
      <c r="AA54" s="107" t="s">
        <v>96</v>
      </c>
      <c r="AB54" s="62"/>
      <c r="AC54" s="48"/>
      <c r="AD54" s="92" t="s">
        <v>101</v>
      </c>
      <c r="AE54" s="108">
        <f t="shared" si="7"/>
        <v>25</v>
      </c>
      <c r="AF54" s="62"/>
      <c r="AG54" s="53" t="str">
        <f t="shared" si="8"/>
        <v>MΩ</v>
      </c>
      <c r="AH54" s="62"/>
      <c r="AI54" s="48"/>
      <c r="AJ54" s="109" t="str">
        <f t="shared" si="9"/>
        <v>-</v>
      </c>
      <c r="AK54" s="18"/>
      <c r="AL54" s="62"/>
      <c r="AM54" s="4"/>
    </row>
    <row r="55" ht="11.25" customHeight="1">
      <c r="A55" s="79"/>
      <c r="B55" s="59"/>
      <c r="C55" s="59"/>
      <c r="D55" s="59"/>
      <c r="E55" s="59"/>
      <c r="F55" s="59"/>
      <c r="G55" s="43"/>
      <c r="H55" s="43"/>
      <c r="I55" s="43"/>
      <c r="J55" s="43"/>
      <c r="K55" s="43"/>
      <c r="L55" s="43"/>
      <c r="M55" s="43"/>
      <c r="N55" s="43"/>
      <c r="O55" s="43"/>
      <c r="P55" s="43"/>
      <c r="Q55" s="43"/>
      <c r="R55" s="43"/>
      <c r="S55" s="44"/>
      <c r="T55" s="4"/>
      <c r="U55" s="4"/>
      <c r="V55" s="4"/>
      <c r="W55" s="4"/>
      <c r="X55" s="4"/>
      <c r="Y55" s="4"/>
      <c r="Z55" s="4"/>
      <c r="AA55" s="4"/>
      <c r="AB55" s="4"/>
      <c r="AC55" s="4"/>
      <c r="AD55" s="4"/>
      <c r="AE55" s="43"/>
      <c r="AF55" s="43"/>
      <c r="AG55" s="43"/>
      <c r="AH55" s="43"/>
      <c r="AI55" s="43"/>
      <c r="AJ55" s="43"/>
      <c r="AK55" s="43"/>
      <c r="AL55" s="43"/>
      <c r="AM55" s="79"/>
    </row>
    <row r="56" ht="11.25" customHeight="1">
      <c r="A56" s="79"/>
      <c r="B56" s="59"/>
      <c r="C56" s="59"/>
      <c r="D56" s="59"/>
      <c r="E56" s="59"/>
      <c r="F56" s="59"/>
      <c r="G56" s="43"/>
      <c r="H56" s="43"/>
      <c r="I56" s="43"/>
      <c r="J56" s="43"/>
      <c r="K56" s="43"/>
      <c r="L56" s="43"/>
      <c r="M56" s="43"/>
      <c r="N56" s="43"/>
      <c r="O56" s="43"/>
      <c r="P56" s="43"/>
      <c r="Q56" s="43"/>
      <c r="R56" s="43"/>
      <c r="S56" s="44"/>
      <c r="T56" s="4"/>
      <c r="U56" s="4"/>
      <c r="V56" s="4"/>
      <c r="W56" s="4"/>
      <c r="X56" s="4"/>
      <c r="Y56" s="4"/>
      <c r="Z56" s="4"/>
      <c r="AA56" s="4"/>
      <c r="AB56" s="4"/>
      <c r="AC56" s="4"/>
      <c r="AD56" s="4"/>
      <c r="AE56" s="43"/>
      <c r="AF56" s="43"/>
      <c r="AG56" s="43"/>
      <c r="AH56" s="43"/>
      <c r="AI56" s="43"/>
      <c r="AJ56" s="43"/>
      <c r="AK56" s="43"/>
      <c r="AL56" s="43"/>
      <c r="AM56" s="79"/>
    </row>
    <row r="57" ht="11.25" customHeight="1">
      <c r="A57" s="69"/>
      <c r="B57" s="69"/>
      <c r="C57" s="69"/>
      <c r="D57" s="69"/>
      <c r="E57" s="69"/>
      <c r="F57" s="69"/>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39"/>
      <c r="AL57" s="39"/>
      <c r="AM57" s="39"/>
    </row>
    <row r="58" ht="11.25" customHeight="1">
      <c r="A58" s="112" t="s">
        <v>102</v>
      </c>
      <c r="B58" s="91"/>
      <c r="C58" s="91"/>
      <c r="D58" s="91"/>
      <c r="E58" s="91"/>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row>
    <row r="59" ht="11.2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row>
    <row r="60" ht="11.25" customHeight="1">
      <c r="A60" s="44"/>
      <c r="B60" s="4"/>
      <c r="C60" s="113" t="s">
        <v>103</v>
      </c>
      <c r="D60" s="6"/>
      <c r="E60" s="6"/>
      <c r="F60" s="6"/>
      <c r="G60" s="6"/>
      <c r="H60" s="6"/>
      <c r="I60" s="6"/>
      <c r="J60" s="6"/>
      <c r="K60" s="6"/>
      <c r="L60" s="7"/>
      <c r="M60" s="114"/>
      <c r="N60" s="9"/>
      <c r="O60" s="9"/>
      <c r="P60" s="9"/>
      <c r="Q60" s="9"/>
      <c r="R60" s="9"/>
      <c r="S60" s="10"/>
      <c r="T60" s="113" t="s">
        <v>104</v>
      </c>
      <c r="U60" s="6"/>
      <c r="V60" s="6"/>
      <c r="W60" s="6"/>
      <c r="X60" s="7"/>
      <c r="Y60" s="114"/>
      <c r="Z60" s="9"/>
      <c r="AA60" s="9"/>
      <c r="AB60" s="9"/>
      <c r="AC60" s="9"/>
      <c r="AD60" s="9"/>
      <c r="AE60" s="10"/>
      <c r="AF60" s="113" t="s">
        <v>105</v>
      </c>
      <c r="AG60" s="6"/>
      <c r="AH60" s="7"/>
      <c r="AI60" s="114"/>
      <c r="AJ60" s="9"/>
      <c r="AK60" s="9"/>
      <c r="AL60" s="10"/>
      <c r="AM60" s="44"/>
    </row>
    <row r="61" ht="11.25" customHeight="1">
      <c r="A61" s="44"/>
      <c r="B61" s="4"/>
      <c r="C61" s="4"/>
      <c r="D61" s="4"/>
      <c r="E61" s="115"/>
      <c r="F61" s="115"/>
      <c r="G61" s="115"/>
      <c r="H61" s="115"/>
      <c r="I61" s="115"/>
      <c r="J61" s="115"/>
      <c r="K61" s="115"/>
      <c r="L61" s="60"/>
      <c r="M61" s="60"/>
      <c r="N61" s="60"/>
      <c r="O61" s="60"/>
      <c r="P61" s="60"/>
      <c r="Q61" s="4"/>
      <c r="R61" s="4"/>
      <c r="S61" s="4"/>
      <c r="T61" s="4"/>
      <c r="U61" s="4"/>
      <c r="V61" s="4"/>
      <c r="W61" s="44"/>
      <c r="X61" s="60"/>
      <c r="Y61" s="60"/>
      <c r="Z61" s="60"/>
      <c r="AA61" s="115"/>
      <c r="AB61" s="115"/>
      <c r="AC61" s="115"/>
      <c r="AD61" s="115"/>
      <c r="AE61" s="44"/>
      <c r="AF61" s="44"/>
      <c r="AG61" s="44"/>
      <c r="AH61" s="44"/>
      <c r="AI61" s="4"/>
      <c r="AJ61" s="4"/>
      <c r="AK61" s="4"/>
      <c r="AL61" s="4"/>
      <c r="AM61" s="4"/>
    </row>
    <row r="62" ht="10.5" customHeight="1">
      <c r="A62" s="44"/>
      <c r="B62" s="4"/>
      <c r="C62" s="4"/>
      <c r="D62" s="4"/>
      <c r="E62" s="113" t="s">
        <v>106</v>
      </c>
      <c r="F62" s="6"/>
      <c r="G62" s="6"/>
      <c r="H62" s="6"/>
      <c r="I62" s="6"/>
      <c r="J62" s="6"/>
      <c r="K62" s="6"/>
      <c r="L62" s="7"/>
      <c r="M62" s="116"/>
      <c r="N62" s="9"/>
      <c r="O62" s="9"/>
      <c r="P62" s="9"/>
      <c r="Q62" s="9"/>
      <c r="R62" s="9"/>
      <c r="S62" s="10"/>
      <c r="T62" s="113" t="s">
        <v>104</v>
      </c>
      <c r="U62" s="6"/>
      <c r="V62" s="6"/>
      <c r="W62" s="6"/>
      <c r="X62" s="7"/>
      <c r="Y62" s="114"/>
      <c r="Z62" s="9"/>
      <c r="AA62" s="9"/>
      <c r="AB62" s="9"/>
      <c r="AC62" s="9"/>
      <c r="AD62" s="9"/>
      <c r="AE62" s="10"/>
      <c r="AF62" s="113" t="s">
        <v>105</v>
      </c>
      <c r="AG62" s="6"/>
      <c r="AH62" s="7"/>
      <c r="AI62" s="114"/>
      <c r="AJ62" s="9"/>
      <c r="AK62" s="9"/>
      <c r="AL62" s="10"/>
      <c r="AM62" s="44"/>
    </row>
    <row r="63" ht="11.2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row>
    <row r="64" ht="11.25" customHeight="1">
      <c r="A64" s="40" t="s">
        <v>107</v>
      </c>
      <c r="B64" s="4"/>
      <c r="C64" s="44"/>
      <c r="D64" s="44"/>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44"/>
    </row>
    <row r="65" ht="11.25" customHeight="1">
      <c r="A65" s="40"/>
      <c r="B65" s="117"/>
      <c r="AM65" s="44"/>
    </row>
    <row r="66" ht="11.25" customHeight="1">
      <c r="A66" s="40"/>
      <c r="AM66" s="44"/>
    </row>
    <row r="67" ht="11.25" customHeight="1">
      <c r="A67" s="40"/>
      <c r="AM67" s="44"/>
    </row>
    <row r="68" ht="11.25" customHeight="1">
      <c r="A68" s="40"/>
      <c r="AM68" s="44"/>
    </row>
    <row r="69" ht="11.25" customHeight="1">
      <c r="A69" s="40"/>
      <c r="AM69" s="44"/>
    </row>
    <row r="70" ht="11.25" customHeight="1">
      <c r="A70" s="40"/>
      <c r="AM70" s="44"/>
    </row>
    <row r="71" ht="11.25" customHeight="1">
      <c r="A71" s="40"/>
      <c r="AM71" s="44"/>
    </row>
    <row r="72" ht="10.5" customHeight="1">
      <c r="A72" s="40"/>
      <c r="AM72" s="44"/>
    </row>
    <row r="73" ht="10.5" customHeight="1">
      <c r="A73" s="40"/>
      <c r="AM73" s="44"/>
    </row>
    <row r="74" ht="10.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row>
    <row r="75" ht="10.5" customHeight="1">
      <c r="A75" s="40" t="s">
        <v>108</v>
      </c>
      <c r="B75" s="4"/>
      <c r="C75" s="44"/>
      <c r="D75" s="44"/>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44"/>
    </row>
    <row r="76" ht="10.5" customHeight="1">
      <c r="A76" s="118"/>
      <c r="B76" s="48"/>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row>
    <row r="77" ht="10.5" customHeight="1">
      <c r="A77" s="118"/>
      <c r="B77" s="119" t="s">
        <v>109</v>
      </c>
      <c r="C77" s="18"/>
      <c r="D77" s="62"/>
      <c r="E77" s="61" t="s">
        <v>110</v>
      </c>
      <c r="F77" s="18"/>
      <c r="G77" s="18"/>
      <c r="H77" s="18"/>
      <c r="I77" s="18"/>
      <c r="J77" s="62"/>
      <c r="K77" s="48"/>
      <c r="L77" s="119" t="s">
        <v>111</v>
      </c>
      <c r="M77" s="18"/>
      <c r="N77" s="62"/>
      <c r="O77" s="61" t="s">
        <v>112</v>
      </c>
      <c r="P77" s="18"/>
      <c r="Q77" s="18"/>
      <c r="R77" s="18"/>
      <c r="S77" s="18"/>
      <c r="T77" s="18"/>
      <c r="U77" s="62"/>
      <c r="V77" s="13"/>
      <c r="W77" s="120" t="s">
        <v>113</v>
      </c>
      <c r="X77" s="18"/>
      <c r="Y77" s="62"/>
      <c r="Z77" s="120" t="s">
        <v>114</v>
      </c>
      <c r="AA77" s="18"/>
      <c r="AB77" s="18"/>
      <c r="AC77" s="18"/>
      <c r="AD77" s="18"/>
      <c r="AE77" s="18"/>
      <c r="AF77" s="18"/>
      <c r="AG77" s="18"/>
      <c r="AH77" s="18"/>
      <c r="AI77" s="62"/>
      <c r="AJ77" s="48"/>
      <c r="AK77" s="48"/>
      <c r="AL77" s="48"/>
      <c r="AM77" s="48"/>
    </row>
    <row r="78" ht="10.5" customHeight="1">
      <c r="A78" s="118"/>
      <c r="B78" s="119" t="s">
        <v>115</v>
      </c>
      <c r="C78" s="18"/>
      <c r="D78" s="62"/>
      <c r="E78" s="121" t="s">
        <v>116</v>
      </c>
      <c r="F78" s="18"/>
      <c r="G78" s="18"/>
      <c r="H78" s="18"/>
      <c r="I78" s="18"/>
      <c r="J78" s="62"/>
      <c r="K78" s="48"/>
      <c r="L78" s="119" t="s">
        <v>117</v>
      </c>
      <c r="M78" s="18"/>
      <c r="N78" s="62"/>
      <c r="O78" s="121" t="s">
        <v>118</v>
      </c>
      <c r="P78" s="18"/>
      <c r="Q78" s="18"/>
      <c r="R78" s="18"/>
      <c r="S78" s="18"/>
      <c r="T78" s="18"/>
      <c r="U78" s="62"/>
      <c r="V78" s="122"/>
      <c r="W78" s="120" t="s">
        <v>119</v>
      </c>
      <c r="X78" s="18"/>
      <c r="Y78" s="62"/>
      <c r="Z78" s="120" t="s">
        <v>120</v>
      </c>
      <c r="AA78" s="18"/>
      <c r="AB78" s="18"/>
      <c r="AC78" s="18"/>
      <c r="AD78" s="18"/>
      <c r="AE78" s="18"/>
      <c r="AF78" s="18"/>
      <c r="AG78" s="18"/>
      <c r="AH78" s="18"/>
      <c r="AI78" s="62"/>
      <c r="AJ78" s="48"/>
      <c r="AK78" s="48"/>
      <c r="AL78" s="48"/>
      <c r="AM78" s="48"/>
    </row>
    <row r="79" ht="10.5" customHeight="1">
      <c r="A79" s="118"/>
      <c r="B79" s="119" t="s">
        <v>121</v>
      </c>
      <c r="C79" s="18"/>
      <c r="D79" s="62"/>
      <c r="E79" s="121" t="s">
        <v>122</v>
      </c>
      <c r="F79" s="18"/>
      <c r="G79" s="18"/>
      <c r="H79" s="18"/>
      <c r="I79" s="18"/>
      <c r="J79" s="62"/>
      <c r="K79" s="48"/>
      <c r="L79" s="119" t="s">
        <v>123</v>
      </c>
      <c r="M79" s="18"/>
      <c r="N79" s="62"/>
      <c r="O79" s="121" t="s">
        <v>124</v>
      </c>
      <c r="P79" s="18"/>
      <c r="Q79" s="18"/>
      <c r="R79" s="18"/>
      <c r="S79" s="18"/>
      <c r="T79" s="18"/>
      <c r="U79" s="62"/>
      <c r="V79" s="122"/>
      <c r="W79" s="48"/>
      <c r="X79" s="48"/>
      <c r="Y79" s="48"/>
      <c r="Z79" s="48"/>
      <c r="AA79" s="48"/>
      <c r="AB79" s="48"/>
      <c r="AC79" s="48"/>
      <c r="AD79" s="48"/>
      <c r="AE79" s="48"/>
      <c r="AF79" s="48"/>
      <c r="AG79" s="48"/>
      <c r="AH79" s="48"/>
      <c r="AI79" s="48"/>
      <c r="AJ79" s="48"/>
      <c r="AK79" s="48"/>
      <c r="AL79" s="48"/>
      <c r="AM79" s="48"/>
    </row>
    <row r="80" ht="10.5" customHeight="1">
      <c r="A80" s="118"/>
      <c r="B80" s="119" t="s">
        <v>125</v>
      </c>
      <c r="C80" s="18"/>
      <c r="D80" s="62"/>
      <c r="E80" s="121" t="s">
        <v>126</v>
      </c>
      <c r="F80" s="18"/>
      <c r="G80" s="18"/>
      <c r="H80" s="18"/>
      <c r="I80" s="18"/>
      <c r="J80" s="62"/>
      <c r="K80" s="48"/>
      <c r="L80" s="119" t="s">
        <v>127</v>
      </c>
      <c r="M80" s="18"/>
      <c r="N80" s="62"/>
      <c r="O80" s="121" t="s">
        <v>128</v>
      </c>
      <c r="P80" s="18"/>
      <c r="Q80" s="18"/>
      <c r="R80" s="18"/>
      <c r="S80" s="18"/>
      <c r="T80" s="18"/>
      <c r="U80" s="62"/>
      <c r="V80" s="122"/>
      <c r="W80" s="48"/>
      <c r="X80" s="48"/>
      <c r="Y80" s="48"/>
      <c r="Z80" s="48"/>
      <c r="AA80" s="48"/>
      <c r="AB80" s="48"/>
      <c r="AC80" s="48"/>
      <c r="AD80" s="48"/>
      <c r="AE80" s="48"/>
      <c r="AF80" s="48"/>
      <c r="AG80" s="48"/>
      <c r="AH80" s="48"/>
      <c r="AI80" s="48"/>
      <c r="AJ80" s="48"/>
      <c r="AK80" s="48"/>
      <c r="AL80" s="48"/>
      <c r="AM80" s="48"/>
    </row>
    <row r="81" ht="10.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row>
    <row r="82" ht="10.5" customHeight="1">
      <c r="A82" s="40" t="s">
        <v>129</v>
      </c>
      <c r="B82" s="4"/>
      <c r="C82" s="44"/>
      <c r="D82" s="44"/>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44"/>
    </row>
    <row r="83" ht="10.5" customHeight="1">
      <c r="A83" s="40"/>
      <c r="B83" s="123"/>
      <c r="C83" s="123"/>
      <c r="D83" s="123"/>
      <c r="E83" s="123"/>
      <c r="F83" s="123"/>
      <c r="G83" s="123"/>
      <c r="H83" s="123"/>
      <c r="I83" s="123"/>
      <c r="J83" s="123"/>
      <c r="K83" s="123"/>
      <c r="L83" s="123"/>
      <c r="M83" s="123"/>
      <c r="N83" s="123"/>
      <c r="O83" s="123"/>
      <c r="P83" s="123"/>
      <c r="Q83" s="123"/>
      <c r="R83" s="123"/>
      <c r="S83" s="123"/>
      <c r="T83" s="123"/>
      <c r="U83" s="123"/>
      <c r="V83" s="4"/>
      <c r="W83" s="4"/>
      <c r="X83" s="4"/>
      <c r="Y83" s="4"/>
      <c r="Z83" s="4"/>
      <c r="AA83" s="4"/>
      <c r="AB83" s="4"/>
      <c r="AC83" s="4"/>
      <c r="AD83" s="4"/>
      <c r="AE83" s="4"/>
      <c r="AF83" s="4"/>
      <c r="AG83" s="4"/>
      <c r="AH83" s="4"/>
      <c r="AI83" s="4"/>
      <c r="AJ83" s="4"/>
      <c r="AK83" s="4"/>
      <c r="AL83" s="4"/>
      <c r="AM83" s="44"/>
    </row>
    <row r="84" ht="10.5" customHeight="1">
      <c r="A84" s="40"/>
      <c r="B84" s="124" t="s">
        <v>54</v>
      </c>
      <c r="C84" s="62"/>
      <c r="D84" s="125" t="s">
        <v>130</v>
      </c>
      <c r="E84" s="18"/>
      <c r="F84" s="18"/>
      <c r="G84" s="18"/>
      <c r="H84" s="18"/>
      <c r="I84" s="18"/>
      <c r="J84" s="18"/>
      <c r="K84" s="18"/>
      <c r="L84" s="18"/>
      <c r="M84" s="18"/>
      <c r="N84" s="18"/>
      <c r="O84" s="18"/>
      <c r="P84" s="18"/>
      <c r="Q84" s="62"/>
      <c r="R84" s="48"/>
      <c r="S84" s="124" t="s">
        <v>131</v>
      </c>
      <c r="T84" s="62"/>
      <c r="U84" s="125" t="s">
        <v>132</v>
      </c>
      <c r="V84" s="18"/>
      <c r="W84" s="18"/>
      <c r="X84" s="18"/>
      <c r="Y84" s="18"/>
      <c r="Z84" s="18"/>
      <c r="AA84" s="18"/>
      <c r="AB84" s="18"/>
      <c r="AC84" s="18"/>
      <c r="AD84" s="62"/>
      <c r="AE84" s="44"/>
      <c r="AF84" s="4"/>
      <c r="AG84" s="4"/>
      <c r="AH84" s="4"/>
      <c r="AI84" s="4"/>
      <c r="AJ84" s="4"/>
      <c r="AK84" s="4"/>
      <c r="AL84" s="4"/>
      <c r="AM84" s="4"/>
    </row>
    <row r="85" ht="10.5" customHeight="1">
      <c r="A85" s="40"/>
      <c r="B85" s="124" t="s">
        <v>133</v>
      </c>
      <c r="C85" s="62"/>
      <c r="D85" s="125" t="s">
        <v>134</v>
      </c>
      <c r="E85" s="18"/>
      <c r="F85" s="18"/>
      <c r="G85" s="18"/>
      <c r="H85" s="18"/>
      <c r="I85" s="18"/>
      <c r="J85" s="18"/>
      <c r="K85" s="18"/>
      <c r="L85" s="18"/>
      <c r="M85" s="18"/>
      <c r="N85" s="18"/>
      <c r="O85" s="18"/>
      <c r="P85" s="18"/>
      <c r="Q85" s="62"/>
      <c r="R85" s="48"/>
      <c r="S85" s="124" t="s">
        <v>135</v>
      </c>
      <c r="T85" s="62"/>
      <c r="U85" s="125" t="s">
        <v>136</v>
      </c>
      <c r="V85" s="18"/>
      <c r="W85" s="18"/>
      <c r="X85" s="18"/>
      <c r="Y85" s="18"/>
      <c r="Z85" s="18"/>
      <c r="AA85" s="18"/>
      <c r="AB85" s="18"/>
      <c r="AC85" s="18"/>
      <c r="AD85" s="62"/>
      <c r="AE85" s="44"/>
      <c r="AF85" s="4"/>
      <c r="AG85" s="4"/>
      <c r="AH85" s="4"/>
      <c r="AI85" s="4"/>
      <c r="AJ85" s="4"/>
      <c r="AK85" s="4"/>
      <c r="AL85" s="4"/>
      <c r="AM85" s="4"/>
    </row>
    <row r="86" ht="10.5" customHeight="1">
      <c r="A86" s="40"/>
      <c r="B86" s="124" t="s">
        <v>137</v>
      </c>
      <c r="C86" s="62"/>
      <c r="D86" s="125" t="s">
        <v>138</v>
      </c>
      <c r="E86" s="18"/>
      <c r="F86" s="18"/>
      <c r="G86" s="18"/>
      <c r="H86" s="18"/>
      <c r="I86" s="18"/>
      <c r="J86" s="18"/>
      <c r="K86" s="18"/>
      <c r="L86" s="18"/>
      <c r="M86" s="18"/>
      <c r="N86" s="18"/>
      <c r="O86" s="18"/>
      <c r="P86" s="18"/>
      <c r="Q86" s="62"/>
      <c r="R86" s="48"/>
      <c r="S86" s="124" t="s">
        <v>139</v>
      </c>
      <c r="T86" s="62"/>
      <c r="U86" s="125" t="s">
        <v>140</v>
      </c>
      <c r="V86" s="18"/>
      <c r="W86" s="18"/>
      <c r="X86" s="18"/>
      <c r="Y86" s="18"/>
      <c r="Z86" s="18"/>
      <c r="AA86" s="18"/>
      <c r="AB86" s="18"/>
      <c r="AC86" s="18"/>
      <c r="AD86" s="62"/>
      <c r="AE86" s="44"/>
      <c r="AF86" s="4"/>
      <c r="AG86" s="4"/>
      <c r="AH86" s="4"/>
      <c r="AI86" s="4"/>
      <c r="AJ86" s="4"/>
      <c r="AK86" s="4"/>
      <c r="AL86" s="4"/>
      <c r="AM86" s="4"/>
    </row>
    <row r="87" ht="10.5" customHeight="1">
      <c r="A87" s="40"/>
      <c r="B87" s="124" t="s">
        <v>141</v>
      </c>
      <c r="C87" s="62"/>
      <c r="D87" s="125" t="s">
        <v>142</v>
      </c>
      <c r="E87" s="18"/>
      <c r="F87" s="18"/>
      <c r="G87" s="18"/>
      <c r="H87" s="18"/>
      <c r="I87" s="18"/>
      <c r="J87" s="18"/>
      <c r="K87" s="18"/>
      <c r="L87" s="18"/>
      <c r="M87" s="18"/>
      <c r="N87" s="18"/>
      <c r="O87" s="18"/>
      <c r="P87" s="18"/>
      <c r="Q87" s="62"/>
      <c r="R87" s="48"/>
      <c r="S87" s="124" t="s">
        <v>143</v>
      </c>
      <c r="T87" s="62"/>
      <c r="U87" s="125" t="s">
        <v>144</v>
      </c>
      <c r="V87" s="18"/>
      <c r="W87" s="18"/>
      <c r="X87" s="18"/>
      <c r="Y87" s="18"/>
      <c r="Z87" s="18"/>
      <c r="AA87" s="18"/>
      <c r="AB87" s="18"/>
      <c r="AC87" s="18"/>
      <c r="AD87" s="62"/>
      <c r="AE87" s="44"/>
      <c r="AF87" s="4"/>
      <c r="AG87" s="4"/>
      <c r="AH87" s="4"/>
      <c r="AI87" s="4"/>
      <c r="AJ87" s="4"/>
      <c r="AK87" s="4"/>
      <c r="AL87" s="4"/>
      <c r="AM87" s="4"/>
    </row>
    <row r="88" ht="10.5" customHeight="1">
      <c r="A88" s="40"/>
      <c r="B88" s="124" t="s">
        <v>145</v>
      </c>
      <c r="C88" s="62"/>
      <c r="D88" s="125" t="s">
        <v>146</v>
      </c>
      <c r="E88" s="18"/>
      <c r="F88" s="18"/>
      <c r="G88" s="18"/>
      <c r="H88" s="18"/>
      <c r="I88" s="18"/>
      <c r="J88" s="18"/>
      <c r="K88" s="18"/>
      <c r="L88" s="18"/>
      <c r="M88" s="18"/>
      <c r="N88" s="18"/>
      <c r="O88" s="18"/>
      <c r="P88" s="18"/>
      <c r="Q88" s="62"/>
      <c r="R88" s="48"/>
      <c r="S88" s="124" t="s">
        <v>147</v>
      </c>
      <c r="T88" s="62"/>
      <c r="U88" s="125" t="s">
        <v>148</v>
      </c>
      <c r="V88" s="18"/>
      <c r="W88" s="18"/>
      <c r="X88" s="18"/>
      <c r="Y88" s="18"/>
      <c r="Z88" s="18"/>
      <c r="AA88" s="18"/>
      <c r="AB88" s="18"/>
      <c r="AC88" s="18"/>
      <c r="AD88" s="62"/>
      <c r="AE88" s="44"/>
      <c r="AF88" s="4"/>
      <c r="AG88" s="4"/>
      <c r="AH88" s="4"/>
      <c r="AI88" s="4"/>
      <c r="AJ88" s="4"/>
      <c r="AK88" s="4"/>
      <c r="AL88" s="4"/>
      <c r="AM88" s="4"/>
    </row>
    <row r="89" ht="10.5" customHeight="1">
      <c r="A89" s="40"/>
      <c r="B89" s="124" t="s">
        <v>149</v>
      </c>
      <c r="C89" s="62"/>
      <c r="D89" s="125" t="s">
        <v>150</v>
      </c>
      <c r="E89" s="18"/>
      <c r="F89" s="18"/>
      <c r="G89" s="18"/>
      <c r="H89" s="18"/>
      <c r="I89" s="18"/>
      <c r="J89" s="18"/>
      <c r="K89" s="18"/>
      <c r="L89" s="18"/>
      <c r="M89" s="18"/>
      <c r="N89" s="18"/>
      <c r="O89" s="18"/>
      <c r="P89" s="18"/>
      <c r="Q89" s="62"/>
      <c r="R89" s="48"/>
      <c r="S89" s="124" t="s">
        <v>151</v>
      </c>
      <c r="T89" s="62"/>
      <c r="U89" s="125" t="s">
        <v>152</v>
      </c>
      <c r="V89" s="18"/>
      <c r="W89" s="18"/>
      <c r="X89" s="18"/>
      <c r="Y89" s="18"/>
      <c r="Z89" s="18"/>
      <c r="AA89" s="18"/>
      <c r="AB89" s="18"/>
      <c r="AC89" s="18"/>
      <c r="AD89" s="62"/>
      <c r="AE89" s="44"/>
      <c r="AF89" s="4"/>
      <c r="AG89" s="4"/>
      <c r="AH89" s="4"/>
      <c r="AI89" s="4"/>
      <c r="AJ89" s="4"/>
      <c r="AK89" s="4"/>
      <c r="AL89" s="4"/>
      <c r="AM89" s="4"/>
    </row>
    <row r="90" ht="10.5" customHeight="1">
      <c r="A90" s="40"/>
      <c r="B90" s="124" t="s">
        <v>153</v>
      </c>
      <c r="C90" s="62"/>
      <c r="D90" s="125" t="s">
        <v>66</v>
      </c>
      <c r="E90" s="18"/>
      <c r="F90" s="18"/>
      <c r="G90" s="18"/>
      <c r="H90" s="18"/>
      <c r="I90" s="18"/>
      <c r="J90" s="18"/>
      <c r="K90" s="18"/>
      <c r="L90" s="18"/>
      <c r="M90" s="18"/>
      <c r="N90" s="18"/>
      <c r="O90" s="18"/>
      <c r="P90" s="18"/>
      <c r="Q90" s="62"/>
      <c r="R90" s="48"/>
      <c r="S90" s="124" t="s">
        <v>154</v>
      </c>
      <c r="T90" s="62"/>
      <c r="U90" s="125" t="s">
        <v>155</v>
      </c>
      <c r="V90" s="18"/>
      <c r="W90" s="18"/>
      <c r="X90" s="18"/>
      <c r="Y90" s="18"/>
      <c r="Z90" s="18"/>
      <c r="AA90" s="18"/>
      <c r="AB90" s="18"/>
      <c r="AC90" s="18"/>
      <c r="AD90" s="62"/>
      <c r="AE90" s="44"/>
      <c r="AF90" s="4"/>
      <c r="AG90" s="4"/>
      <c r="AH90" s="4"/>
      <c r="AI90" s="4"/>
      <c r="AJ90" s="4"/>
      <c r="AK90" s="4"/>
      <c r="AL90" s="4"/>
      <c r="AM90" s="4"/>
    </row>
    <row r="91" ht="11.2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row>
    <row r="92" ht="11.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ht="11.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ht="11.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ht="11.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ht="11.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ht="11.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ht="11.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ht="11.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ht="11.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ht="11.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ht="11.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ht="11.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ht="11.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ht="11.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ht="11.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ht="11.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ht="11.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ht="11.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ht="11.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ht="11.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ht="11.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ht="11.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ht="11.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ht="11.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1.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1.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1.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1.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1.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1.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1.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1.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1.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1.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1.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1.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1.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1.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1.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1.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1.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1.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1.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1.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1.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1.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1.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1.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1.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1.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1.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1.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1.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1.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1.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1.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1.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1.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1.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1.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1.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1.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1.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1.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1.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1.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1.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1.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1.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1.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1.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1.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1.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1.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1.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1.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1.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1.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1.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1.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1.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1.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1.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1.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1.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1.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1.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1.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1.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1.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1.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1.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1.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1.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1.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1.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1.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1.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1.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1.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1.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1.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1.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1.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1.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1.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1.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1.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1.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1.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1.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1.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1.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1.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1.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1.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1.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1.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1.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1.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1.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1.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1.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1.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1.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1.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1.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1.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1.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1.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1.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1.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1.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1.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1.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1.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1.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1.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1.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1.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1.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1.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1.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1.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1.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1.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1.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1.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1.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1.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1.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1.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1.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1.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1.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1.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1.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1.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1.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1.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1.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1.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1.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1.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1.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1.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1.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1.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1.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1.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1.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1.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1.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1.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1.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1.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1.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1.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1.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1.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1.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1.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1.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1.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1.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1.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1.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1.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1.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1.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1.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1.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1.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1.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1.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1.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1.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1.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1.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1.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1.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1.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1.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1.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1.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1.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1.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1.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1.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1.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1.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1.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1.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1.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1.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1.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1.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1.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1.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1.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1.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1.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1.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1.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1.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1.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1.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1.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1.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1.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1.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1.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1.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1.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1.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1.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1.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1.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1.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1.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1.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1.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1.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1.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1.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1.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1.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1.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1.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1.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1.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1.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1.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1.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1.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1.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1.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1.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1.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1.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1.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1.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1.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1.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1.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1.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1.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1.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1.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1.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1.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1.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1.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1.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1.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1.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1.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1.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1.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1.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1.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1.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1.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1.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1.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1.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1.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1.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1.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1.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1.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1.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1.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1.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1.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1.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1.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1.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1.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1.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1.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1.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1.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1.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1.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1.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1.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1.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1.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1.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1.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1.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1.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1.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1.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1.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1.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1.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1.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1.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1.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1.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1.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1.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1.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1.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1.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1.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1.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1.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1.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1.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1.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1.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1.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1.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1.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1.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1.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1.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1.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1.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1.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1.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1.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1.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1.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1.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1.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1.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1.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1.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1.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1.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1.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1.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1.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1.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1.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1.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1.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1.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1.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1.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1.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1.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1.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1.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1.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1.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1.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1.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1.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1.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1.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1.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1.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1.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1.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1.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1.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1.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1.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1.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1.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1.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1.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1.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1.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1.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1.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1.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1.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1.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1.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1.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1.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1.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1.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1.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1.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1.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1.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1.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1.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1.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1.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1.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1.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1.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1.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1.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1.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1.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1.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1.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1.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1.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1.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1.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1.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1.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1.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1.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1.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1.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1.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1.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1.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1.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1.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1.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1.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1.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1.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1.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1.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1.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1.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1.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1.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1.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1.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1.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1.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1.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1.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1.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1.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1.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1.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1.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1.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1.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1.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1.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1.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1.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1.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1.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1.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1.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1.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1.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1.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1.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1.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1.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1.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1.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1.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1.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1.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1.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1.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1.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1.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1.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1.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1.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1.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1.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1.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1.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1.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1.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1.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1.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1.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1.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1.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1.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1.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1.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1.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1.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1.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1.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1.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1.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1.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1.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1.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1.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1.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1.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1.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1.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1.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1.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1.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1.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1.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1.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1.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1.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1.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1.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1.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1.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1.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1.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1.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1.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1.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1.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1.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1.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1.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1.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1.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1.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1.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1.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1.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1.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1.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1.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1.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1.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1.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1.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1.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1.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1.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1.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1.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1.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1.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1.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1.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1.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1.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1.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1.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1.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1.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1.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1.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1.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1.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1.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1.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1.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1.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1.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1.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1.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1.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1.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1.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1.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1.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1.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1.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1.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1.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1.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1.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1.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1.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1.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1.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1.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1.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1.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1.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1.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1.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1.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1.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1.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1.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1.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1.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1.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1.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1.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1.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1.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1.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1.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1.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1.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1.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1.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1.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1.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1.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1.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1.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1.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1.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1.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1.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1.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1.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1.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1.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1.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1.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1.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1.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1.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1.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1.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1.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1.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1.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1.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1.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1.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1.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1.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1.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1.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1.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1.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1.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1.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1.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1.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1.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1.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1.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1.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1.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1.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1.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1.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1.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1.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1.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1.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1.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1.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1.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1.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1.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1.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1.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1.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1.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1.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1.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1.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1.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1.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1.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1.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1.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1.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1.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1.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1.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1.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1.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1.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1.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1.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1.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1.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1.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1.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1.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1.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1.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1.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1.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1.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1.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1.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1.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1.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1.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1.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1.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1.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1.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1.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1.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1.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1.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1.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1.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1.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1.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1.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1.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1.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1.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1.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1.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1.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1.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1.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1.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1.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1.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1.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1.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1.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1.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1.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1.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1.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1.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1.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1.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1.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1.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1.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1.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1.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1.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1.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1.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1.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1.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1.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1.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1.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1.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1.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1.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1.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1.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1.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1.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1.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1.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1.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1.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1.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1.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1.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1.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1.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1.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1.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1.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1.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1.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1.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1.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1.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1.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1.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1.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1.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1.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1.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1.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1.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1.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1.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1.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1.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1.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1.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1.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1.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1.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1.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1.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1.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1.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1.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1.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1.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1.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1.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1.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1.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1.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1.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1.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1.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1.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1.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1.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1.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1.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1.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1.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1.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1.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1.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1.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1.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1.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1.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1.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1.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1.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1.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1.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1.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1.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1.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1.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1.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1.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1.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1.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1.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1.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1.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1.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1.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1.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1.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1.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1.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1.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1.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1.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1.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1.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1.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1.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1.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1.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1.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1.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1.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1.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1.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1.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1.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1.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1.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1.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1.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1.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1.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1.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1.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1.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1.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1.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1.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1.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1.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1.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1.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1.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1.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1.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1.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1.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1.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1.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1.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1.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1.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1.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1.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1.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1.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1.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1.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1.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1.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1.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1.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1.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1.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1.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1.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1.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1.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1.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1.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1.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1.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1.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1.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1.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1.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1.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1.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1.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1.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1.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1.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1.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1.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1.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266">
    <mergeCell ref="C60:L60"/>
    <mergeCell ref="M60:S60"/>
    <mergeCell ref="T60:X60"/>
    <mergeCell ref="Y60:AE60"/>
    <mergeCell ref="AF60:AH60"/>
    <mergeCell ref="AI60:AL60"/>
    <mergeCell ref="AI62:AL62"/>
    <mergeCell ref="E62:L62"/>
    <mergeCell ref="B65:AL73"/>
    <mergeCell ref="E77:J77"/>
    <mergeCell ref="L77:N77"/>
    <mergeCell ref="O77:U77"/>
    <mergeCell ref="W77:Y77"/>
    <mergeCell ref="Z77:AI77"/>
    <mergeCell ref="S85:T85"/>
    <mergeCell ref="U85:AD85"/>
    <mergeCell ref="B80:D80"/>
    <mergeCell ref="B84:C84"/>
    <mergeCell ref="D84:Q84"/>
    <mergeCell ref="S84:T84"/>
    <mergeCell ref="U84:AD84"/>
    <mergeCell ref="B85:C85"/>
    <mergeCell ref="D85:Q85"/>
    <mergeCell ref="B86:C86"/>
    <mergeCell ref="D86:Q86"/>
    <mergeCell ref="S86:T86"/>
    <mergeCell ref="U86:AD86"/>
    <mergeCell ref="D87:Q87"/>
    <mergeCell ref="S87:T87"/>
    <mergeCell ref="U87:AD87"/>
    <mergeCell ref="B90:C90"/>
    <mergeCell ref="D90:Q90"/>
    <mergeCell ref="S90:T90"/>
    <mergeCell ref="U90:AD90"/>
    <mergeCell ref="B87:C87"/>
    <mergeCell ref="B88:C88"/>
    <mergeCell ref="D88:Q88"/>
    <mergeCell ref="S88:T88"/>
    <mergeCell ref="U88:AD88"/>
    <mergeCell ref="B89:C89"/>
    <mergeCell ref="D89:Q89"/>
    <mergeCell ref="P52:Q52"/>
    <mergeCell ref="P53:Q53"/>
    <mergeCell ref="P54:Q54"/>
    <mergeCell ref="AA54:AB54"/>
    <mergeCell ref="AE54:AF54"/>
    <mergeCell ref="AG54:AH54"/>
    <mergeCell ref="AJ54:AL54"/>
    <mergeCell ref="B54:E54"/>
    <mergeCell ref="F54:H54"/>
    <mergeCell ref="J54:K54"/>
    <mergeCell ref="M54:N54"/>
    <mergeCell ref="S54:T54"/>
    <mergeCell ref="V54:W54"/>
    <mergeCell ref="Y54:Z54"/>
    <mergeCell ref="L51:N51"/>
    <mergeCell ref="O51:Q51"/>
    <mergeCell ref="B52:E52"/>
    <mergeCell ref="F52:H53"/>
    <mergeCell ref="M52:N52"/>
    <mergeCell ref="B53:E53"/>
    <mergeCell ref="M53:N53"/>
    <mergeCell ref="M62:S62"/>
    <mergeCell ref="T62:X62"/>
    <mergeCell ref="Y62:AE62"/>
    <mergeCell ref="AF62:AH62"/>
    <mergeCell ref="S89:T89"/>
    <mergeCell ref="U89:AD89"/>
    <mergeCell ref="Z2:AD2"/>
    <mergeCell ref="Z3:AD3"/>
    <mergeCell ref="Z5:AD5"/>
    <mergeCell ref="AE5:AL5"/>
    <mergeCell ref="Z6:AD6"/>
    <mergeCell ref="AE6:AL6"/>
    <mergeCell ref="G4:X4"/>
    <mergeCell ref="Z4:AD4"/>
    <mergeCell ref="A1:AM1"/>
    <mergeCell ref="B2:E2"/>
    <mergeCell ref="G2:X2"/>
    <mergeCell ref="AE2:AH2"/>
    <mergeCell ref="AJ2:AL4"/>
    <mergeCell ref="G3:X3"/>
    <mergeCell ref="AE3:AH3"/>
    <mergeCell ref="AE4:AH4"/>
    <mergeCell ref="B3:E3"/>
    <mergeCell ref="B4:E4"/>
    <mergeCell ref="G5:J5"/>
    <mergeCell ref="L5:M5"/>
    <mergeCell ref="N5:O5"/>
    <mergeCell ref="Q5:R5"/>
    <mergeCell ref="T5:V5"/>
    <mergeCell ref="G6:X6"/>
    <mergeCell ref="B5:E5"/>
    <mergeCell ref="B6:F6"/>
    <mergeCell ref="G10:M10"/>
    <mergeCell ref="O10:T10"/>
    <mergeCell ref="U10:Y10"/>
    <mergeCell ref="AA10:AE10"/>
    <mergeCell ref="AF10:AL10"/>
    <mergeCell ref="B10:F10"/>
    <mergeCell ref="B11:F11"/>
    <mergeCell ref="G11:M11"/>
    <mergeCell ref="O11:T11"/>
    <mergeCell ref="U11:Y11"/>
    <mergeCell ref="AA11:AE11"/>
    <mergeCell ref="AF11:AL11"/>
    <mergeCell ref="AA12:AE12"/>
    <mergeCell ref="AA13:AE13"/>
    <mergeCell ref="Q32:S32"/>
    <mergeCell ref="T32:V32"/>
    <mergeCell ref="W32:X32"/>
    <mergeCell ref="Z32:AD32"/>
    <mergeCell ref="AE32:AG32"/>
    <mergeCell ref="AH32:AJ32"/>
    <mergeCell ref="AK32:AL32"/>
    <mergeCell ref="L32:P32"/>
    <mergeCell ref="B33:J33"/>
    <mergeCell ref="L33:P33"/>
    <mergeCell ref="Q33:S33"/>
    <mergeCell ref="T33:V33"/>
    <mergeCell ref="W33:X33"/>
    <mergeCell ref="Z33:AD33"/>
    <mergeCell ref="AK33:AL33"/>
    <mergeCell ref="B12:F12"/>
    <mergeCell ref="G12:M12"/>
    <mergeCell ref="U12:Y12"/>
    <mergeCell ref="AF12:AL12"/>
    <mergeCell ref="G13:M13"/>
    <mergeCell ref="U13:Y13"/>
    <mergeCell ref="AF13:AL13"/>
    <mergeCell ref="O12:T12"/>
    <mergeCell ref="O13:T13"/>
    <mergeCell ref="O14:T14"/>
    <mergeCell ref="U14:Y14"/>
    <mergeCell ref="AA14:AE14"/>
    <mergeCell ref="AF14:AL14"/>
    <mergeCell ref="AH19:AL19"/>
    <mergeCell ref="F23:AG23"/>
    <mergeCell ref="F24:AG24"/>
    <mergeCell ref="AH24:AL24"/>
    <mergeCell ref="F25:AG25"/>
    <mergeCell ref="AH25:AL25"/>
    <mergeCell ref="F26:AG26"/>
    <mergeCell ref="AH26:AL26"/>
    <mergeCell ref="F20:AG20"/>
    <mergeCell ref="AH20:AL20"/>
    <mergeCell ref="F21:AG21"/>
    <mergeCell ref="AH21:AL21"/>
    <mergeCell ref="F22:AG22"/>
    <mergeCell ref="AH22:AL22"/>
    <mergeCell ref="AH23:AL23"/>
    <mergeCell ref="B13:F13"/>
    <mergeCell ref="B14:F14"/>
    <mergeCell ref="G14:M14"/>
    <mergeCell ref="B20:E20"/>
    <mergeCell ref="B21:E21"/>
    <mergeCell ref="B22:E22"/>
    <mergeCell ref="B23:E23"/>
    <mergeCell ref="B24:E24"/>
    <mergeCell ref="B25:E25"/>
    <mergeCell ref="B26:E26"/>
    <mergeCell ref="B31:F31"/>
    <mergeCell ref="G31:J31"/>
    <mergeCell ref="L31:X31"/>
    <mergeCell ref="Z31:AL31"/>
    <mergeCell ref="AE34:AG34"/>
    <mergeCell ref="AH34:AJ34"/>
    <mergeCell ref="AK34:AL34"/>
    <mergeCell ref="W34:X34"/>
    <mergeCell ref="Z34:AD34"/>
    <mergeCell ref="AE33:AG33"/>
    <mergeCell ref="AH33:AJ33"/>
    <mergeCell ref="B34:D34"/>
    <mergeCell ref="E34:J34"/>
    <mergeCell ref="L34:P34"/>
    <mergeCell ref="Q34:S34"/>
    <mergeCell ref="T34:V34"/>
    <mergeCell ref="AE35:AG35"/>
    <mergeCell ref="AH35:AJ35"/>
    <mergeCell ref="AK35:AL35"/>
    <mergeCell ref="B35:D35"/>
    <mergeCell ref="E35:J35"/>
    <mergeCell ref="L35:P35"/>
    <mergeCell ref="Q35:S35"/>
    <mergeCell ref="T35:V35"/>
    <mergeCell ref="W35:X35"/>
    <mergeCell ref="Z35:AD35"/>
    <mergeCell ref="AE36:AG36"/>
    <mergeCell ref="AH36:AJ36"/>
    <mergeCell ref="AK36:AL36"/>
    <mergeCell ref="B36:D36"/>
    <mergeCell ref="E36:J36"/>
    <mergeCell ref="L36:P36"/>
    <mergeCell ref="Q36:S36"/>
    <mergeCell ref="T36:V36"/>
    <mergeCell ref="W36:X36"/>
    <mergeCell ref="Z36:AD36"/>
    <mergeCell ref="AE41:AF41"/>
    <mergeCell ref="AE42:AF42"/>
    <mergeCell ref="F50:H51"/>
    <mergeCell ref="I51:K51"/>
    <mergeCell ref="AE47:AI47"/>
    <mergeCell ref="AE48:AI48"/>
    <mergeCell ref="B50:E51"/>
    <mergeCell ref="I50:Q50"/>
    <mergeCell ref="R50:Z50"/>
    <mergeCell ref="AD50:AH50"/>
    <mergeCell ref="AJ50:AL51"/>
    <mergeCell ref="B41:O41"/>
    <mergeCell ref="Q41:X41"/>
    <mergeCell ref="Z41:AC41"/>
    <mergeCell ref="B42:E42"/>
    <mergeCell ref="F42:I42"/>
    <mergeCell ref="J42:M42"/>
    <mergeCell ref="U42:X42"/>
    <mergeCell ref="N42:O42"/>
    <mergeCell ref="Q42:T42"/>
    <mergeCell ref="Z42:AC43"/>
    <mergeCell ref="B43:E43"/>
    <mergeCell ref="F43:I43"/>
    <mergeCell ref="J43:M43"/>
    <mergeCell ref="N43:O43"/>
    <mergeCell ref="Q43:T43"/>
    <mergeCell ref="U43:X43"/>
    <mergeCell ref="R47:Z47"/>
    <mergeCell ref="AA47:AC47"/>
    <mergeCell ref="AJ47:AL47"/>
    <mergeCell ref="R48:Z48"/>
    <mergeCell ref="AA48:AC48"/>
    <mergeCell ref="AJ48:AL48"/>
    <mergeCell ref="R51:T51"/>
    <mergeCell ref="U51:W51"/>
    <mergeCell ref="S52:T52"/>
    <mergeCell ref="V52:W52"/>
    <mergeCell ref="S53:T53"/>
    <mergeCell ref="V53:W53"/>
    <mergeCell ref="X51:Z51"/>
    <mergeCell ref="AA51:AB51"/>
    <mergeCell ref="Y52:Z52"/>
    <mergeCell ref="AA52:AB52"/>
    <mergeCell ref="Y53:Z53"/>
    <mergeCell ref="AA53:AB53"/>
    <mergeCell ref="AD51:AF51"/>
    <mergeCell ref="AG51:AH51"/>
    <mergeCell ref="AE52:AF52"/>
    <mergeCell ref="AG52:AH52"/>
    <mergeCell ref="AJ52:AL52"/>
    <mergeCell ref="AE53:AF53"/>
    <mergeCell ref="AG53:AH53"/>
    <mergeCell ref="AJ53:AL53"/>
    <mergeCell ref="J52:K52"/>
    <mergeCell ref="J53:K53"/>
    <mergeCell ref="B77:D77"/>
    <mergeCell ref="B78:D78"/>
    <mergeCell ref="E78:J78"/>
    <mergeCell ref="L78:N78"/>
    <mergeCell ref="O78:U78"/>
    <mergeCell ref="W78:Y78"/>
    <mergeCell ref="Z78:AI78"/>
    <mergeCell ref="B79:D79"/>
    <mergeCell ref="E79:J79"/>
    <mergeCell ref="L79:N79"/>
    <mergeCell ref="O79:U79"/>
    <mergeCell ref="E80:J80"/>
    <mergeCell ref="L80:N80"/>
    <mergeCell ref="O80:U80"/>
  </mergeCells>
  <conditionalFormatting sqref="L35:X35">
    <cfRule type="expression" dxfId="0" priority="1">
      <formula>OR(ISNUMBER(FIND("T",$G$31)),ISNUMBER(FIND("M",$G$31)))</formula>
    </cfRule>
  </conditionalFormatting>
  <conditionalFormatting sqref="L35:X36">
    <cfRule type="expression" dxfId="1" priority="2">
      <formula>OR(ISNUMBER(FIND("T",$G$31)),ISNUMBER(FIND("M",$G$31)))</formula>
    </cfRule>
  </conditionalFormatting>
  <conditionalFormatting sqref="Q33 AE33">
    <cfRule type="expression" dxfId="2" priority="3">
      <formula>AND(NOT(ISNUMBER(FIND("L",$G$31))),NOT(ISNUMBER(FIND("T",$G$31))))</formula>
    </cfRule>
  </conditionalFormatting>
  <conditionalFormatting sqref="Q34 AE34">
    <cfRule type="expression" dxfId="2" priority="4">
      <formula>AND(NOT(ISNUMBER(FIND("S",$G$31))),NOT(ISNUMBER(FIND("M",$G$31))))</formula>
    </cfRule>
  </conditionalFormatting>
  <conditionalFormatting sqref="Q35:V35 AE35:AJ35">
    <cfRule type="expression" dxfId="2" priority="5">
      <formula>NOT(ISNUMBER(FIND("I",$G$31)))</formula>
    </cfRule>
  </conditionalFormatting>
  <conditionalFormatting sqref="Q36:X36 AE36:AL36">
    <cfRule type="expression" dxfId="2" priority="6">
      <formula>NOT(ISNUMBER(FIND("G",$G$31)))</formula>
    </cfRule>
  </conditionalFormatting>
  <conditionalFormatting sqref="T33 AH33">
    <cfRule type="expression" dxfId="2" priority="7">
      <formula>AND(NOT(ISNUMBER(FIND("L",$G$31))),NOT(ISNUMBER(FIND("TMD",$G$31))),NOT(ISNUMBER(FIND("TA",$G$31))))</formula>
    </cfRule>
  </conditionalFormatting>
  <conditionalFormatting sqref="T34 AH34">
    <cfRule type="expression" dxfId="2" priority="8">
      <formula>AND(NOT(ISNUMBER(FIND("S",$G$31))),NOT(ISNUMBER(FIND("TMA",$G$31))),NOT(ISNUMBER(FIND("MA",$G$31))))</formula>
    </cfRule>
  </conditionalFormatting>
  <conditionalFormatting sqref="W34 AK34">
    <cfRule type="expression" dxfId="2" priority="9">
      <formula>NOT(ISNUMBER(FIND("S",$G$31)))</formula>
    </cfRule>
  </conditionalFormatting>
  <conditionalFormatting sqref="Z42">
    <cfRule type="cellIs" dxfId="3" priority="10" operator="equal">
      <formula>"LIMITED SERVICE"</formula>
    </cfRule>
  </conditionalFormatting>
  <conditionalFormatting sqref="Z42">
    <cfRule type="cellIs" dxfId="4" priority="11" operator="equal">
      <formula>"FAIL"</formula>
    </cfRule>
  </conditionalFormatting>
  <conditionalFormatting sqref="Z42">
    <cfRule type="cellIs" dxfId="5" priority="12" operator="equal">
      <formula>"PASS"</formula>
    </cfRule>
  </conditionalFormatting>
  <conditionalFormatting sqref="Z42">
    <cfRule type="cellIs" dxfId="5" priority="13" operator="equal">
      <formula>"""PASS"""</formula>
    </cfRule>
  </conditionalFormatting>
  <conditionalFormatting sqref="Z35:AL35">
    <cfRule type="expression" dxfId="0" priority="14">
      <formula>OR(ISNUMBER(FIND("T",$G$31)),ISNUMBER(FIND("M",$G$31)))</formula>
    </cfRule>
  </conditionalFormatting>
  <conditionalFormatting sqref="Z35:AL36">
    <cfRule type="expression" dxfId="1" priority="15">
      <formula>OR(ISNUMBER(FIND("T",$G$31)),ISNUMBER(FIND("M",$G$31)))</formula>
    </cfRule>
  </conditionalFormatting>
  <conditionalFormatting sqref="AJ2">
    <cfRule type="cellIs" dxfId="3" priority="16" operator="equal">
      <formula>"LIMITED SERVICE"</formula>
    </cfRule>
  </conditionalFormatting>
  <conditionalFormatting sqref="AJ2">
    <cfRule type="cellIs" dxfId="4" priority="17" operator="equal">
      <formula>"FAIL"</formula>
    </cfRule>
  </conditionalFormatting>
  <conditionalFormatting sqref="AJ2">
    <cfRule type="cellIs" dxfId="5" priority="18" operator="equal">
      <formula>"PASS"</formula>
    </cfRule>
  </conditionalFormatting>
  <conditionalFormatting sqref="AJ2">
    <cfRule type="cellIs" dxfId="5" priority="19" operator="equal">
      <formula>"""PASS"""</formula>
    </cfRule>
  </conditionalFormatting>
  <conditionalFormatting sqref="AJ52:AJ54">
    <cfRule type="cellIs" dxfId="3" priority="20" operator="equal">
      <formula>"LIMITED SERVICE"</formula>
    </cfRule>
  </conditionalFormatting>
  <conditionalFormatting sqref="AJ52:AJ54">
    <cfRule type="cellIs" dxfId="4" priority="21" operator="equal">
      <formula>"FAIL"</formula>
    </cfRule>
  </conditionalFormatting>
  <conditionalFormatting sqref="AJ52:AJ54">
    <cfRule type="cellIs" dxfId="5" priority="22" operator="equal">
      <formula>"PASS"</formula>
    </cfRule>
  </conditionalFormatting>
  <conditionalFormatting sqref="AJ52:AJ54">
    <cfRule type="cellIs" dxfId="5" priority="23" operator="equal">
      <formula>"""PASS"""</formula>
    </cfRule>
  </conditionalFormatting>
  <dataValidations>
    <dataValidation type="list" allowBlank="1" showErrorMessage="1" sqref="U43 U44:X44">
      <formula1>"&lt;50%,N/A"</formula1>
    </dataValidation>
    <dataValidation type="list" allowBlank="1" showErrorMessage="1" sqref="AF12">
      <formula1>"Bolt-In,Plug-in,Fixed-Mount,Bushing-Mount"</formula1>
    </dataValidation>
    <dataValidation type="list" allowBlank="1" showInputMessage="1" prompt="Used in formula - Please put a NUMBER here as it is used in formulas for the sheet" sqref="U12">
      <formula1>"250,480,600,1000"</formula1>
    </dataValidation>
    <dataValidation type="list" allowBlank="1" showErrorMessage="1" sqref="AJ43:AJ44">
      <formula1>"On,Off,In,Out"</formula1>
    </dataValidation>
    <dataValidation type="list" allowBlank="1" showErrorMessage="1" sqref="I52:I54 L52:L54 O52:O54">
      <formula1>"&gt;,&lt;"</formula1>
    </dataValidation>
    <dataValidation type="list" allowBlank="1" showErrorMessage="1" sqref="W34 AK34 W36 AK36">
      <formula1>"On,Off,In,Out,N/A"</formula1>
    </dataValidation>
    <dataValidation type="list" allowBlank="1" showErrorMessage="1" sqref="AF13">
      <formula1>"Yes,No,Enabled,Disabled,N/A"</formula1>
    </dataValidation>
    <dataValidation type="list" allowBlank="1" showInputMessage="1" showErrorMessage="1" prompt="Heads Up!! - This value is based off of the voltage rating in the Nameplate Data Section. You can manually change the value, but this will remove the formula. Please make sure you are not using the blank sheet!" sqref="AJ47">
      <formula1>"250,500,1000,2500,5000"</formula1>
    </dataValidation>
    <dataValidation type="list" allowBlank="1" showInputMessage="1" showErrorMessage="1" prompt="TMF = fixed thermal, fixed magnetic_x000a_TMD = adjustable thermal, fixed magnetic_x000a_TMA = fixed thermal, adjustable magnetic_x000a_TF = fixed thermal_x000a_TA = adjustable thermal_x000a_MF = adjustable magnetic_x000a_MA = fixed magnetic" sqref="G31">
      <formula1>"LI,LS,LSI,LIG,LSG,LSIG,G,TMF,TMD,TMA,TF,TA,MF,MA"</formula1>
    </dataValidation>
    <dataValidation type="list" allowBlank="1" showErrorMessage="1" sqref="AJ2">
      <formula1>"PASS,FAIL,LIMITED SERVICE"</formula1>
    </dataValidation>
    <dataValidation type="list" allowBlank="1" showErrorMessage="1" sqref="AF14">
      <formula1>"Yes,No,Simulated,Unknown,N/A"</formula1>
    </dataValidation>
    <dataValidation type="list" allowBlank="1" showErrorMessage="1" sqref="N43:N44">
      <formula1>"µΩ,mΩ,Ω"</formula1>
    </dataValidation>
    <dataValidation type="list" allowBlank="1" sqref="AA52:AA54">
      <formula1>"MΩ,GΩ"</formula1>
    </dataValidation>
    <dataValidation type="list" allowBlank="1" showInputMessage="1" prompt="Heads Up!! - This value is based off of the voltage rating in the Nameplate Data Section. You can manually change the value, but this will remove the formula. Please make sure you are not using the blank sheet!" sqref="AE52:AE54">
      <formula1>"25,100,N/A"</formula1>
    </dataValidation>
    <dataValidation type="list" allowBlank="1" sqref="AH20:AH26 AH27:AL27">
      <formula1>"Satisfactory,Unsatisfactory,Cleaned,See Comments,Not Applicable,By Others"</formula1>
    </dataValidation>
    <dataValidation type="list" allowBlank="1" showErrorMessage="1" sqref="AF11">
      <formula1>"Over-Center Handle,Two-Step Stored Energy"</formula1>
    </dataValidation>
  </dataValidations>
  <printOptions horizontalCentered="1"/>
  <pageMargins bottom="0.5" footer="0.0" header="0.0" left="0.5" right="0.5" top="1.0"/>
  <pageSetup fitToHeight="0" orientation="portrait"/>
  <headerFooter>
    <oddHeader>&amp;L                   &amp;CLow Voltage  Circuit Breaker Test Report (Insulation Resistance and DLRO Only)&amp;R000000 ATS 7.6.1.2        </oddHeader>
    <oddFooter>&amp;L00-034AMPQES.COM&amp;CSheet &amp;P of &amp;R 00-034256-513-8255</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2009-06-02T15:38:13Z</dcterms:created>
  <dc:creator>Brian Rodgers</dc:creator>
</cp:coreProperties>
</file>
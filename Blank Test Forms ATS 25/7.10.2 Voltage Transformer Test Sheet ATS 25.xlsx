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G:\Shared drives\AMP ALL\Client Files\04. Blank Test Reports\Blank Test Forms ATS 25\"/>
    </mc:Choice>
  </mc:AlternateContent>
  <xr:revisionPtr revIDLastSave="0" documentId="13_ncr:1_{AC2CFFB8-B34B-4760-9A65-D64F1807342E}" xr6:coauthVersionLast="47" xr6:coauthVersionMax="47" xr10:uidLastSave="{00000000-0000-0000-0000-000000000000}"/>
  <bookViews>
    <workbookView xWindow="-110" yWindow="-110" windowWidth="19420" windowHeight="11020" xr2:uid="{00000000-000D-0000-FFFF-FFFF00000000}"/>
  </bookViews>
  <sheets>
    <sheet name="Test Sheet" sheetId="1" r:id="rId1"/>
    <sheet name="NETA MTS 7.10.2" sheetId="5" r:id="rId2"/>
    <sheet name="TCF" sheetId="2" r:id="rId3"/>
    <sheet name="Temp Conv" sheetId="3" r:id="rId4"/>
    <sheet name="Dropdowns" sheetId="4" r:id="rId5"/>
  </sheets>
  <definedNames>
    <definedName name="_xlnm.Print_Area" localSheetId="0">'Test Sheet'!$A$1:$AM$63</definedName>
  </definedNames>
  <calcPr calcId="191029"/>
  <fileRecoveryPr autoRecover="0"/>
</workbook>
</file>

<file path=xl/calcChain.xml><?xml version="1.0" encoding="utf-8"?>
<calcChain xmlns="http://schemas.openxmlformats.org/spreadsheetml/2006/main">
  <c r="V5" i="1" l="1"/>
  <c r="P5" i="1"/>
  <c r="Y48" i="1" l="1"/>
  <c r="Y49" i="1"/>
  <c r="Y47" i="1"/>
  <c r="O48" i="1"/>
  <c r="O49" i="1"/>
  <c r="O47" i="1"/>
  <c r="AA49" i="1"/>
  <c r="AA48" i="1"/>
  <c r="AA47" i="1"/>
  <c r="M41" i="1" l="1"/>
  <c r="W41" i="1"/>
  <c r="AI41" i="1" s="1"/>
  <c r="C17" i="2" l="1"/>
  <c r="C16" i="2"/>
  <c r="C15" i="2" s="1"/>
  <c r="C14" i="2" s="1"/>
  <c r="C13" i="2" s="1"/>
  <c r="C12" i="2" s="1"/>
  <c r="C11" i="2" s="1"/>
  <c r="C10" i="2" s="1"/>
  <c r="C9" i="2" s="1"/>
  <c r="C8" i="2" s="1"/>
  <c r="C7" i="2" s="1"/>
  <c r="C6" i="2" s="1"/>
  <c r="C5" i="2" s="1"/>
  <c r="C4" i="2" s="1"/>
  <c r="C19" i="2"/>
  <c r="C20" i="2" s="1"/>
  <c r="C21" i="2" s="1"/>
  <c r="C22" i="2" s="1"/>
  <c r="A4" i="3"/>
  <c r="A5" i="3"/>
  <c r="A6" i="3"/>
  <c r="A7" i="3"/>
  <c r="A8" i="3"/>
  <c r="A9" i="3"/>
  <c r="A10" i="3"/>
  <c r="A11" i="3"/>
  <c r="A12" i="3"/>
  <c r="A13" i="3"/>
  <c r="A14" i="3"/>
  <c r="A15" i="3"/>
  <c r="A16" i="3"/>
  <c r="A17" i="3"/>
  <c r="A18" i="3"/>
  <c r="A20" i="3"/>
  <c r="A21" i="3"/>
  <c r="A22" i="3"/>
  <c r="A23" i="3"/>
  <c r="A24" i="3"/>
  <c r="A25" i="3"/>
  <c r="A26" i="3"/>
  <c r="A27" i="3"/>
  <c r="A28" i="3"/>
  <c r="A29" i="3"/>
  <c r="A30" i="3"/>
  <c r="A31" i="3"/>
  <c r="A32" i="3"/>
  <c r="A33" i="3"/>
  <c r="A34" i="3"/>
  <c r="A35" i="3"/>
  <c r="A36" i="3"/>
  <c r="A37" i="3"/>
  <c r="A38" i="3"/>
  <c r="A39" i="3"/>
  <c r="A40" i="3"/>
  <c r="A41" i="3"/>
  <c r="A42" i="3"/>
  <c r="A43" i="3"/>
  <c r="A44" i="3"/>
  <c r="A45" i="3"/>
  <c r="A46" i="3"/>
  <c r="A47" i="3"/>
  <c r="A48" i="3"/>
  <c r="A49" i="3"/>
  <c r="A50" i="3"/>
  <c r="A51" i="3"/>
  <c r="A52" i="3"/>
  <c r="A53" i="3"/>
  <c r="A54" i="3"/>
  <c r="A55" i="3"/>
  <c r="A56" i="3"/>
  <c r="A57" i="3"/>
  <c r="A58" i="3"/>
  <c r="A59" i="3"/>
  <c r="A60" i="3"/>
  <c r="A61" i="3"/>
  <c r="A62" i="3"/>
  <c r="A63" i="3"/>
  <c r="A64" i="3"/>
  <c r="A65" i="3"/>
  <c r="A66" i="3"/>
  <c r="A67" i="3"/>
  <c r="A68" i="3"/>
  <c r="A69" i="3"/>
  <c r="A70" i="3"/>
  <c r="A71" i="3"/>
  <c r="A72" i="3"/>
  <c r="A73" i="3"/>
  <c r="A74" i="3"/>
  <c r="A75" i="3"/>
  <c r="A76" i="3"/>
  <c r="A77" i="3"/>
  <c r="A78" i="3"/>
  <c r="A79" i="3"/>
  <c r="A80" i="3"/>
  <c r="A81" i="3"/>
  <c r="A82" i="3"/>
  <c r="A83" i="3"/>
  <c r="A84" i="3"/>
  <c r="A85" i="3"/>
  <c r="A86" i="3"/>
  <c r="A87" i="3"/>
  <c r="A88" i="3"/>
  <c r="A89" i="3"/>
  <c r="A90" i="3"/>
  <c r="A91" i="3"/>
  <c r="A92" i="3"/>
  <c r="A93" i="3"/>
  <c r="A94" i="3"/>
  <c r="A95" i="3"/>
  <c r="A96" i="3"/>
  <c r="A97" i="3"/>
  <c r="A98" i="3"/>
  <c r="A99" i="3"/>
  <c r="A100" i="3"/>
  <c r="A101" i="3"/>
  <c r="A102" i="3"/>
  <c r="A103" i="3"/>
  <c r="A104" i="3"/>
  <c r="A105" i="3"/>
  <c r="A106" i="3"/>
  <c r="A107" i="3"/>
  <c r="A108" i="3"/>
  <c r="A109" i="3"/>
  <c r="A110" i="3"/>
  <c r="A111" i="3"/>
  <c r="A112" i="3"/>
  <c r="A113" i="3"/>
  <c r="A114" i="3"/>
  <c r="A115" i="3"/>
  <c r="A116" i="3"/>
  <c r="A117" i="3"/>
  <c r="A118" i="3"/>
  <c r="A119" i="3"/>
  <c r="A120" i="3"/>
  <c r="A121" i="3"/>
  <c r="A122" i="3"/>
  <c r="A123" i="3"/>
  <c r="A124" i="3"/>
  <c r="A125" i="3"/>
  <c r="A126" i="3"/>
  <c r="A127" i="3"/>
  <c r="A128" i="3"/>
  <c r="A129" i="3"/>
  <c r="A130" i="3"/>
  <c r="A131" i="3"/>
  <c r="A132" i="3"/>
  <c r="A133" i="3"/>
  <c r="A134" i="3"/>
  <c r="A135" i="3"/>
  <c r="A136" i="3"/>
  <c r="A137" i="3"/>
  <c r="A138" i="3"/>
  <c r="A19" i="3"/>
  <c r="C134" i="2"/>
  <c r="C135" i="2"/>
  <c r="C136" i="2"/>
  <c r="C137" i="2" s="1"/>
  <c r="C129" i="2"/>
  <c r="C130" i="2" s="1"/>
  <c r="C131" i="2" s="1"/>
  <c r="C132" i="2" s="1"/>
  <c r="C124" i="2"/>
  <c r="C125" i="2" s="1"/>
  <c r="C126" i="2" s="1"/>
  <c r="C127" i="2" s="1"/>
  <c r="C119" i="2"/>
  <c r="C120" i="2"/>
  <c r="C121" i="2" s="1"/>
  <c r="C122" i="2" s="1"/>
  <c r="C114" i="2"/>
  <c r="C115" i="2" s="1"/>
  <c r="C116" i="2" s="1"/>
  <c r="C117" i="2" s="1"/>
  <c r="C109" i="2"/>
  <c r="C110" i="2"/>
  <c r="C111" i="2"/>
  <c r="C112" i="2"/>
  <c r="C104" i="2"/>
  <c r="C105" i="2"/>
  <c r="C106" i="2" s="1"/>
  <c r="C107" i="2" s="1"/>
  <c r="C94" i="2"/>
  <c r="C95" i="2" s="1"/>
  <c r="C96" i="2" s="1"/>
  <c r="C97" i="2" s="1"/>
  <c r="C90" i="2"/>
  <c r="C91" i="2" s="1"/>
  <c r="C92" i="2" s="1"/>
  <c r="C85" i="2"/>
  <c r="C86" i="2" s="1"/>
  <c r="C87" i="2" s="1"/>
  <c r="C79" i="2"/>
  <c r="C80" i="2" s="1"/>
  <c r="C81" i="2" s="1"/>
  <c r="C82" i="2" s="1"/>
  <c r="C74" i="2"/>
  <c r="C75" i="2"/>
  <c r="C76" i="2" s="1"/>
  <c r="C77" i="2" s="1"/>
  <c r="C69" i="2"/>
  <c r="C70" i="2"/>
  <c r="C71" i="2" s="1"/>
  <c r="C72" i="2" s="1"/>
  <c r="C59" i="2"/>
  <c r="C60" i="2" s="1"/>
  <c r="C61" i="2" s="1"/>
  <c r="C62" i="2" s="1"/>
  <c r="C54" i="2"/>
  <c r="C55" i="2" s="1"/>
  <c r="C56" i="2" s="1"/>
  <c r="C57" i="2" s="1"/>
  <c r="C44" i="2"/>
  <c r="C45" i="2" s="1"/>
  <c r="C46" i="2" s="1"/>
  <c r="C47" i="2" s="1"/>
  <c r="C39" i="2"/>
  <c r="C40" i="2" s="1"/>
  <c r="C41" i="2" s="1"/>
  <c r="C42" i="2" s="1"/>
  <c r="C35" i="2"/>
  <c r="C36" i="2"/>
  <c r="C37" i="2" s="1"/>
  <c r="C24" i="2"/>
  <c r="C25" i="2"/>
  <c r="C26" i="2" s="1"/>
  <c r="C27" i="2" s="1"/>
  <c r="Q47" i="1" l="1"/>
  <c r="AD47" i="1" s="1"/>
  <c r="Q49" i="1"/>
  <c r="AD49" i="1" s="1"/>
  <c r="Q48" i="1"/>
  <c r="AD48" i="1" s="1"/>
</calcChain>
</file>

<file path=xl/sharedStrings.xml><?xml version="1.0" encoding="utf-8"?>
<sst xmlns="http://schemas.openxmlformats.org/spreadsheetml/2006/main" count="180" uniqueCount="151">
  <si>
    <t>Customer</t>
  </si>
  <si>
    <t>Address</t>
  </si>
  <si>
    <t>Technicians</t>
  </si>
  <si>
    <t>User</t>
  </si>
  <si>
    <t>Date</t>
  </si>
  <si>
    <t>Temp.</t>
  </si>
  <si>
    <t>°C</t>
  </si>
  <si>
    <t>Humidity</t>
  </si>
  <si>
    <t>%</t>
  </si>
  <si>
    <t>Eqpt. Location</t>
  </si>
  <si>
    <t>Manufacturer</t>
  </si>
  <si>
    <t>Comments:</t>
  </si>
  <si>
    <t>Job #</t>
  </si>
  <si>
    <t>Insulation Correction Factors (20C)</t>
  </si>
  <si>
    <t>Tempurature</t>
  </si>
  <si>
    <t>Multiplier</t>
  </si>
  <si>
    <t>TCF</t>
  </si>
  <si>
    <t>°F</t>
  </si>
  <si>
    <t>Temperature Conversion</t>
  </si>
  <si>
    <t>Visual and Mechanical Inspection</t>
  </si>
  <si>
    <t>FAIL</t>
  </si>
  <si>
    <t>PASS</t>
  </si>
  <si>
    <t>Insulation Resistance Unit Answer Choices</t>
  </si>
  <si>
    <t>MΩ</t>
  </si>
  <si>
    <t>kΩ</t>
  </si>
  <si>
    <t>GΩ</t>
  </si>
  <si>
    <t>Kilo-Ohms</t>
  </si>
  <si>
    <t>Mega-Ohms</t>
  </si>
  <si>
    <t>Giga-Ohms</t>
  </si>
  <si>
    <t>1000V</t>
  </si>
  <si>
    <t>Insulation Resistance Test Voltages</t>
  </si>
  <si>
    <t>250V</t>
  </si>
  <si>
    <t>500V</t>
  </si>
  <si>
    <t>2500V</t>
  </si>
  <si>
    <t>5000V</t>
  </si>
  <si>
    <t>Substation</t>
  </si>
  <si>
    <t>Identifier</t>
  </si>
  <si>
    <t>LIMITED SERVICE</t>
  </si>
  <si>
    <t>Contact Resistance</t>
  </si>
  <si>
    <t>μΩ</t>
  </si>
  <si>
    <t>mΩ</t>
  </si>
  <si>
    <t>Ω</t>
  </si>
  <si>
    <t>Micro-Ohms</t>
  </si>
  <si>
    <t>Milli-Ohms</t>
  </si>
  <si>
    <t>Ohms</t>
  </si>
  <si>
    <t>Equipment Evaluation Result</t>
  </si>
  <si>
    <t>Test Equipment Used</t>
  </si>
  <si>
    <t>AMP ID:</t>
  </si>
  <si>
    <t>Megohmmeter:</t>
  </si>
  <si>
    <t>Serial Number:</t>
  </si>
  <si>
    <t>Results</t>
  </si>
  <si>
    <t>mA</t>
  </si>
  <si>
    <t>μA</t>
  </si>
  <si>
    <t>Milli Amp</t>
  </si>
  <si>
    <t>Mirco Amp</t>
  </si>
  <si>
    <t>Dielectric Withstand Unit Answer Choices</t>
  </si>
  <si>
    <t>VLF Withstand Test Voltages</t>
  </si>
  <si>
    <t>Cable Rating</t>
  </si>
  <si>
    <t>Test voltage</t>
  </si>
  <si>
    <t>Satisfactory</t>
  </si>
  <si>
    <t>Unsatisfactory</t>
  </si>
  <si>
    <t>NETA Section</t>
  </si>
  <si>
    <t>Select One</t>
  </si>
  <si>
    <t>Visual &amp; Mechanical Inspectiom Dropdown Options</t>
  </si>
  <si>
    <t>Cleaned</t>
  </si>
  <si>
    <t>See Comments</t>
  </si>
  <si>
    <t>Not Applicable</t>
  </si>
  <si>
    <t>Cable Size</t>
  </si>
  <si>
    <t>#18</t>
  </si>
  <si>
    <t>#16</t>
  </si>
  <si>
    <t>#12</t>
  </si>
  <si>
    <t>#10</t>
  </si>
  <si>
    <t>#8</t>
  </si>
  <si>
    <t>#6</t>
  </si>
  <si>
    <t>#4</t>
  </si>
  <si>
    <t>#2</t>
  </si>
  <si>
    <t>#1</t>
  </si>
  <si>
    <t>1/0</t>
  </si>
  <si>
    <t>2/0</t>
  </si>
  <si>
    <t>3/0</t>
  </si>
  <si>
    <t>4/0</t>
  </si>
  <si>
    <t>250</t>
  </si>
  <si>
    <t>300</t>
  </si>
  <si>
    <t>350</t>
  </si>
  <si>
    <t>500</t>
  </si>
  <si>
    <t>600</t>
  </si>
  <si>
    <t>400</t>
  </si>
  <si>
    <t>750</t>
  </si>
  <si>
    <t>1000</t>
  </si>
  <si>
    <t>Class</t>
  </si>
  <si>
    <t>Voltage Rating</t>
  </si>
  <si>
    <t>Catalog Number</t>
  </si>
  <si>
    <t>Frequency</t>
  </si>
  <si>
    <t>Inspect physical and mechanical condition.</t>
  </si>
  <si>
    <t>Units</t>
  </si>
  <si>
    <t>Serial Number</t>
  </si>
  <si>
    <t>Accuracy Class</t>
  </si>
  <si>
    <t>Verify that all required grounding and connections provide contact.</t>
  </si>
  <si>
    <t>Verify correct primary and secondary fuse sizes for voltage transformers.</t>
  </si>
  <si>
    <t>Fuse Data</t>
  </si>
  <si>
    <t>As Found</t>
  </si>
  <si>
    <t>As Left</t>
  </si>
  <si>
    <t>Fuse Resistance</t>
  </si>
  <si>
    <t>Primary to Secondary</t>
  </si>
  <si>
    <t>Secondary to Ground</t>
  </si>
  <si>
    <t>Primary to Ground</t>
  </si>
  <si>
    <t>TTR Test Set:</t>
  </si>
  <si>
    <t>Low-Resistance Ohmmeter:</t>
  </si>
  <si>
    <t>Calculated Ratio</t>
  </si>
  <si>
    <t>% Dev.</t>
  </si>
  <si>
    <t>V</t>
  </si>
  <si>
    <t>Voltage Rating (kV)</t>
  </si>
  <si>
    <t>Ampacity (A)</t>
  </si>
  <si>
    <t>I.C. Rating (kA)</t>
  </si>
  <si>
    <t>Compare equipment nameplate data with drawings and specifications.</t>
  </si>
  <si>
    <t>7.10.2.A.1</t>
  </si>
  <si>
    <t>7.10.2.A.2</t>
  </si>
  <si>
    <t>7.10.2.A.3</t>
  </si>
  <si>
    <t>7.10.2.A.4</t>
  </si>
  <si>
    <t>7.10.2.A.5</t>
  </si>
  <si>
    <t>7.10.2.A.7</t>
  </si>
  <si>
    <t>Verify correct connection of transformers with system requirements.</t>
  </si>
  <si>
    <t>Verify that adequate clearances exist between primary and secondary circuit wiring.</t>
  </si>
  <si>
    <t>Verify the unit is clean.</t>
  </si>
  <si>
    <t>Use of low-resistance ohmmeter in accordance with Section 7.10.2.B.1.</t>
  </si>
  <si>
    <t>7.10.2.A.6.1</t>
  </si>
  <si>
    <t>7.10.2.A.8</t>
  </si>
  <si>
    <t>7.10.2.A.9</t>
  </si>
  <si>
    <t>Verify appropriate lubrication on moving current-carrying parts and on moving and sliding surfaces.</t>
  </si>
  <si>
    <t>Nameplate Data</t>
  </si>
  <si>
    <t>Insulation Level (BIL)</t>
  </si>
  <si>
    <t>Buden</t>
  </si>
  <si>
    <t>Measured Ratio</t>
  </si>
  <si>
    <t>Sec. Voltage</t>
  </si>
  <si>
    <t>Pri. Voltage</t>
  </si>
  <si>
    <t>Ratio and Burden Test</t>
  </si>
  <si>
    <t>Electrical - Fuse Resistance Test</t>
  </si>
  <si>
    <t>Electrical - Ratio &amp; Burden Test</t>
  </si>
  <si>
    <t>Electrical - Insulation Resistance Test</t>
  </si>
  <si>
    <t>Polarity</t>
  </si>
  <si>
    <t>Winding Under Test</t>
  </si>
  <si>
    <t>Measured Values</t>
  </si>
  <si>
    <t>Insulation Resitance 1 min.</t>
  </si>
  <si>
    <t>Temp. Corrected</t>
  </si>
  <si>
    <r>
      <t>Measured Burden (</t>
    </r>
    <r>
      <rPr>
        <sz val="9"/>
        <color theme="1"/>
        <rFont val="Calibri"/>
        <family val="2"/>
      </rPr>
      <t>Ω)</t>
    </r>
  </si>
  <si>
    <t>Test Voltage (V)</t>
  </si>
  <si>
    <t>Table 100.5 Criteria</t>
  </si>
  <si>
    <t>Value</t>
  </si>
  <si>
    <t>≥</t>
  </si>
  <si>
    <t>&gt;</t>
  </si>
  <si>
    <t>Yes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</si>
</sst>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/d/yy;@"/>
    <numFmt numFmtId="165" formatCode="0.0"/>
  </numFmts>
  <fonts count="1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</font>
    <font>
      <b/>
      <u/>
      <sz val="9"/>
      <color rgb="FF351D13"/>
      <name val="Calibri"/>
      <family val="2"/>
      <scheme val="minor"/>
    </font>
    <font>
      <b/>
      <sz val="9"/>
      <color rgb="FF663300"/>
      <name val="Calibri"/>
      <family val="2"/>
      <scheme val="minor"/>
    </font>
    <font>
      <b/>
      <u/>
      <sz val="9"/>
      <color theme="1"/>
      <name val="Calibri"/>
      <family val="2"/>
      <scheme val="minor"/>
    </font>
    <font>
      <sz val="9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/>
        <bgColor theme="0"/>
      </patternFill>
    </fill>
  </fills>
  <borders count="2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/>
      <right/>
      <top style="thin">
        <color indexed="64"/>
      </top>
      <bottom style="thin">
        <color theme="1"/>
      </bottom>
      <diagonal/>
    </border>
    <border>
      <left/>
      <right/>
      <top/>
      <bottom style="medium">
        <color rgb="FFDAB56C"/>
      </bottom>
      <diagonal/>
    </border>
    <border>
      <left/>
      <right/>
      <top style="thin">
        <color indexed="64"/>
      </top>
      <bottom style="medium">
        <color rgb="FFDAB56C"/>
      </bottom>
      <diagonal/>
    </border>
    <border>
      <left/>
      <right/>
      <top style="medium">
        <color rgb="FFDAB56C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9" fillId="0" borderId="0"/>
  </cellStyleXfs>
  <cellXfs count="132">
    <xf numFmtId="0" fontId="0" fillId="0" borderId="0" xfId="0"/>
    <xf numFmtId="0" fontId="0" fillId="0" borderId="6" xfId="0" applyBorder="1"/>
    <xf numFmtId="0" fontId="3" fillId="0" borderId="0" xfId="0" applyFont="1"/>
    <xf numFmtId="0" fontId="4" fillId="0" borderId="3" xfId="0" applyFont="1" applyBorder="1" applyAlignment="1">
      <alignment horizontal="center" vertical="center"/>
    </xf>
    <xf numFmtId="0" fontId="5" fillId="0" borderId="6" xfId="0" applyFont="1" applyBorder="1" applyAlignment="1">
      <alignment vertical="center"/>
    </xf>
    <xf numFmtId="0" fontId="4" fillId="0" borderId="2" xfId="0" applyFont="1" applyBorder="1" applyAlignment="1">
      <alignment horizontal="center" vertical="center"/>
    </xf>
    <xf numFmtId="0" fontId="6" fillId="2" borderId="9" xfId="0" applyFont="1" applyFill="1" applyBorder="1" applyAlignment="1" applyProtection="1">
      <alignment horizontal="center" vertical="center"/>
      <protection locked="0"/>
    </xf>
    <xf numFmtId="0" fontId="0" fillId="0" borderId="0" xfId="0" applyProtection="1">
      <protection hidden="1"/>
    </xf>
    <xf numFmtId="0" fontId="0" fillId="0" borderId="3" xfId="0" applyBorder="1"/>
    <xf numFmtId="0" fontId="0" fillId="0" borderId="2" xfId="0" applyBorder="1"/>
    <xf numFmtId="0" fontId="0" fillId="0" borderId="4" xfId="0" applyBorder="1"/>
    <xf numFmtId="0" fontId="8" fillId="0" borderId="0" xfId="0" applyFont="1"/>
    <xf numFmtId="49" fontId="0" fillId="0" borderId="0" xfId="0" applyNumberFormat="1"/>
    <xf numFmtId="0" fontId="6" fillId="2" borderId="0" xfId="0" applyFont="1" applyFill="1" applyAlignment="1">
      <alignment horizontal="left" vertical="center"/>
    </xf>
    <xf numFmtId="0" fontId="6" fillId="2" borderId="0" xfId="0" applyFont="1" applyFill="1" applyAlignment="1">
      <alignment vertical="center"/>
    </xf>
    <xf numFmtId="0" fontId="7" fillId="2" borderId="0" xfId="0" applyFont="1" applyFill="1" applyAlignment="1">
      <alignment vertical="center"/>
    </xf>
    <xf numFmtId="0" fontId="6" fillId="2" borderId="9" xfId="0" applyFont="1" applyFill="1" applyBorder="1" applyAlignment="1">
      <alignment horizontal="center" vertical="center"/>
    </xf>
    <xf numFmtId="0" fontId="7" fillId="2" borderId="0" xfId="0" applyFont="1" applyFill="1" applyAlignment="1">
      <alignment horizontal="left" vertical="center"/>
    </xf>
    <xf numFmtId="0" fontId="6" fillId="0" borderId="0" xfId="0" applyFont="1" applyAlignment="1">
      <alignment vertical="center"/>
    </xf>
    <xf numFmtId="0" fontId="6" fillId="2" borderId="0" xfId="0" applyFont="1" applyFill="1" applyAlignment="1">
      <alignment vertical="center" wrapText="1"/>
    </xf>
    <xf numFmtId="0" fontId="6" fillId="0" borderId="0" xfId="0" applyFont="1"/>
    <xf numFmtId="49" fontId="6" fillId="0" borderId="0" xfId="0" applyNumberFormat="1" applyFont="1"/>
    <xf numFmtId="10" fontId="6" fillId="0" borderId="0" xfId="0" applyNumberFormat="1" applyFont="1"/>
    <xf numFmtId="0" fontId="6" fillId="2" borderId="0" xfId="0" applyFont="1" applyFill="1" applyAlignment="1">
      <alignment horizontal="right" vertical="center"/>
    </xf>
    <xf numFmtId="49" fontId="6" fillId="2" borderId="0" xfId="0" applyNumberFormat="1" applyFont="1" applyFill="1" applyAlignment="1">
      <alignment horizontal="center" vertical="center"/>
    </xf>
    <xf numFmtId="0" fontId="6" fillId="2" borderId="0" xfId="0" applyFont="1" applyFill="1" applyAlignment="1">
      <alignment horizontal="center" vertical="center"/>
    </xf>
    <xf numFmtId="0" fontId="6" fillId="2" borderId="5" xfId="0" applyFont="1" applyFill="1" applyBorder="1" applyAlignment="1" applyProtection="1">
      <alignment vertical="center"/>
      <protection locked="0"/>
    </xf>
    <xf numFmtId="0" fontId="6" fillId="2" borderId="5" xfId="0" applyFont="1" applyFill="1" applyBorder="1" applyAlignment="1">
      <alignment vertical="center"/>
    </xf>
    <xf numFmtId="0" fontId="6" fillId="2" borderId="5" xfId="0" applyFont="1" applyFill="1" applyBorder="1" applyAlignment="1">
      <alignment vertical="center" wrapText="1"/>
    </xf>
    <xf numFmtId="0" fontId="6" fillId="0" borderId="5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0" fontId="6" fillId="0" borderId="4" xfId="0" applyFont="1" applyBorder="1" applyAlignment="1">
      <alignment horizontal="center" vertical="center"/>
    </xf>
    <xf numFmtId="0" fontId="6" fillId="0" borderId="5" xfId="0" applyFont="1" applyBorder="1" applyAlignment="1" applyProtection="1">
      <alignment horizontal="center" vertical="center"/>
      <protection locked="0"/>
    </xf>
    <xf numFmtId="0" fontId="6" fillId="2" borderId="0" xfId="0" applyFont="1" applyFill="1" applyAlignment="1">
      <alignment horizontal="left" vertical="center"/>
    </xf>
    <xf numFmtId="0" fontId="10" fillId="3" borderId="18" xfId="0" applyFont="1" applyFill="1" applyBorder="1" applyAlignment="1" applyProtection="1">
      <alignment horizontal="center" vertical="center"/>
      <protection locked="0"/>
    </xf>
    <xf numFmtId="0" fontId="10" fillId="3" borderId="19" xfId="0" applyFont="1" applyFill="1" applyBorder="1" applyAlignment="1" applyProtection="1">
      <alignment horizontal="center" vertical="center"/>
      <protection locked="0"/>
    </xf>
    <xf numFmtId="49" fontId="6" fillId="2" borderId="1" xfId="0" applyNumberFormat="1" applyFont="1" applyFill="1" applyBorder="1" applyAlignment="1" applyProtection="1">
      <alignment horizontal="center" vertical="center"/>
      <protection locked="0"/>
    </xf>
    <xf numFmtId="0" fontId="6" fillId="2" borderId="0" xfId="0" applyFont="1" applyFill="1" applyAlignment="1">
      <alignment horizontal="right" vertical="center"/>
    </xf>
    <xf numFmtId="0" fontId="6" fillId="2" borderId="7" xfId="0" applyFont="1" applyFill="1" applyBorder="1" applyAlignment="1" applyProtection="1">
      <alignment horizontal="center" vertical="center"/>
      <protection locked="0"/>
    </xf>
    <xf numFmtId="0" fontId="6" fillId="2" borderId="2" xfId="0" applyFont="1" applyFill="1" applyBorder="1" applyAlignment="1" applyProtection="1">
      <alignment horizontal="center" vertical="center"/>
      <protection locked="0"/>
    </xf>
    <xf numFmtId="0" fontId="6" fillId="2" borderId="1" xfId="0" applyFont="1" applyFill="1" applyBorder="1" applyAlignment="1" applyProtection="1">
      <alignment horizontal="center" vertical="center"/>
      <protection locked="0"/>
    </xf>
    <xf numFmtId="0" fontId="6" fillId="2" borderId="0" xfId="0" applyFont="1" applyFill="1" applyAlignment="1">
      <alignment vertical="center"/>
    </xf>
    <xf numFmtId="0" fontId="6" fillId="0" borderId="0" xfId="0" applyFont="1" applyAlignment="1">
      <alignment horizontal="left" vertical="center"/>
    </xf>
    <xf numFmtId="0" fontId="6" fillId="2" borderId="0" xfId="0" applyFont="1" applyFill="1" applyAlignment="1">
      <alignment horizontal="center" vertical="center"/>
    </xf>
    <xf numFmtId="0" fontId="6" fillId="2" borderId="7" xfId="0" applyFont="1" applyFill="1" applyBorder="1" applyAlignment="1">
      <alignment horizontal="center" vertical="center"/>
    </xf>
    <xf numFmtId="0" fontId="6" fillId="2" borderId="8" xfId="0" applyFont="1" applyFill="1" applyBorder="1" applyAlignment="1" applyProtection="1">
      <alignment horizontal="center" vertical="center"/>
      <protection locked="0"/>
    </xf>
    <xf numFmtId="164" fontId="6" fillId="2" borderId="1" xfId="0" applyNumberFormat="1" applyFont="1" applyFill="1" applyBorder="1" applyAlignment="1" applyProtection="1">
      <alignment horizontal="center" vertical="center"/>
      <protection locked="0"/>
    </xf>
    <xf numFmtId="0" fontId="1" fillId="2" borderId="0" xfId="0" applyFont="1" applyFill="1" applyAlignment="1" applyProtection="1">
      <alignment horizontal="center" vertical="center" wrapText="1"/>
      <protection locked="0"/>
    </xf>
    <xf numFmtId="0" fontId="6" fillId="2" borderId="3" xfId="0" applyFont="1" applyFill="1" applyBorder="1" applyAlignment="1" applyProtection="1">
      <alignment vertical="center"/>
      <protection locked="0"/>
    </xf>
    <xf numFmtId="0" fontId="6" fillId="2" borderId="2" xfId="0" applyFont="1" applyFill="1" applyBorder="1" applyAlignment="1" applyProtection="1">
      <alignment vertical="center"/>
      <protection locked="0"/>
    </xf>
    <xf numFmtId="0" fontId="6" fillId="2" borderId="4" xfId="0" applyFont="1" applyFill="1" applyBorder="1" applyAlignment="1" applyProtection="1">
      <alignment vertical="center"/>
      <protection locked="0"/>
    </xf>
    <xf numFmtId="0" fontId="6" fillId="2" borderId="3" xfId="0" applyFont="1" applyFill="1" applyBorder="1" applyAlignment="1">
      <alignment horizontal="left" vertical="center" wrapText="1"/>
    </xf>
    <xf numFmtId="0" fontId="6" fillId="2" borderId="2" xfId="0" applyFont="1" applyFill="1" applyBorder="1" applyAlignment="1">
      <alignment horizontal="left" vertical="center" wrapText="1"/>
    </xf>
    <xf numFmtId="0" fontId="6" fillId="2" borderId="4" xfId="0" applyFont="1" applyFill="1" applyBorder="1" applyAlignment="1">
      <alignment horizontal="left" vertical="center" wrapText="1"/>
    </xf>
    <xf numFmtId="0" fontId="6" fillId="0" borderId="13" xfId="0" applyFont="1" applyBorder="1" applyAlignment="1">
      <alignment horizontal="center" vertical="center" wrapText="1"/>
    </xf>
    <xf numFmtId="0" fontId="6" fillId="0" borderId="14" xfId="0" applyFont="1" applyBorder="1" applyAlignment="1">
      <alignment horizontal="center" vertical="center" wrapText="1"/>
    </xf>
    <xf numFmtId="0" fontId="6" fillId="0" borderId="15" xfId="0" applyFont="1" applyBorder="1" applyAlignment="1">
      <alignment horizontal="center" vertical="center" wrapText="1"/>
    </xf>
    <xf numFmtId="0" fontId="6" fillId="0" borderId="5" xfId="0" applyFont="1" applyBorder="1" applyAlignment="1">
      <alignment horizontal="center"/>
    </xf>
    <xf numFmtId="0" fontId="10" fillId="0" borderId="20" xfId="0" applyFont="1" applyBorder="1" applyAlignment="1" applyProtection="1">
      <alignment horizontal="center"/>
      <protection locked="0"/>
    </xf>
    <xf numFmtId="0" fontId="6" fillId="0" borderId="16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6" fillId="0" borderId="17" xfId="0" applyFont="1" applyBorder="1" applyAlignment="1">
      <alignment horizontal="center" vertical="center" wrapText="1"/>
    </xf>
    <xf numFmtId="0" fontId="6" fillId="0" borderId="5" xfId="0" applyFont="1" applyBorder="1" applyAlignment="1" applyProtection="1">
      <alignment horizontal="center"/>
      <protection locked="0"/>
    </xf>
    <xf numFmtId="0" fontId="6" fillId="2" borderId="5" xfId="0" applyFont="1" applyFill="1" applyBorder="1" applyAlignment="1" applyProtection="1">
      <alignment horizontal="center" vertical="center"/>
      <protection locked="0"/>
    </xf>
    <xf numFmtId="2" fontId="6" fillId="0" borderId="5" xfId="0" applyNumberFormat="1" applyFont="1" applyBorder="1" applyAlignment="1" applyProtection="1">
      <alignment horizontal="center"/>
      <protection locked="0"/>
    </xf>
    <xf numFmtId="0" fontId="6" fillId="2" borderId="5" xfId="0" applyFont="1" applyFill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6" fillId="0" borderId="14" xfId="0" applyFont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49" fontId="10" fillId="3" borderId="18" xfId="0" applyNumberFormat="1" applyFont="1" applyFill="1" applyBorder="1" applyAlignment="1">
      <alignment horizontal="center" vertical="center"/>
    </xf>
    <xf numFmtId="0" fontId="0" fillId="0" borderId="0" xfId="0" applyAlignment="1" applyProtection="1">
      <alignment horizontal="center"/>
      <protection hidden="1"/>
    </xf>
    <xf numFmtId="0" fontId="0" fillId="0" borderId="0" xfId="0" applyAlignment="1" applyProtection="1">
      <alignment horizontal="left" vertical="top" wrapText="1"/>
      <protection hidden="1"/>
    </xf>
    <xf numFmtId="0" fontId="0" fillId="0" borderId="0" xfId="0" applyAlignment="1" applyProtection="1">
      <alignment horizontal="left" vertical="top"/>
      <protection hidden="1"/>
    </xf>
    <xf numFmtId="0" fontId="0" fillId="0" borderId="5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4" xfId="0" applyBorder="1" applyAlignment="1">
      <alignment horizontal="center"/>
    </xf>
    <xf numFmtId="0" fontId="4" fillId="0" borderId="3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4" fillId="0" borderId="3" xfId="0" applyFont="1" applyBorder="1" applyAlignment="1">
      <alignment horizontal="center"/>
    </xf>
    <xf numFmtId="0" fontId="3" fillId="0" borderId="2" xfId="0" applyFont="1" applyBorder="1" applyAlignment="1">
      <alignment horizontal="center"/>
    </xf>
    <xf numFmtId="0" fontId="3" fillId="0" borderId="4" xfId="0" applyFont="1" applyBorder="1" applyAlignment="1">
      <alignment horizontal="center"/>
    </xf>
    <xf numFmtId="0" fontId="6" fillId="0" borderId="0" xfId="0" applyFont="1" applyBorder="1" applyAlignment="1">
      <alignment horizontal="center" vertical="center" wrapText="1"/>
    </xf>
    <xf numFmtId="0" fontId="6" fillId="0" borderId="0" xfId="0" applyFont="1" applyBorder="1" applyAlignment="1">
      <alignment vertical="center" wrapText="1"/>
    </xf>
    <xf numFmtId="0" fontId="6" fillId="0" borderId="0" xfId="0" applyFont="1" applyBorder="1" applyAlignment="1" applyProtection="1">
      <alignment horizontal="center"/>
      <protection locked="0"/>
    </xf>
    <xf numFmtId="0" fontId="6" fillId="0" borderId="0" xfId="0" applyFont="1" applyBorder="1" applyAlignment="1" applyProtection="1">
      <protection locked="0"/>
    </xf>
    <xf numFmtId="165" fontId="6" fillId="0" borderId="5" xfId="0" applyNumberFormat="1" applyFont="1" applyBorder="1" applyAlignment="1" applyProtection="1">
      <alignment horizontal="center"/>
      <protection locked="0"/>
    </xf>
    <xf numFmtId="0" fontId="10" fillId="0" borderId="0" xfId="0" applyFont="1" applyBorder="1" applyAlignment="1" applyProtection="1">
      <alignment horizontal="center"/>
      <protection locked="0"/>
    </xf>
    <xf numFmtId="0" fontId="6" fillId="0" borderId="0" xfId="0" applyFont="1" applyBorder="1" applyAlignment="1">
      <alignment vertical="center"/>
    </xf>
    <xf numFmtId="0" fontId="6" fillId="0" borderId="22" xfId="0" applyFont="1" applyBorder="1" applyAlignment="1">
      <alignment horizontal="center" vertical="center"/>
    </xf>
    <xf numFmtId="0" fontId="6" fillId="2" borderId="3" xfId="0" applyFont="1" applyFill="1" applyBorder="1" applyAlignment="1">
      <alignment horizontal="center" vertical="center"/>
    </xf>
    <xf numFmtId="0" fontId="6" fillId="0" borderId="3" xfId="0" applyFont="1" applyBorder="1" applyAlignment="1">
      <alignment horizontal="right" vertical="center"/>
    </xf>
    <xf numFmtId="0" fontId="6" fillId="0" borderId="2" xfId="0" applyFont="1" applyBorder="1" applyAlignment="1">
      <alignment horizontal="left" vertical="center"/>
    </xf>
    <xf numFmtId="0" fontId="6" fillId="0" borderId="4" xfId="0" applyFont="1" applyBorder="1" applyAlignment="1">
      <alignment horizontal="left" vertical="center"/>
    </xf>
    <xf numFmtId="0" fontId="6" fillId="0" borderId="4" xfId="0" applyFont="1" applyBorder="1" applyAlignment="1" applyProtection="1">
      <alignment horizontal="left" vertical="center"/>
      <protection locked="0"/>
    </xf>
    <xf numFmtId="49" fontId="6" fillId="0" borderId="0" xfId="0" applyNumberFormat="1" applyFont="1" applyBorder="1"/>
    <xf numFmtId="0" fontId="6" fillId="2" borderId="12" xfId="0" applyFont="1" applyFill="1" applyBorder="1" applyAlignment="1">
      <alignment horizontal="center" vertical="center"/>
    </xf>
    <xf numFmtId="0" fontId="6" fillId="0" borderId="0" xfId="0" applyFont="1" applyAlignment="1" applyProtection="1">
      <alignment vertical="center"/>
      <protection locked="0"/>
    </xf>
    <xf numFmtId="0" fontId="7" fillId="2" borderId="0" xfId="0" applyFont="1" applyFill="1" applyAlignment="1">
      <alignment vertical="center" wrapText="1"/>
    </xf>
    <xf numFmtId="0" fontId="6" fillId="2" borderId="10" xfId="0" applyFont="1" applyFill="1" applyBorder="1" applyAlignment="1">
      <alignment vertical="center"/>
    </xf>
    <xf numFmtId="0" fontId="6" fillId="2" borderId="11" xfId="0" applyFont="1" applyFill="1" applyBorder="1" applyAlignment="1">
      <alignment vertical="center"/>
    </xf>
    <xf numFmtId="0" fontId="11" fillId="2" borderId="0" xfId="0" applyFont="1" applyFill="1" applyAlignment="1">
      <alignment vertical="center"/>
    </xf>
    <xf numFmtId="0" fontId="12" fillId="2" borderId="0" xfId="0" applyFont="1" applyFill="1" applyAlignment="1">
      <alignment vertical="center"/>
    </xf>
    <xf numFmtId="0" fontId="6" fillId="0" borderId="0" xfId="0" applyFont="1" applyAlignment="1" applyProtection="1">
      <alignment horizontal="left" vertical="center"/>
      <protection locked="0"/>
    </xf>
    <xf numFmtId="0" fontId="13" fillId="2" borderId="0" xfId="0" applyFont="1" applyFill="1" applyAlignment="1">
      <alignment vertical="center"/>
    </xf>
    <xf numFmtId="0" fontId="6" fillId="2" borderId="10" xfId="0" applyFont="1" applyFill="1" applyBorder="1" applyAlignment="1">
      <alignment horizontal="left" vertical="center"/>
    </xf>
    <xf numFmtId="0" fontId="6" fillId="2" borderId="10" xfId="0" applyFont="1" applyFill="1" applyBorder="1" applyAlignment="1">
      <alignment horizontal="center" vertical="center"/>
    </xf>
    <xf numFmtId="0" fontId="14" fillId="0" borderId="18" xfId="0" applyFont="1" applyBorder="1" applyProtection="1">
      <protection locked="0"/>
    </xf>
    <xf numFmtId="0" fontId="14" fillId="0" borderId="19" xfId="0" applyFont="1" applyBorder="1" applyProtection="1">
      <protection locked="0"/>
    </xf>
    <xf numFmtId="0" fontId="6" fillId="2" borderId="0" xfId="0" applyFont="1" applyFill="1" applyAlignment="1">
      <alignment horizontal="left" vertical="center" wrapText="1"/>
    </xf>
    <xf numFmtId="0" fontId="14" fillId="0" borderId="21" xfId="0" applyFont="1" applyBorder="1" applyProtection="1">
      <protection locked="0"/>
    </xf>
    <xf numFmtId="0" fontId="14" fillId="0" borderId="0" xfId="0" applyFont="1" applyBorder="1" applyProtection="1">
      <protection locked="0"/>
    </xf>
    <xf numFmtId="0" fontId="6" fillId="2" borderId="0" xfId="0" applyFont="1" applyFill="1" applyBorder="1" applyAlignment="1">
      <alignment vertical="center" wrapText="1"/>
    </xf>
    <xf numFmtId="0" fontId="6" fillId="0" borderId="3" xfId="0" applyFont="1" applyBorder="1" applyAlignment="1" applyProtection="1">
      <alignment horizontal="center" vertical="center"/>
      <protection locked="0"/>
    </xf>
    <xf numFmtId="0" fontId="6" fillId="0" borderId="2" xfId="0" applyFont="1" applyBorder="1" applyAlignment="1" applyProtection="1">
      <alignment horizontal="center" vertical="center"/>
      <protection locked="0"/>
    </xf>
    <xf numFmtId="0" fontId="6" fillId="0" borderId="0" xfId="0" applyFont="1" applyBorder="1" applyAlignment="1" applyProtection="1">
      <alignment vertical="center"/>
      <protection locked="0"/>
    </xf>
    <xf numFmtId="0" fontId="14" fillId="0" borderId="18" xfId="0" applyFont="1" applyBorder="1"/>
    <xf numFmtId="0" fontId="6" fillId="2" borderId="12" xfId="0" applyFont="1" applyFill="1" applyBorder="1" applyAlignment="1">
      <alignment vertical="center"/>
    </xf>
    <xf numFmtId="0" fontId="6" fillId="0" borderId="3" xfId="0" applyFont="1" applyBorder="1" applyAlignment="1" applyProtection="1">
      <alignment horizontal="right" vertical="center"/>
      <protection locked="0"/>
    </xf>
    <xf numFmtId="0" fontId="6" fillId="0" borderId="2" xfId="0" applyFont="1" applyBorder="1" applyAlignment="1" applyProtection="1">
      <alignment horizontal="right" vertical="center"/>
      <protection locked="0"/>
    </xf>
    <xf numFmtId="0" fontId="6" fillId="0" borderId="23" xfId="0" applyFont="1" applyBorder="1" applyAlignment="1">
      <alignment horizontal="center" vertical="center"/>
    </xf>
    <xf numFmtId="0" fontId="6" fillId="2" borderId="5" xfId="0" applyFont="1" applyFill="1" applyBorder="1" applyAlignment="1">
      <alignment horizontal="center" vertical="center" wrapText="1"/>
    </xf>
    <xf numFmtId="0" fontId="6" fillId="0" borderId="0" xfId="0" applyFont="1" applyBorder="1"/>
    <xf numFmtId="165" fontId="6" fillId="2" borderId="1" xfId="0" quotePrefix="1" applyNumberFormat="1" applyFont="1" applyFill="1" applyBorder="1" applyAlignment="1">
      <alignment horizontal="center" vertical="center"/>
    </xf>
    <xf numFmtId="165" fontId="6" fillId="2" borderId="1" xfId="0" applyNumberFormat="1" applyFont="1" applyFill="1" applyBorder="1" applyAlignment="1">
      <alignment horizontal="center" vertical="center"/>
    </xf>
  </cellXfs>
  <cellStyles count="2">
    <cellStyle name="Normal" xfId="0" builtinId="0"/>
    <cellStyle name="Normal 2" xfId="1" xr:uid="{E83B42D4-D5D8-4E63-A629-97CFAD07F8DD}"/>
  </cellStyles>
  <dxfs count="14"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colors>
    <mruColors>
      <color rgb="FF9C0006"/>
      <color rgb="FFFFC7CE"/>
      <color rgb="FF006100"/>
      <color rgb="FFC6EFCE"/>
      <color rgb="FFC6EFFF"/>
      <color rgb="FFDAB56C"/>
      <color rgb="FF351D13"/>
      <color rgb="FF663300"/>
      <color rgb="FFF2672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vmlDrawing1.v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Y63"/>
  <sheetViews>
    <sheetView showGridLines="0" tabSelected="1" view="pageLayout" topLeftCell="A7" zoomScale="91" zoomScaleNormal="100" zoomScalePageLayoutView="91" workbookViewId="0">
      <selection activeCell="AC12" sqref="AC12:AH12"/>
    </sheetView>
  </sheetViews>
  <sheetFormatPr defaultColWidth="2.54296875" defaultRowHeight="11.5" customHeight="1" x14ac:dyDescent="0.35"/>
  <cols>
    <col min="1" max="16384" width="2.54296875" style="104"/>
  </cols>
  <sheetData>
    <row r="1" spans="1:39" ht="5.5" customHeight="1" x14ac:dyDescent="0.35">
      <c r="A1" s="103"/>
      <c r="B1" s="103"/>
      <c r="C1" s="103"/>
      <c r="D1" s="103"/>
      <c r="E1" s="103"/>
      <c r="F1" s="103"/>
      <c r="G1" s="103"/>
      <c r="H1" s="103"/>
      <c r="I1" s="103"/>
      <c r="J1" s="103"/>
      <c r="K1" s="103"/>
      <c r="L1" s="103"/>
      <c r="M1" s="103"/>
      <c r="N1" s="103"/>
      <c r="O1" s="103"/>
      <c r="P1" s="103"/>
      <c r="Q1" s="103"/>
      <c r="R1" s="103"/>
      <c r="S1" s="103"/>
      <c r="T1" s="103"/>
      <c r="U1" s="103"/>
      <c r="V1" s="103"/>
      <c r="W1" s="103"/>
      <c r="X1" s="103"/>
      <c r="Y1" s="103"/>
      <c r="Z1" s="103"/>
      <c r="AA1" s="103"/>
      <c r="AB1" s="103"/>
      <c r="AC1" s="103"/>
      <c r="AD1" s="103"/>
      <c r="AE1" s="103"/>
      <c r="AF1" s="103"/>
      <c r="AG1" s="103"/>
      <c r="AH1" s="103"/>
      <c r="AI1" s="103"/>
      <c r="AJ1" s="103"/>
      <c r="AK1" s="103"/>
      <c r="AL1" s="103"/>
      <c r="AM1" s="103"/>
    </row>
    <row r="2" spans="1:39" ht="11.5" customHeight="1" x14ac:dyDescent="0.35">
      <c r="A2" s="38" t="s">
        <v>0</v>
      </c>
      <c r="B2" s="38"/>
      <c r="C2" s="38"/>
      <c r="D2" s="38"/>
      <c r="E2" s="38"/>
      <c r="F2" s="45"/>
      <c r="G2" s="45"/>
      <c r="H2" s="45"/>
      <c r="I2" s="45"/>
      <c r="J2" s="45"/>
      <c r="K2" s="45"/>
      <c r="L2" s="45"/>
      <c r="M2" s="45"/>
      <c r="N2" s="45"/>
      <c r="O2" s="45"/>
      <c r="P2" s="45"/>
      <c r="Q2" s="45"/>
      <c r="R2" s="45"/>
      <c r="S2" s="45"/>
      <c r="T2" s="45"/>
      <c r="U2" s="45"/>
      <c r="V2" s="45"/>
      <c r="W2" s="45"/>
      <c r="X2" s="45"/>
      <c r="Y2" s="15"/>
      <c r="Z2" s="38" t="s">
        <v>12</v>
      </c>
      <c r="AA2" s="38"/>
      <c r="AB2" s="38"/>
      <c r="AC2" s="38"/>
      <c r="AD2" s="38"/>
      <c r="AE2" s="45"/>
      <c r="AF2" s="45"/>
      <c r="AG2" s="45"/>
      <c r="AH2" s="45"/>
      <c r="AI2" s="14"/>
      <c r="AJ2" s="52" t="s">
        <v>21</v>
      </c>
      <c r="AK2" s="52"/>
      <c r="AL2" s="52"/>
      <c r="AM2" s="105"/>
    </row>
    <row r="3" spans="1:39" ht="11.5" customHeight="1" x14ac:dyDescent="0.35">
      <c r="A3" s="38" t="s">
        <v>1</v>
      </c>
      <c r="B3" s="38"/>
      <c r="C3" s="38"/>
      <c r="D3" s="38"/>
      <c r="E3" s="38"/>
      <c r="F3" s="44"/>
      <c r="G3" s="44"/>
      <c r="H3" s="44"/>
      <c r="I3" s="44"/>
      <c r="J3" s="44"/>
      <c r="K3" s="44"/>
      <c r="L3" s="44"/>
      <c r="M3" s="44"/>
      <c r="N3" s="44"/>
      <c r="O3" s="44"/>
      <c r="P3" s="44"/>
      <c r="Q3" s="44"/>
      <c r="R3" s="44"/>
      <c r="S3" s="44"/>
      <c r="T3" s="44"/>
      <c r="U3" s="44"/>
      <c r="V3" s="44"/>
      <c r="W3" s="44"/>
      <c r="X3" s="44"/>
      <c r="Y3" s="15"/>
      <c r="Z3" s="38" t="s">
        <v>2</v>
      </c>
      <c r="AA3" s="38"/>
      <c r="AB3" s="38"/>
      <c r="AC3" s="38"/>
      <c r="AD3" s="38"/>
      <c r="AE3" s="44"/>
      <c r="AF3" s="44"/>
      <c r="AG3" s="44"/>
      <c r="AH3" s="44"/>
      <c r="AI3" s="14"/>
      <c r="AJ3" s="52"/>
      <c r="AK3" s="52"/>
      <c r="AL3" s="52"/>
      <c r="AM3" s="105"/>
    </row>
    <row r="4" spans="1:39" ht="11.5" customHeight="1" x14ac:dyDescent="0.35">
      <c r="A4" s="38" t="s">
        <v>3</v>
      </c>
      <c r="B4" s="38"/>
      <c r="C4" s="38"/>
      <c r="D4" s="38"/>
      <c r="E4" s="38"/>
      <c r="F4" s="44"/>
      <c r="G4" s="44"/>
      <c r="H4" s="44"/>
      <c r="I4" s="44"/>
      <c r="J4" s="44"/>
      <c r="K4" s="44"/>
      <c r="L4" s="44"/>
      <c r="M4" s="44"/>
      <c r="N4" s="44"/>
      <c r="O4" s="44"/>
      <c r="P4" s="44"/>
      <c r="Q4" s="44"/>
      <c r="R4" s="44"/>
      <c r="S4" s="44"/>
      <c r="T4" s="44"/>
      <c r="U4" s="44"/>
      <c r="V4" s="44"/>
      <c r="W4" s="44"/>
      <c r="X4" s="44"/>
      <c r="Y4" s="14"/>
      <c r="Z4" s="14"/>
      <c r="AA4" s="14"/>
      <c r="AB4" s="14"/>
      <c r="AC4" s="14"/>
      <c r="AD4" s="14"/>
      <c r="AE4" s="14"/>
      <c r="AF4" s="14"/>
      <c r="AG4" s="14"/>
      <c r="AH4" s="14"/>
      <c r="AI4" s="14"/>
      <c r="AJ4" s="52"/>
      <c r="AK4" s="52"/>
      <c r="AL4" s="52"/>
      <c r="AM4" s="105"/>
    </row>
    <row r="5" spans="1:39" ht="11.5" customHeight="1" x14ac:dyDescent="0.35">
      <c r="A5" s="38" t="s">
        <v>4</v>
      </c>
      <c r="B5" s="38"/>
      <c r="C5" s="38"/>
      <c r="D5" s="38"/>
      <c r="E5" s="38"/>
      <c r="F5" s="51"/>
      <c r="G5" s="51"/>
      <c r="H5" s="51"/>
      <c r="I5" s="51"/>
      <c r="J5" s="14"/>
      <c r="K5" s="48" t="s">
        <v>5</v>
      </c>
      <c r="L5" s="48"/>
      <c r="M5" s="45">
        <v>68</v>
      </c>
      <c r="N5" s="45"/>
      <c r="O5" s="14" t="s">
        <v>17</v>
      </c>
      <c r="P5" s="49">
        <f>ROUND((M5-32)*5/9,1)</f>
        <v>20</v>
      </c>
      <c r="Q5" s="49"/>
      <c r="R5" s="14" t="s">
        <v>6</v>
      </c>
      <c r="S5" s="14"/>
      <c r="T5" s="48" t="s">
        <v>16</v>
      </c>
      <c r="U5" s="48"/>
      <c r="V5" s="130">
        <f>ROUND(0.1758*EXP(0.0256*M5),3)</f>
        <v>1.002</v>
      </c>
      <c r="W5" s="131"/>
      <c r="X5" s="131"/>
      <c r="Y5" s="14"/>
      <c r="Z5" s="38" t="s">
        <v>35</v>
      </c>
      <c r="AA5" s="38"/>
      <c r="AB5" s="38"/>
      <c r="AC5" s="38"/>
      <c r="AD5" s="38"/>
      <c r="AE5" s="43"/>
      <c r="AF5" s="43"/>
      <c r="AG5" s="43"/>
      <c r="AH5" s="43"/>
      <c r="AI5" s="43"/>
      <c r="AJ5" s="43"/>
      <c r="AK5" s="43"/>
      <c r="AL5" s="43"/>
      <c r="AM5" s="14"/>
    </row>
    <row r="6" spans="1:39" ht="11.5" customHeight="1" x14ac:dyDescent="0.35">
      <c r="A6" s="38" t="s">
        <v>36</v>
      </c>
      <c r="B6" s="38"/>
      <c r="C6" s="38"/>
      <c r="D6" s="38"/>
      <c r="E6" s="38"/>
      <c r="F6" s="45"/>
      <c r="G6" s="45"/>
      <c r="H6" s="45"/>
      <c r="I6" s="45"/>
      <c r="J6" s="45"/>
      <c r="K6" s="45"/>
      <c r="L6" s="45"/>
      <c r="M6" s="45"/>
      <c r="N6" s="45"/>
      <c r="O6" s="45"/>
      <c r="P6" s="45"/>
      <c r="Q6" s="45"/>
      <c r="R6" s="45"/>
      <c r="S6" s="48" t="s">
        <v>7</v>
      </c>
      <c r="T6" s="48"/>
      <c r="U6" s="48"/>
      <c r="V6" s="48"/>
      <c r="W6" s="6">
        <v>72</v>
      </c>
      <c r="X6" s="16" t="s">
        <v>8</v>
      </c>
      <c r="Y6" s="14"/>
      <c r="Z6" s="38" t="s">
        <v>9</v>
      </c>
      <c r="AA6" s="38"/>
      <c r="AB6" s="38"/>
      <c r="AC6" s="38"/>
      <c r="AD6" s="38"/>
      <c r="AE6" s="50"/>
      <c r="AF6" s="50"/>
      <c r="AG6" s="50"/>
      <c r="AH6" s="50"/>
      <c r="AI6" s="50"/>
      <c r="AJ6" s="50"/>
      <c r="AK6" s="50"/>
      <c r="AL6" s="50"/>
      <c r="AM6" s="14"/>
    </row>
    <row r="7" spans="1:39" ht="11.5" customHeight="1" thickBot="1" x14ac:dyDescent="0.4">
      <c r="A7" s="106"/>
      <c r="B7" s="106"/>
      <c r="C7" s="106"/>
      <c r="D7" s="106"/>
      <c r="E7" s="106"/>
      <c r="F7" s="107"/>
      <c r="G7" s="107"/>
      <c r="H7" s="107"/>
      <c r="I7" s="107"/>
      <c r="J7" s="107"/>
      <c r="K7" s="107"/>
      <c r="L7" s="107"/>
      <c r="M7" s="107"/>
      <c r="N7" s="106"/>
      <c r="O7" s="106"/>
      <c r="P7" s="106"/>
      <c r="Q7" s="106"/>
      <c r="R7" s="106"/>
      <c r="S7" s="106"/>
      <c r="T7" s="106"/>
      <c r="U7" s="106"/>
      <c r="V7" s="106"/>
      <c r="W7" s="106"/>
      <c r="X7" s="106"/>
      <c r="Y7" s="106"/>
      <c r="Z7" s="106"/>
      <c r="AA7" s="106"/>
      <c r="AB7" s="106"/>
      <c r="AC7" s="106"/>
      <c r="AD7" s="106"/>
      <c r="AE7" s="106"/>
      <c r="AF7" s="106"/>
      <c r="AG7" s="106"/>
      <c r="AH7" s="106"/>
      <c r="AI7" s="106"/>
      <c r="AJ7" s="106"/>
      <c r="AK7" s="106"/>
      <c r="AL7" s="106"/>
      <c r="AM7" s="106"/>
    </row>
    <row r="8" spans="1:39" ht="11.5" customHeight="1" x14ac:dyDescent="0.35">
      <c r="A8" s="108" t="s">
        <v>129</v>
      </c>
      <c r="B8" s="109"/>
      <c r="C8" s="109"/>
      <c r="D8" s="109"/>
      <c r="E8" s="109"/>
      <c r="F8" s="15"/>
      <c r="G8" s="25"/>
      <c r="H8" s="25"/>
      <c r="I8" s="25"/>
      <c r="J8" s="25"/>
      <c r="K8" s="25"/>
      <c r="L8" s="25"/>
      <c r="M8" s="25"/>
      <c r="N8" s="25"/>
      <c r="O8" s="25"/>
      <c r="P8" s="25"/>
      <c r="Q8" s="25"/>
      <c r="R8" s="25"/>
      <c r="S8" s="25"/>
      <c r="T8" s="25"/>
      <c r="U8" s="25"/>
      <c r="V8" s="25"/>
      <c r="W8" s="14"/>
      <c r="X8" s="25"/>
      <c r="Y8" s="14"/>
      <c r="Z8" s="24"/>
      <c r="AA8" s="14"/>
      <c r="AB8" s="14"/>
      <c r="AC8" s="14"/>
      <c r="AD8" s="14"/>
      <c r="AE8" s="14"/>
      <c r="AF8" s="14"/>
      <c r="AG8" s="14"/>
      <c r="AH8" s="14"/>
      <c r="AI8" s="14"/>
      <c r="AJ8" s="14"/>
      <c r="AK8" s="14"/>
      <c r="AL8" s="14"/>
      <c r="AM8" s="14"/>
    </row>
    <row r="9" spans="1:39" ht="11.5" customHeight="1" x14ac:dyDescent="0.35">
      <c r="A9" s="17"/>
      <c r="B9" s="17"/>
      <c r="C9" s="17"/>
      <c r="D9" s="14"/>
      <c r="E9" s="17"/>
      <c r="F9" s="17"/>
      <c r="G9" s="38" t="s">
        <v>10</v>
      </c>
      <c r="H9" s="38"/>
      <c r="I9" s="38"/>
      <c r="J9" s="38"/>
      <c r="K9" s="38"/>
      <c r="L9" s="38"/>
      <c r="M9" s="45"/>
      <c r="N9" s="45"/>
      <c r="O9" s="45"/>
      <c r="P9" s="45"/>
      <c r="Q9" s="45"/>
      <c r="R9" s="45"/>
      <c r="W9" s="46" t="s">
        <v>90</v>
      </c>
      <c r="X9" s="46"/>
      <c r="Y9" s="46"/>
      <c r="Z9" s="46"/>
      <c r="AA9" s="46"/>
      <c r="AB9" s="46"/>
      <c r="AC9" s="45"/>
      <c r="AD9" s="45"/>
      <c r="AE9" s="45"/>
      <c r="AF9" s="45"/>
      <c r="AG9" s="45"/>
      <c r="AH9" s="45"/>
      <c r="AK9" s="18"/>
      <c r="AL9" s="14"/>
      <c r="AM9" s="14"/>
    </row>
    <row r="10" spans="1:39" ht="11.5" customHeight="1" x14ac:dyDescent="0.35">
      <c r="A10" s="17"/>
      <c r="B10" s="18"/>
      <c r="C10" s="18"/>
      <c r="D10" s="18"/>
      <c r="E10" s="18"/>
      <c r="F10" s="18"/>
      <c r="G10" s="38" t="s">
        <v>91</v>
      </c>
      <c r="H10" s="38"/>
      <c r="I10" s="38"/>
      <c r="J10" s="38"/>
      <c r="K10" s="38"/>
      <c r="L10" s="38"/>
      <c r="M10" s="45"/>
      <c r="N10" s="45"/>
      <c r="O10" s="45"/>
      <c r="P10" s="45"/>
      <c r="Q10" s="45"/>
      <c r="R10" s="45"/>
      <c r="W10" s="38" t="s">
        <v>130</v>
      </c>
      <c r="X10" s="38"/>
      <c r="Y10" s="38"/>
      <c r="Z10" s="38"/>
      <c r="AA10" s="38"/>
      <c r="AB10" s="38"/>
      <c r="AC10" s="45"/>
      <c r="AD10" s="45"/>
      <c r="AE10" s="45"/>
      <c r="AF10" s="45"/>
      <c r="AG10" s="45"/>
      <c r="AH10" s="45"/>
      <c r="AK10" s="18"/>
      <c r="AL10" s="14"/>
      <c r="AM10" s="14"/>
    </row>
    <row r="11" spans="1:39" ht="11.5" customHeight="1" x14ac:dyDescent="0.35">
      <c r="A11" s="17"/>
      <c r="B11" s="18"/>
      <c r="C11" s="18"/>
      <c r="D11" s="18"/>
      <c r="E11" s="18"/>
      <c r="F11" s="18"/>
      <c r="G11" s="38" t="s">
        <v>95</v>
      </c>
      <c r="H11" s="38"/>
      <c r="I11" s="38"/>
      <c r="J11" s="38"/>
      <c r="K11" s="38"/>
      <c r="L11" s="38"/>
      <c r="M11" s="45"/>
      <c r="N11" s="45"/>
      <c r="O11" s="45"/>
      <c r="P11" s="45"/>
      <c r="Q11" s="45"/>
      <c r="R11" s="45"/>
      <c r="W11" s="47" t="s">
        <v>92</v>
      </c>
      <c r="X11" s="47"/>
      <c r="Y11" s="47"/>
      <c r="Z11" s="47"/>
      <c r="AA11" s="47"/>
      <c r="AB11" s="47"/>
      <c r="AC11" s="45"/>
      <c r="AD11" s="45"/>
      <c r="AE11" s="45"/>
      <c r="AF11" s="45"/>
      <c r="AG11" s="45"/>
      <c r="AH11" s="45"/>
      <c r="AK11" s="18"/>
      <c r="AL11" s="14"/>
      <c r="AM11" s="14"/>
    </row>
    <row r="12" spans="1:39" ht="11.5" customHeight="1" x14ac:dyDescent="0.35">
      <c r="A12" s="17"/>
      <c r="B12" s="18"/>
      <c r="C12" s="18"/>
      <c r="D12" s="18"/>
      <c r="E12" s="18"/>
      <c r="F12" s="18"/>
      <c r="G12" s="38" t="s">
        <v>96</v>
      </c>
      <c r="H12" s="38"/>
      <c r="I12" s="38"/>
      <c r="J12" s="38"/>
      <c r="K12" s="38"/>
      <c r="L12" s="38"/>
      <c r="M12" s="45"/>
      <c r="N12" s="45"/>
      <c r="O12" s="45"/>
      <c r="P12" s="45"/>
      <c r="Q12" s="45"/>
      <c r="R12" s="45"/>
      <c r="W12" s="110" t="s">
        <v>131</v>
      </c>
      <c r="X12" s="110"/>
      <c r="Y12" s="110"/>
      <c r="Z12" s="110"/>
      <c r="AA12" s="110"/>
      <c r="AB12" s="110"/>
      <c r="AC12" s="45"/>
      <c r="AD12" s="45"/>
      <c r="AE12" s="45"/>
      <c r="AF12" s="45"/>
      <c r="AG12" s="45"/>
      <c r="AH12" s="45"/>
      <c r="AK12" s="14"/>
      <c r="AL12" s="14"/>
      <c r="AM12" s="14"/>
    </row>
    <row r="13" spans="1:39" ht="11.5" customHeight="1" thickBot="1" x14ac:dyDescent="0.4">
      <c r="A13" s="106"/>
      <c r="B13" s="106"/>
      <c r="C13" s="106"/>
      <c r="D13" s="106"/>
      <c r="E13" s="106"/>
      <c r="F13" s="106"/>
      <c r="G13" s="106"/>
      <c r="H13" s="106"/>
      <c r="I13" s="106"/>
      <c r="J13" s="106"/>
      <c r="K13" s="106"/>
      <c r="L13" s="106"/>
      <c r="M13" s="106"/>
      <c r="N13" s="106"/>
      <c r="O13" s="106"/>
      <c r="P13" s="106"/>
      <c r="Q13" s="106"/>
      <c r="R13" s="106"/>
      <c r="S13" s="106"/>
      <c r="T13" s="106"/>
      <c r="U13" s="106"/>
      <c r="V13" s="106"/>
      <c r="W13" s="106"/>
      <c r="X13" s="106"/>
      <c r="Y13" s="106"/>
      <c r="Z13" s="106"/>
      <c r="AA13" s="106"/>
      <c r="AB13" s="106"/>
      <c r="AC13" s="106"/>
      <c r="AD13" s="106"/>
      <c r="AE13" s="106"/>
      <c r="AF13" s="106"/>
      <c r="AG13" s="106"/>
      <c r="AH13" s="106"/>
      <c r="AI13" s="106"/>
      <c r="AJ13" s="106"/>
      <c r="AK13" s="106"/>
      <c r="AL13" s="106"/>
      <c r="AM13" s="106"/>
    </row>
    <row r="14" spans="1:39" ht="11.5" customHeight="1" x14ac:dyDescent="0.35">
      <c r="A14" s="108" t="s">
        <v>19</v>
      </c>
      <c r="B14" s="111"/>
      <c r="C14" s="111"/>
      <c r="D14" s="111"/>
      <c r="E14" s="111"/>
      <c r="F14" s="111"/>
      <c r="G14" s="111"/>
      <c r="H14" s="111"/>
      <c r="I14" s="111"/>
      <c r="J14" s="15"/>
      <c r="K14" s="15"/>
      <c r="L14" s="13"/>
      <c r="M14" s="14"/>
      <c r="N14" s="25"/>
      <c r="O14" s="25"/>
      <c r="P14" s="25"/>
      <c r="Q14" s="25"/>
      <c r="R14" s="25"/>
      <c r="S14" s="25"/>
      <c r="T14" s="25"/>
      <c r="U14" s="25"/>
      <c r="V14" s="23"/>
      <c r="W14" s="23"/>
      <c r="X14" s="23"/>
      <c r="Y14" s="13"/>
      <c r="Z14" s="13"/>
      <c r="AA14" s="14"/>
      <c r="AB14" s="14"/>
      <c r="AC14" s="14"/>
      <c r="AD14" s="14"/>
      <c r="AE14" s="14"/>
      <c r="AF14" s="14"/>
      <c r="AG14" s="14"/>
      <c r="AH14" s="14"/>
      <c r="AI14" s="14"/>
      <c r="AJ14" s="14"/>
      <c r="AK14" s="14"/>
      <c r="AL14" s="14"/>
      <c r="AM14" s="14"/>
    </row>
    <row r="15" spans="1:39" ht="11.5" customHeight="1" x14ac:dyDescent="0.35">
      <c r="A15" s="14"/>
      <c r="B15" s="14"/>
      <c r="C15" s="14"/>
      <c r="D15" s="14"/>
      <c r="E15" s="14"/>
      <c r="F15" s="14"/>
      <c r="G15" s="14"/>
      <c r="H15" s="14"/>
      <c r="I15" s="14"/>
      <c r="J15" s="14"/>
      <c r="K15" s="14"/>
      <c r="L15" s="14"/>
      <c r="M15" s="14"/>
      <c r="N15" s="14"/>
      <c r="O15" s="14"/>
      <c r="P15" s="14"/>
      <c r="Q15" s="14"/>
      <c r="R15" s="14"/>
      <c r="S15" s="14"/>
      <c r="T15" s="14"/>
      <c r="U15" s="14"/>
      <c r="V15" s="14"/>
      <c r="W15" s="14"/>
      <c r="X15" s="14"/>
      <c r="Y15" s="14"/>
      <c r="Z15" s="14"/>
      <c r="AA15" s="14"/>
      <c r="AB15" s="14"/>
      <c r="AC15" s="14"/>
      <c r="AD15" s="14"/>
      <c r="AE15" s="14"/>
      <c r="AF15" s="14"/>
      <c r="AG15" s="14"/>
      <c r="AH15" s="14"/>
      <c r="AI15" s="14"/>
      <c r="AJ15" s="14"/>
      <c r="AK15" s="14"/>
      <c r="AL15" s="14"/>
      <c r="AM15" s="14"/>
    </row>
    <row r="16" spans="1:39" ht="11.5" customHeight="1" x14ac:dyDescent="0.35">
      <c r="A16" s="18"/>
      <c r="B16" s="14" t="s">
        <v>61</v>
      </c>
      <c r="C16" s="14"/>
      <c r="D16" s="14"/>
      <c r="E16" s="14"/>
      <c r="F16" s="14"/>
      <c r="G16" s="14"/>
      <c r="H16" s="14"/>
      <c r="I16" s="14"/>
      <c r="J16" s="14"/>
      <c r="K16" s="14"/>
      <c r="L16" s="14"/>
      <c r="M16" s="14"/>
      <c r="N16" s="14"/>
      <c r="O16" s="14"/>
      <c r="P16" s="14"/>
      <c r="Q16" s="14"/>
      <c r="R16" s="14"/>
      <c r="S16" s="14"/>
      <c r="T16" s="14"/>
      <c r="U16" s="14"/>
      <c r="V16" s="14"/>
      <c r="W16" s="14"/>
      <c r="X16" s="14"/>
      <c r="Y16" s="14"/>
      <c r="Z16" s="14"/>
      <c r="AA16" s="14"/>
      <c r="AB16" s="14"/>
      <c r="AC16" s="14"/>
      <c r="AD16" s="14"/>
      <c r="AE16" s="14"/>
      <c r="AF16" s="14"/>
      <c r="AG16" s="14"/>
      <c r="AH16" s="14" t="s">
        <v>50</v>
      </c>
      <c r="AI16" s="14"/>
      <c r="AJ16" s="14"/>
      <c r="AK16" s="14"/>
      <c r="AL16" s="14"/>
      <c r="AM16" s="14"/>
    </row>
    <row r="17" spans="1:39" ht="11.5" customHeight="1" x14ac:dyDescent="0.35">
      <c r="A17" s="18"/>
      <c r="B17" s="27" t="s">
        <v>115</v>
      </c>
      <c r="C17" s="27"/>
      <c r="D17" s="27"/>
      <c r="E17" s="27"/>
      <c r="F17" s="27" t="s">
        <v>114</v>
      </c>
      <c r="G17" s="27"/>
      <c r="H17" s="27"/>
      <c r="I17" s="27"/>
      <c r="J17" s="27"/>
      <c r="K17" s="27"/>
      <c r="L17" s="27"/>
      <c r="M17" s="27"/>
      <c r="N17" s="27"/>
      <c r="O17" s="27"/>
      <c r="P17" s="27"/>
      <c r="Q17" s="27"/>
      <c r="R17" s="27"/>
      <c r="S17" s="27"/>
      <c r="T17" s="27"/>
      <c r="U17" s="27"/>
      <c r="V17" s="27"/>
      <c r="W17" s="27"/>
      <c r="X17" s="27"/>
      <c r="Y17" s="27"/>
      <c r="Z17" s="27"/>
      <c r="AA17" s="27"/>
      <c r="AB17" s="27"/>
      <c r="AC17" s="27"/>
      <c r="AD17" s="27"/>
      <c r="AE17" s="27"/>
      <c r="AF17" s="27"/>
      <c r="AG17" s="27"/>
      <c r="AH17" s="26" t="s">
        <v>59</v>
      </c>
      <c r="AI17" s="26"/>
      <c r="AJ17" s="26"/>
      <c r="AK17" s="26"/>
      <c r="AL17" s="26"/>
      <c r="AM17" s="14"/>
    </row>
    <row r="18" spans="1:39" ht="11.5" customHeight="1" x14ac:dyDescent="0.35">
      <c r="A18" s="18"/>
      <c r="B18" s="27" t="s">
        <v>116</v>
      </c>
      <c r="C18" s="27"/>
      <c r="D18" s="27"/>
      <c r="E18" s="27"/>
      <c r="F18" s="27" t="s">
        <v>93</v>
      </c>
      <c r="G18" s="27"/>
      <c r="H18" s="27"/>
      <c r="I18" s="27"/>
      <c r="J18" s="27"/>
      <c r="K18" s="27"/>
      <c r="L18" s="27"/>
      <c r="M18" s="27"/>
      <c r="N18" s="27"/>
      <c r="O18" s="27"/>
      <c r="P18" s="27"/>
      <c r="Q18" s="27"/>
      <c r="R18" s="27"/>
      <c r="S18" s="27"/>
      <c r="T18" s="27"/>
      <c r="U18" s="27"/>
      <c r="V18" s="27"/>
      <c r="W18" s="27"/>
      <c r="X18" s="27"/>
      <c r="Y18" s="27"/>
      <c r="Z18" s="27"/>
      <c r="AA18" s="27"/>
      <c r="AB18" s="27"/>
      <c r="AC18" s="27"/>
      <c r="AD18" s="27"/>
      <c r="AE18" s="27"/>
      <c r="AF18" s="27"/>
      <c r="AG18" s="27"/>
      <c r="AH18" s="53" t="s">
        <v>59</v>
      </c>
      <c r="AI18" s="54"/>
      <c r="AJ18" s="54"/>
      <c r="AK18" s="54"/>
      <c r="AL18" s="55"/>
      <c r="AM18" s="14"/>
    </row>
    <row r="19" spans="1:39" ht="11.5" customHeight="1" x14ac:dyDescent="0.35">
      <c r="A19" s="18"/>
      <c r="B19" s="27" t="s">
        <v>117</v>
      </c>
      <c r="C19" s="27"/>
      <c r="D19" s="27"/>
      <c r="E19" s="27"/>
      <c r="F19" s="27" t="s">
        <v>121</v>
      </c>
      <c r="G19" s="27"/>
      <c r="H19" s="27"/>
      <c r="I19" s="27"/>
      <c r="J19" s="27"/>
      <c r="K19" s="27"/>
      <c r="L19" s="27"/>
      <c r="M19" s="27"/>
      <c r="N19" s="27"/>
      <c r="O19" s="27"/>
      <c r="P19" s="27"/>
      <c r="Q19" s="27"/>
      <c r="R19" s="27"/>
      <c r="S19" s="27"/>
      <c r="T19" s="27"/>
      <c r="U19" s="27"/>
      <c r="V19" s="27"/>
      <c r="W19" s="27"/>
      <c r="X19" s="27"/>
      <c r="Y19" s="27"/>
      <c r="Z19" s="27"/>
      <c r="AA19" s="27"/>
      <c r="AB19" s="27"/>
      <c r="AC19" s="27"/>
      <c r="AD19" s="27"/>
      <c r="AE19" s="27"/>
      <c r="AF19" s="27"/>
      <c r="AG19" s="27"/>
      <c r="AH19" s="26" t="s">
        <v>59</v>
      </c>
      <c r="AI19" s="26"/>
      <c r="AJ19" s="26"/>
      <c r="AK19" s="26"/>
      <c r="AL19" s="26"/>
      <c r="AM19" s="14"/>
    </row>
    <row r="20" spans="1:39" ht="11" customHeight="1" x14ac:dyDescent="0.35">
      <c r="A20" s="18"/>
      <c r="B20" s="27" t="s">
        <v>118</v>
      </c>
      <c r="C20" s="27"/>
      <c r="D20" s="27"/>
      <c r="E20" s="27"/>
      <c r="F20" s="28" t="s">
        <v>122</v>
      </c>
      <c r="G20" s="28"/>
      <c r="H20" s="28"/>
      <c r="I20" s="28"/>
      <c r="J20" s="28"/>
      <c r="K20" s="28"/>
      <c r="L20" s="28"/>
      <c r="M20" s="28"/>
      <c r="N20" s="28"/>
      <c r="O20" s="28"/>
      <c r="P20" s="28"/>
      <c r="Q20" s="28"/>
      <c r="R20" s="28"/>
      <c r="S20" s="28"/>
      <c r="T20" s="28"/>
      <c r="U20" s="28"/>
      <c r="V20" s="28"/>
      <c r="W20" s="28"/>
      <c r="X20" s="28"/>
      <c r="Y20" s="28"/>
      <c r="Z20" s="28"/>
      <c r="AA20" s="28"/>
      <c r="AB20" s="28"/>
      <c r="AC20" s="28"/>
      <c r="AD20" s="28"/>
      <c r="AE20" s="28"/>
      <c r="AF20" s="28"/>
      <c r="AG20" s="28"/>
      <c r="AH20" s="26" t="s">
        <v>59</v>
      </c>
      <c r="AI20" s="26"/>
      <c r="AJ20" s="26"/>
      <c r="AK20" s="26"/>
      <c r="AL20" s="26"/>
      <c r="AM20" s="14"/>
    </row>
    <row r="21" spans="1:39" ht="11" customHeight="1" x14ac:dyDescent="0.35">
      <c r="A21" s="18"/>
      <c r="B21" s="27" t="s">
        <v>119</v>
      </c>
      <c r="C21" s="27"/>
      <c r="D21" s="27"/>
      <c r="E21" s="27"/>
      <c r="F21" s="56" t="s">
        <v>123</v>
      </c>
      <c r="G21" s="57"/>
      <c r="H21" s="57"/>
      <c r="I21" s="57"/>
      <c r="J21" s="57"/>
      <c r="K21" s="57"/>
      <c r="L21" s="57"/>
      <c r="M21" s="57"/>
      <c r="N21" s="57"/>
      <c r="O21" s="57"/>
      <c r="P21" s="57"/>
      <c r="Q21" s="57"/>
      <c r="R21" s="57"/>
      <c r="S21" s="57"/>
      <c r="T21" s="57"/>
      <c r="U21" s="57"/>
      <c r="V21" s="57"/>
      <c r="W21" s="57"/>
      <c r="X21" s="57"/>
      <c r="Y21" s="57"/>
      <c r="Z21" s="57"/>
      <c r="AA21" s="57"/>
      <c r="AB21" s="57"/>
      <c r="AC21" s="57"/>
      <c r="AD21" s="57"/>
      <c r="AE21" s="57"/>
      <c r="AF21" s="57"/>
      <c r="AG21" s="58"/>
      <c r="AH21" s="26" t="s">
        <v>59</v>
      </c>
      <c r="AI21" s="26"/>
      <c r="AJ21" s="26"/>
      <c r="AK21" s="26"/>
      <c r="AL21" s="26"/>
      <c r="AM21" s="14"/>
    </row>
    <row r="22" spans="1:39" ht="11" customHeight="1" x14ac:dyDescent="0.35">
      <c r="A22" s="18"/>
      <c r="B22" s="27" t="s">
        <v>125</v>
      </c>
      <c r="C22" s="27"/>
      <c r="D22" s="27"/>
      <c r="E22" s="27"/>
      <c r="F22" s="56" t="s">
        <v>124</v>
      </c>
      <c r="G22" s="57"/>
      <c r="H22" s="57"/>
      <c r="I22" s="57"/>
      <c r="J22" s="57"/>
      <c r="K22" s="57"/>
      <c r="L22" s="57"/>
      <c r="M22" s="57"/>
      <c r="N22" s="57"/>
      <c r="O22" s="57"/>
      <c r="P22" s="57"/>
      <c r="Q22" s="57"/>
      <c r="R22" s="57"/>
      <c r="S22" s="57"/>
      <c r="T22" s="57"/>
      <c r="U22" s="57"/>
      <c r="V22" s="57"/>
      <c r="W22" s="57"/>
      <c r="X22" s="57"/>
      <c r="Y22" s="57"/>
      <c r="Z22" s="57"/>
      <c r="AA22" s="57"/>
      <c r="AB22" s="57"/>
      <c r="AC22" s="57"/>
      <c r="AD22" s="57"/>
      <c r="AE22" s="57"/>
      <c r="AF22" s="57"/>
      <c r="AG22" s="58"/>
      <c r="AH22" s="26" t="s">
        <v>59</v>
      </c>
      <c r="AI22" s="26"/>
      <c r="AJ22" s="26"/>
      <c r="AK22" s="26"/>
      <c r="AL22" s="26"/>
      <c r="AM22" s="14"/>
    </row>
    <row r="23" spans="1:39" ht="11" customHeight="1" x14ac:dyDescent="0.35">
      <c r="A23" s="18"/>
      <c r="B23" s="27" t="s">
        <v>120</v>
      </c>
      <c r="C23" s="27"/>
      <c r="D23" s="27"/>
      <c r="E23" s="27"/>
      <c r="F23" s="28" t="s">
        <v>97</v>
      </c>
      <c r="G23" s="28"/>
      <c r="H23" s="28"/>
      <c r="I23" s="28"/>
      <c r="J23" s="28"/>
      <c r="K23" s="28"/>
      <c r="L23" s="28"/>
      <c r="M23" s="28"/>
      <c r="N23" s="28"/>
      <c r="O23" s="28"/>
      <c r="P23" s="28"/>
      <c r="Q23" s="28"/>
      <c r="R23" s="28"/>
      <c r="S23" s="28"/>
      <c r="T23" s="28"/>
      <c r="U23" s="28"/>
      <c r="V23" s="28"/>
      <c r="W23" s="28"/>
      <c r="X23" s="28"/>
      <c r="Y23" s="28"/>
      <c r="Z23" s="28"/>
      <c r="AA23" s="28"/>
      <c r="AB23" s="28"/>
      <c r="AC23" s="28"/>
      <c r="AD23" s="28"/>
      <c r="AE23" s="28"/>
      <c r="AF23" s="28"/>
      <c r="AG23" s="28"/>
      <c r="AH23" s="26" t="s">
        <v>59</v>
      </c>
      <c r="AI23" s="26"/>
      <c r="AJ23" s="26"/>
      <c r="AK23" s="26"/>
      <c r="AL23" s="26"/>
      <c r="AM23" s="14"/>
    </row>
    <row r="24" spans="1:39" ht="11" customHeight="1" x14ac:dyDescent="0.35">
      <c r="A24" s="18"/>
      <c r="B24" s="27" t="s">
        <v>126</v>
      </c>
      <c r="C24" s="27"/>
      <c r="D24" s="27"/>
      <c r="E24" s="27"/>
      <c r="F24" s="28" t="s">
        <v>98</v>
      </c>
      <c r="G24" s="28"/>
      <c r="H24" s="28"/>
      <c r="I24" s="28"/>
      <c r="J24" s="28"/>
      <c r="K24" s="28"/>
      <c r="L24" s="28"/>
      <c r="M24" s="28"/>
      <c r="N24" s="28"/>
      <c r="O24" s="28"/>
      <c r="P24" s="28"/>
      <c r="Q24" s="28"/>
      <c r="R24" s="28"/>
      <c r="S24" s="28"/>
      <c r="T24" s="28"/>
      <c r="U24" s="28"/>
      <c r="V24" s="28"/>
      <c r="W24" s="28"/>
      <c r="X24" s="28"/>
      <c r="Y24" s="28"/>
      <c r="Z24" s="28"/>
      <c r="AA24" s="28"/>
      <c r="AB24" s="28"/>
      <c r="AC24" s="28"/>
      <c r="AD24" s="28"/>
      <c r="AE24" s="28"/>
      <c r="AF24" s="28"/>
      <c r="AG24" s="28"/>
      <c r="AH24" s="26" t="s">
        <v>59</v>
      </c>
      <c r="AI24" s="26"/>
      <c r="AJ24" s="26"/>
      <c r="AK24" s="26"/>
      <c r="AL24" s="26"/>
      <c r="AM24" s="14"/>
    </row>
    <row r="25" spans="1:39" ht="11" customHeight="1" x14ac:dyDescent="0.35">
      <c r="A25" s="18"/>
      <c r="B25" s="27" t="s">
        <v>127</v>
      </c>
      <c r="C25" s="27"/>
      <c r="D25" s="27"/>
      <c r="E25" s="27"/>
      <c r="F25" s="28" t="s">
        <v>128</v>
      </c>
      <c r="G25" s="28"/>
      <c r="H25" s="28"/>
      <c r="I25" s="28"/>
      <c r="J25" s="28"/>
      <c r="K25" s="28"/>
      <c r="L25" s="28"/>
      <c r="M25" s="28"/>
      <c r="N25" s="28"/>
      <c r="O25" s="28"/>
      <c r="P25" s="28"/>
      <c r="Q25" s="28"/>
      <c r="R25" s="28"/>
      <c r="S25" s="28"/>
      <c r="T25" s="28"/>
      <c r="U25" s="28"/>
      <c r="V25" s="28"/>
      <c r="W25" s="28"/>
      <c r="X25" s="28"/>
      <c r="Y25" s="28"/>
      <c r="Z25" s="28"/>
      <c r="AA25" s="28"/>
      <c r="AB25" s="28"/>
      <c r="AC25" s="28"/>
      <c r="AD25" s="28"/>
      <c r="AE25" s="28"/>
      <c r="AF25" s="28"/>
      <c r="AG25" s="28"/>
      <c r="AH25" s="26" t="s">
        <v>66</v>
      </c>
      <c r="AI25" s="26"/>
      <c r="AJ25" s="26"/>
      <c r="AK25" s="26"/>
      <c r="AL25" s="26"/>
      <c r="AM25" s="14"/>
    </row>
    <row r="26" spans="1:39" ht="11" customHeight="1" thickBot="1" x14ac:dyDescent="0.4">
      <c r="A26" s="112"/>
      <c r="B26" s="112"/>
      <c r="C26" s="112"/>
      <c r="D26" s="112"/>
      <c r="E26" s="112"/>
      <c r="F26" s="112"/>
      <c r="G26" s="113"/>
      <c r="H26" s="113"/>
      <c r="I26" s="113"/>
      <c r="J26" s="113"/>
      <c r="K26" s="113"/>
      <c r="L26" s="113"/>
      <c r="M26" s="113"/>
      <c r="N26" s="113"/>
      <c r="O26" s="113"/>
      <c r="P26" s="113"/>
      <c r="Q26" s="113"/>
      <c r="R26" s="113"/>
      <c r="S26" s="113"/>
      <c r="T26" s="113"/>
      <c r="U26" s="113"/>
      <c r="V26" s="113"/>
      <c r="W26" s="113"/>
      <c r="X26" s="113"/>
      <c r="Y26" s="113"/>
      <c r="Z26" s="113"/>
      <c r="AA26" s="113"/>
      <c r="AB26" s="113"/>
      <c r="AC26" s="113"/>
      <c r="AD26" s="113"/>
      <c r="AE26" s="113"/>
      <c r="AF26" s="113"/>
      <c r="AG26" s="113"/>
      <c r="AH26" s="113"/>
      <c r="AI26" s="113"/>
      <c r="AJ26" s="113"/>
      <c r="AK26" s="106"/>
      <c r="AL26" s="106"/>
      <c r="AM26" s="106"/>
    </row>
    <row r="27" spans="1:39" ht="11.5" customHeight="1" x14ac:dyDescent="0.35">
      <c r="A27" s="108" t="s">
        <v>99</v>
      </c>
      <c r="B27" s="15"/>
      <c r="C27" s="15"/>
      <c r="D27" s="15"/>
      <c r="E27" s="15"/>
      <c r="F27" s="15"/>
      <c r="G27" s="14"/>
      <c r="H27" s="14"/>
      <c r="I27" s="14"/>
      <c r="J27" s="14"/>
      <c r="K27" s="14"/>
      <c r="L27" s="14"/>
      <c r="M27" s="14"/>
      <c r="N27" s="14"/>
      <c r="O27" s="14"/>
      <c r="P27" s="14"/>
      <c r="Q27" s="14"/>
      <c r="R27" s="14"/>
      <c r="S27" s="14"/>
      <c r="T27" s="14"/>
      <c r="U27" s="14"/>
      <c r="V27" s="14"/>
      <c r="W27" s="14"/>
      <c r="X27" s="14"/>
      <c r="Y27" s="14"/>
      <c r="Z27" s="14"/>
      <c r="AA27" s="14"/>
      <c r="AB27" s="14"/>
      <c r="AC27" s="14"/>
      <c r="AD27" s="14"/>
      <c r="AE27" s="14"/>
      <c r="AF27" s="14"/>
      <c r="AG27" s="14"/>
      <c r="AH27" s="14"/>
      <c r="AI27" s="14"/>
      <c r="AJ27" s="18"/>
      <c r="AK27" s="18"/>
      <c r="AL27" s="18"/>
      <c r="AM27" s="18"/>
    </row>
    <row r="28" spans="1:39" ht="11" customHeight="1" x14ac:dyDescent="0.3">
      <c r="A28" s="18"/>
      <c r="B28" s="14"/>
      <c r="C28" s="14"/>
      <c r="D28" s="14"/>
      <c r="E28" s="14"/>
      <c r="F28" s="19"/>
      <c r="G28" s="19"/>
      <c r="H28" s="19"/>
      <c r="I28" s="38" t="s">
        <v>10</v>
      </c>
      <c r="J28" s="38"/>
      <c r="K28" s="38"/>
      <c r="L28" s="38"/>
      <c r="M28" s="38"/>
      <c r="N28" s="38"/>
      <c r="O28" s="39"/>
      <c r="P28" s="114"/>
      <c r="Q28" s="114"/>
      <c r="R28" s="114"/>
      <c r="S28" s="114"/>
      <c r="T28" s="14"/>
      <c r="U28" s="38" t="s">
        <v>111</v>
      </c>
      <c r="V28" s="38"/>
      <c r="W28" s="38"/>
      <c r="X28" s="38"/>
      <c r="Y28" s="38"/>
      <c r="Z28" s="38"/>
      <c r="AA28" s="39"/>
      <c r="AB28" s="114"/>
      <c r="AC28" s="114"/>
      <c r="AD28" s="114"/>
      <c r="AE28" s="114"/>
      <c r="AF28" s="19"/>
      <c r="AG28" s="19"/>
      <c r="AH28" s="14"/>
      <c r="AI28" s="14"/>
      <c r="AJ28" s="14"/>
      <c r="AK28" s="14"/>
      <c r="AL28" s="14"/>
      <c r="AM28" s="14"/>
    </row>
    <row r="29" spans="1:39" ht="11" customHeight="1" x14ac:dyDescent="0.3">
      <c r="A29" s="18"/>
      <c r="B29" s="14"/>
      <c r="C29" s="14"/>
      <c r="D29" s="14"/>
      <c r="E29" s="14"/>
      <c r="F29" s="19"/>
      <c r="G29" s="19"/>
      <c r="H29" s="19"/>
      <c r="I29" s="38" t="s">
        <v>91</v>
      </c>
      <c r="J29" s="38"/>
      <c r="K29" s="38"/>
      <c r="L29" s="38"/>
      <c r="M29" s="38"/>
      <c r="N29" s="38"/>
      <c r="O29" s="40"/>
      <c r="P29" s="115"/>
      <c r="Q29" s="115"/>
      <c r="R29" s="115"/>
      <c r="S29" s="115"/>
      <c r="T29" s="14"/>
      <c r="U29" s="46" t="s">
        <v>112</v>
      </c>
      <c r="V29" s="46"/>
      <c r="W29" s="46"/>
      <c r="X29" s="46"/>
      <c r="Y29" s="46"/>
      <c r="Z29" s="46"/>
      <c r="AA29" s="40"/>
      <c r="AB29" s="115"/>
      <c r="AC29" s="115"/>
      <c r="AD29" s="115"/>
      <c r="AE29" s="115"/>
      <c r="AF29" s="19"/>
      <c r="AG29" s="19"/>
      <c r="AH29" s="14"/>
      <c r="AI29" s="14"/>
      <c r="AJ29" s="14"/>
      <c r="AK29" s="14"/>
      <c r="AL29" s="14"/>
      <c r="AM29" s="14"/>
    </row>
    <row r="30" spans="1:39" ht="11" customHeight="1" x14ac:dyDescent="0.3">
      <c r="A30" s="18"/>
      <c r="B30" s="14"/>
      <c r="C30" s="14"/>
      <c r="D30" s="14"/>
      <c r="E30" s="14"/>
      <c r="F30" s="19"/>
      <c r="G30" s="19"/>
      <c r="H30" s="19"/>
      <c r="I30" s="38" t="s">
        <v>89</v>
      </c>
      <c r="J30" s="38"/>
      <c r="K30" s="38"/>
      <c r="L30" s="38"/>
      <c r="M30" s="38"/>
      <c r="N30" s="38"/>
      <c r="O30" s="40"/>
      <c r="P30" s="115"/>
      <c r="Q30" s="115"/>
      <c r="R30" s="115"/>
      <c r="S30" s="115"/>
      <c r="T30" s="14"/>
      <c r="U30" s="38" t="s">
        <v>113</v>
      </c>
      <c r="V30" s="38"/>
      <c r="W30" s="38"/>
      <c r="X30" s="38"/>
      <c r="Y30" s="38"/>
      <c r="Z30" s="38"/>
      <c r="AA30" s="40"/>
      <c r="AB30" s="115"/>
      <c r="AC30" s="115"/>
      <c r="AD30" s="115"/>
      <c r="AE30" s="115"/>
      <c r="AF30" s="19"/>
      <c r="AG30" s="19"/>
      <c r="AH30" s="14"/>
      <c r="AI30" s="14"/>
      <c r="AJ30" s="14"/>
      <c r="AK30" s="14"/>
      <c r="AL30" s="14"/>
      <c r="AM30" s="14"/>
    </row>
    <row r="31" spans="1:39" ht="11.5" customHeight="1" thickBot="1" x14ac:dyDescent="0.4">
      <c r="A31" s="112"/>
      <c r="B31" s="112"/>
      <c r="C31" s="112"/>
      <c r="D31" s="112"/>
      <c r="E31" s="112"/>
      <c r="F31" s="112"/>
      <c r="G31" s="113"/>
      <c r="H31" s="113"/>
      <c r="I31" s="113"/>
      <c r="J31" s="113"/>
      <c r="K31" s="113"/>
      <c r="L31" s="113"/>
      <c r="M31" s="113"/>
      <c r="N31" s="113"/>
      <c r="O31" s="113"/>
      <c r="P31" s="113"/>
      <c r="Q31" s="113"/>
      <c r="R31" s="113"/>
      <c r="S31" s="113"/>
      <c r="T31" s="113"/>
      <c r="U31" s="113"/>
      <c r="V31" s="113"/>
      <c r="W31" s="113"/>
      <c r="X31" s="113"/>
      <c r="Y31" s="113"/>
      <c r="Z31" s="113"/>
      <c r="AA31" s="113"/>
      <c r="AB31" s="113"/>
      <c r="AC31" s="113"/>
      <c r="AD31" s="113"/>
      <c r="AE31" s="113"/>
      <c r="AF31" s="113"/>
      <c r="AG31" s="113"/>
      <c r="AH31" s="113"/>
      <c r="AI31" s="113"/>
      <c r="AJ31" s="113"/>
      <c r="AK31" s="106"/>
      <c r="AL31" s="106"/>
      <c r="AM31" s="106"/>
    </row>
    <row r="32" spans="1:39" ht="11.5" customHeight="1" x14ac:dyDescent="0.35">
      <c r="A32" s="108" t="s">
        <v>136</v>
      </c>
      <c r="B32" s="15"/>
      <c r="C32" s="15"/>
      <c r="D32" s="15"/>
      <c r="E32" s="15"/>
      <c r="F32" s="15"/>
      <c r="G32" s="14"/>
      <c r="H32" s="14"/>
      <c r="I32" s="14"/>
      <c r="J32" s="14"/>
      <c r="K32" s="14"/>
      <c r="L32" s="14"/>
      <c r="M32" s="14"/>
      <c r="N32" s="14"/>
      <c r="O32" s="14"/>
      <c r="P32" s="14"/>
      <c r="Q32" s="14"/>
      <c r="R32" s="14"/>
      <c r="S32" s="14"/>
      <c r="T32" s="14"/>
      <c r="U32" s="14"/>
      <c r="V32" s="14"/>
      <c r="W32" s="14"/>
      <c r="X32" s="14"/>
      <c r="Y32" s="14"/>
      <c r="Z32" s="14"/>
      <c r="AA32" s="14"/>
      <c r="AB32" s="14"/>
      <c r="AC32" s="14"/>
      <c r="AD32" s="14"/>
      <c r="AE32" s="14"/>
      <c r="AF32" s="14"/>
      <c r="AG32" s="14"/>
      <c r="AH32" s="14"/>
      <c r="AI32" s="14"/>
      <c r="AJ32" s="18"/>
      <c r="AK32" s="18"/>
      <c r="AL32" s="18"/>
      <c r="AM32" s="18"/>
    </row>
    <row r="33" spans="1:51" ht="11.5" customHeight="1" x14ac:dyDescent="0.35">
      <c r="A33" s="116"/>
      <c r="B33" s="13"/>
      <c r="C33" s="13"/>
      <c r="D33" s="13"/>
      <c r="E33" s="18"/>
      <c r="F33" s="18"/>
      <c r="G33" s="18"/>
      <c r="H33" s="18"/>
      <c r="I33" s="18"/>
      <c r="J33" s="18"/>
      <c r="K33" s="18"/>
      <c r="L33" s="18"/>
      <c r="M33" s="18"/>
      <c r="N33" s="18"/>
      <c r="O33" s="18"/>
      <c r="P33" s="18"/>
      <c r="Q33" s="18"/>
      <c r="R33" s="18"/>
      <c r="S33" s="18"/>
      <c r="T33" s="18"/>
      <c r="U33" s="18"/>
      <c r="V33" s="18"/>
      <c r="W33" s="18"/>
      <c r="X33" s="18"/>
      <c r="Y33" s="18"/>
      <c r="Z33" s="18"/>
      <c r="AA33" s="18"/>
      <c r="AB33" s="18"/>
      <c r="AC33" s="18"/>
      <c r="AD33" s="18"/>
      <c r="AE33" s="18"/>
      <c r="AF33" s="14"/>
      <c r="AG33" s="14"/>
      <c r="AH33" s="14"/>
      <c r="AI33" s="14"/>
      <c r="AJ33" s="14"/>
      <c r="AK33" s="14"/>
      <c r="AL33" s="14"/>
      <c r="AM33" s="14"/>
    </row>
    <row r="34" spans="1:51" ht="11.5" customHeight="1" x14ac:dyDescent="0.3">
      <c r="A34" s="19"/>
      <c r="B34" s="18"/>
      <c r="C34" s="59" t="s">
        <v>102</v>
      </c>
      <c r="D34" s="60"/>
      <c r="E34" s="60"/>
      <c r="F34" s="60"/>
      <c r="G34" s="60"/>
      <c r="H34" s="61"/>
      <c r="I34" s="62" t="s">
        <v>100</v>
      </c>
      <c r="J34" s="62"/>
      <c r="K34" s="62"/>
      <c r="L34" s="62" t="s">
        <v>101</v>
      </c>
      <c r="M34" s="62"/>
      <c r="N34" s="62"/>
      <c r="O34" s="62" t="s">
        <v>94</v>
      </c>
      <c r="P34" s="62"/>
      <c r="Q34" s="62"/>
      <c r="S34" s="20"/>
      <c r="T34" s="20"/>
      <c r="U34" s="20"/>
      <c r="V34" s="20"/>
      <c r="AL34" s="20"/>
      <c r="AM34" s="19"/>
    </row>
    <row r="35" spans="1:51" ht="11.5" customHeight="1" x14ac:dyDescent="0.3">
      <c r="A35" s="19"/>
      <c r="B35" s="18"/>
      <c r="C35" s="64"/>
      <c r="D35" s="65"/>
      <c r="E35" s="65"/>
      <c r="F35" s="65"/>
      <c r="G35" s="65"/>
      <c r="H35" s="66"/>
      <c r="I35" s="63"/>
      <c r="J35" s="115"/>
      <c r="K35" s="117"/>
      <c r="L35" s="63"/>
      <c r="M35" s="115"/>
      <c r="N35" s="117"/>
      <c r="O35" s="67"/>
      <c r="P35" s="67"/>
      <c r="Q35" s="67"/>
      <c r="S35" s="20"/>
      <c r="T35" s="20"/>
      <c r="U35" s="20"/>
      <c r="V35" s="20"/>
      <c r="AL35" s="20"/>
      <c r="AM35" s="19"/>
    </row>
    <row r="36" spans="1:51" ht="11.5" customHeight="1" thickBot="1" x14ac:dyDescent="0.4">
      <c r="A36" s="112"/>
      <c r="B36" s="112"/>
      <c r="C36" s="112"/>
      <c r="D36" s="112"/>
      <c r="E36" s="112"/>
      <c r="F36" s="112"/>
      <c r="G36" s="113"/>
      <c r="H36" s="113"/>
      <c r="I36" s="113"/>
      <c r="J36" s="113"/>
      <c r="K36" s="113"/>
      <c r="L36" s="113"/>
      <c r="M36" s="113"/>
      <c r="N36" s="113"/>
      <c r="O36" s="113"/>
      <c r="P36" s="113"/>
      <c r="Q36" s="113"/>
      <c r="R36" s="113"/>
      <c r="S36" s="113"/>
      <c r="T36" s="113"/>
      <c r="U36" s="113"/>
      <c r="V36" s="113"/>
      <c r="W36" s="113"/>
      <c r="X36" s="113"/>
      <c r="Y36" s="113"/>
      <c r="Z36" s="113"/>
      <c r="AA36" s="113"/>
      <c r="AB36" s="113"/>
      <c r="AC36" s="113"/>
      <c r="AD36" s="113"/>
      <c r="AE36" s="113"/>
      <c r="AF36" s="113"/>
      <c r="AG36" s="113"/>
      <c r="AH36" s="113"/>
      <c r="AI36" s="113"/>
      <c r="AJ36" s="113"/>
      <c r="AK36" s="106"/>
      <c r="AL36" s="106"/>
      <c r="AM36" s="106"/>
    </row>
    <row r="37" spans="1:51" ht="11.5" customHeight="1" x14ac:dyDescent="0.35">
      <c r="A37" s="108" t="s">
        <v>137</v>
      </c>
      <c r="B37" s="15"/>
      <c r="C37" s="15"/>
      <c r="D37" s="15"/>
      <c r="E37" s="15"/>
      <c r="F37" s="15"/>
      <c r="G37" s="14"/>
      <c r="H37" s="14"/>
      <c r="I37" s="14"/>
      <c r="J37" s="14"/>
      <c r="K37" s="14"/>
      <c r="L37" s="14"/>
      <c r="M37" s="14"/>
      <c r="N37" s="14"/>
      <c r="O37" s="14"/>
      <c r="P37" s="14"/>
      <c r="Q37" s="14"/>
      <c r="R37" s="14"/>
      <c r="S37" s="14"/>
      <c r="T37" s="14"/>
      <c r="U37" s="14"/>
      <c r="V37" s="14"/>
      <c r="W37" s="14"/>
      <c r="X37" s="14"/>
      <c r="Y37" s="14"/>
      <c r="Z37" s="14"/>
      <c r="AA37" s="14"/>
      <c r="AB37" s="14"/>
      <c r="AC37" s="14"/>
      <c r="AD37" s="14"/>
      <c r="AE37" s="14"/>
      <c r="AF37" s="14"/>
      <c r="AG37" s="14"/>
      <c r="AH37" s="14"/>
      <c r="AI37" s="14"/>
      <c r="AJ37" s="18"/>
      <c r="AK37" s="18"/>
      <c r="AL37" s="18"/>
      <c r="AM37" s="18"/>
    </row>
    <row r="38" spans="1:51" ht="11.5" customHeight="1" x14ac:dyDescent="0.3">
      <c r="A38" s="19"/>
      <c r="B38" s="18"/>
      <c r="C38" s="18"/>
      <c r="D38" s="89"/>
      <c r="E38" s="89"/>
      <c r="F38" s="89"/>
      <c r="G38" s="89"/>
      <c r="H38" s="89"/>
      <c r="I38" s="89"/>
      <c r="J38" s="94"/>
      <c r="K38" s="118"/>
      <c r="L38" s="118"/>
      <c r="M38" s="94"/>
      <c r="N38" s="118"/>
      <c r="O38" s="118"/>
      <c r="P38" s="91"/>
      <c r="Q38" s="91"/>
      <c r="R38" s="91"/>
      <c r="S38" s="20"/>
      <c r="T38" s="20"/>
      <c r="U38" s="20"/>
      <c r="V38" s="20"/>
      <c r="W38" s="20"/>
      <c r="X38" s="20"/>
      <c r="Y38" s="20"/>
      <c r="Z38" s="20"/>
      <c r="AA38" s="20"/>
      <c r="AB38" s="20"/>
      <c r="AC38" s="20"/>
      <c r="AD38" s="20"/>
      <c r="AE38" s="20"/>
      <c r="AF38" s="20"/>
      <c r="AG38" s="20"/>
      <c r="AH38" s="20"/>
      <c r="AI38" s="20"/>
      <c r="AJ38" s="20"/>
      <c r="AK38" s="20"/>
      <c r="AL38" s="20"/>
      <c r="AM38" s="19"/>
    </row>
    <row r="39" spans="1:51" ht="11.5" customHeight="1" x14ac:dyDescent="0.3">
      <c r="A39" s="19"/>
      <c r="B39" s="18"/>
      <c r="C39" s="70" t="s">
        <v>135</v>
      </c>
      <c r="D39" s="70"/>
      <c r="E39" s="70"/>
      <c r="F39" s="70"/>
      <c r="G39" s="70"/>
      <c r="H39" s="70"/>
      <c r="I39" s="70"/>
      <c r="J39" s="70"/>
      <c r="K39" s="70"/>
      <c r="L39" s="70"/>
      <c r="M39" s="70"/>
      <c r="N39" s="70"/>
      <c r="O39" s="70"/>
      <c r="P39" s="70"/>
      <c r="Q39" s="70"/>
      <c r="R39" s="70"/>
      <c r="S39" s="70"/>
      <c r="T39" s="70"/>
      <c r="U39" s="70"/>
      <c r="V39" s="70"/>
      <c r="W39" s="70"/>
      <c r="X39" s="70"/>
      <c r="Y39" s="70"/>
      <c r="Z39" s="70"/>
      <c r="AA39" s="70"/>
      <c r="AB39" s="70"/>
      <c r="AC39" s="70"/>
      <c r="AD39" s="70"/>
      <c r="AE39" s="70"/>
      <c r="AF39" s="70"/>
      <c r="AG39" s="70"/>
      <c r="AH39" s="70"/>
      <c r="AI39" s="70"/>
      <c r="AJ39" s="70"/>
      <c r="AK39" s="70"/>
      <c r="AL39" s="20"/>
      <c r="AM39" s="19"/>
    </row>
    <row r="40" spans="1:51" ht="11.5" customHeight="1" x14ac:dyDescent="0.3">
      <c r="A40" s="19"/>
      <c r="B40" s="18"/>
      <c r="C40" s="30" t="s">
        <v>134</v>
      </c>
      <c r="D40" s="30"/>
      <c r="E40" s="30"/>
      <c r="F40" s="30"/>
      <c r="G40" s="30"/>
      <c r="H40" s="30" t="s">
        <v>133</v>
      </c>
      <c r="I40" s="30"/>
      <c r="J40" s="30"/>
      <c r="K40" s="30"/>
      <c r="L40" s="30"/>
      <c r="M40" s="30" t="s">
        <v>108</v>
      </c>
      <c r="N40" s="30"/>
      <c r="O40" s="30"/>
      <c r="P40" s="30"/>
      <c r="Q40" s="30"/>
      <c r="R40" s="30" t="s">
        <v>132</v>
      </c>
      <c r="S40" s="30"/>
      <c r="T40" s="30"/>
      <c r="U40" s="30"/>
      <c r="V40" s="30"/>
      <c r="W40" s="71" t="s">
        <v>109</v>
      </c>
      <c r="X40" s="72"/>
      <c r="Y40" s="73"/>
      <c r="Z40" s="37" t="s">
        <v>139</v>
      </c>
      <c r="AA40" s="37"/>
      <c r="AB40" s="37"/>
      <c r="AC40" s="37" t="s">
        <v>144</v>
      </c>
      <c r="AD40" s="37"/>
      <c r="AE40" s="37"/>
      <c r="AF40" s="37"/>
      <c r="AG40" s="37"/>
      <c r="AH40" s="37"/>
      <c r="AI40" s="30" t="s">
        <v>50</v>
      </c>
      <c r="AJ40" s="30"/>
      <c r="AK40" s="30"/>
      <c r="AL40" s="20"/>
      <c r="AM40" s="19"/>
    </row>
    <row r="41" spans="1:51" ht="11.5" customHeight="1" x14ac:dyDescent="0.3">
      <c r="A41" s="19"/>
      <c r="B41" s="18"/>
      <c r="C41" s="67">
        <v>240</v>
      </c>
      <c r="D41" s="67"/>
      <c r="E41" s="67"/>
      <c r="F41" s="67"/>
      <c r="G41" s="67"/>
      <c r="H41" s="67">
        <v>120</v>
      </c>
      <c r="I41" s="67"/>
      <c r="J41" s="67"/>
      <c r="K41" s="67"/>
      <c r="L41" s="67"/>
      <c r="M41" s="93">
        <f>IF(C41&amp;H41="","",(C41/H41))</f>
        <v>2</v>
      </c>
      <c r="N41" s="93"/>
      <c r="O41" s="93"/>
      <c r="P41" s="93"/>
      <c r="Q41" s="93"/>
      <c r="R41" s="67">
        <v>1.996</v>
      </c>
      <c r="S41" s="67"/>
      <c r="T41" s="67"/>
      <c r="U41" s="67"/>
      <c r="V41" s="67"/>
      <c r="W41" s="69">
        <f>IF(R41="","",((M41-R41)/M41)*100)</f>
        <v>0.20000000000000018</v>
      </c>
      <c r="X41" s="69"/>
      <c r="Y41" s="69"/>
      <c r="Z41" s="37" t="s">
        <v>150</v>
      </c>
      <c r="AA41" s="37"/>
      <c r="AB41" s="37"/>
      <c r="AC41" s="37"/>
      <c r="AD41" s="37"/>
      <c r="AE41" s="37"/>
      <c r="AF41" s="37"/>
      <c r="AG41" s="37"/>
      <c r="AH41" s="37"/>
      <c r="AI41" s="67" t="str">
        <f>IF(W41="", "", IF(AND(W41&lt;1.2, W41&gt;-1.2), "Pass", "Fail"))</f>
        <v>Pass</v>
      </c>
      <c r="AJ41" s="67"/>
      <c r="AK41" s="67"/>
      <c r="AL41" s="20"/>
      <c r="AM41" s="19"/>
    </row>
    <row r="42" spans="1:51" ht="11.5" customHeight="1" thickBot="1" x14ac:dyDescent="0.4">
      <c r="A42" s="112"/>
      <c r="B42" s="112"/>
      <c r="C42" s="112"/>
      <c r="D42" s="112"/>
      <c r="E42" s="112"/>
      <c r="F42" s="112"/>
      <c r="G42" s="113"/>
      <c r="H42" s="113"/>
      <c r="I42" s="113"/>
      <c r="J42" s="113"/>
      <c r="K42" s="113"/>
      <c r="L42" s="113"/>
      <c r="M42" s="113"/>
      <c r="N42" s="113"/>
      <c r="O42" s="113"/>
      <c r="P42" s="113"/>
      <c r="Q42" s="113"/>
      <c r="R42" s="113"/>
      <c r="S42" s="113"/>
      <c r="T42" s="113"/>
      <c r="U42" s="113"/>
      <c r="V42" s="113"/>
      <c r="W42" s="113"/>
      <c r="X42" s="113"/>
      <c r="Y42" s="113"/>
      <c r="Z42" s="113"/>
      <c r="AA42" s="113"/>
      <c r="AB42" s="113"/>
      <c r="AC42" s="113"/>
      <c r="AD42" s="113"/>
      <c r="AE42" s="113"/>
      <c r="AF42" s="113"/>
      <c r="AG42" s="113"/>
      <c r="AH42" s="113"/>
      <c r="AI42" s="113"/>
      <c r="AJ42" s="113"/>
      <c r="AK42" s="106"/>
      <c r="AL42" s="106"/>
      <c r="AM42" s="106"/>
    </row>
    <row r="43" spans="1:51" ht="11.5" customHeight="1" x14ac:dyDescent="0.35">
      <c r="A43" s="108" t="s">
        <v>138</v>
      </c>
      <c r="B43" s="15"/>
      <c r="C43" s="15"/>
      <c r="D43" s="15"/>
      <c r="E43" s="15"/>
      <c r="F43" s="15"/>
      <c r="G43" s="14"/>
      <c r="H43" s="14"/>
      <c r="I43" s="14"/>
      <c r="J43" s="14"/>
      <c r="K43" s="14"/>
      <c r="L43" s="14"/>
      <c r="M43" s="14"/>
      <c r="N43" s="14"/>
      <c r="O43" s="14"/>
      <c r="P43" s="14"/>
      <c r="Q43" s="14"/>
      <c r="R43" s="14"/>
      <c r="S43" s="14"/>
      <c r="T43" s="14"/>
      <c r="U43" s="14"/>
      <c r="V43" s="14"/>
      <c r="W43" s="14"/>
      <c r="X43" s="14"/>
      <c r="Y43" s="14"/>
      <c r="Z43" s="14"/>
      <c r="AA43" s="14"/>
      <c r="AB43" s="14"/>
      <c r="AC43" s="14"/>
      <c r="AD43" s="14"/>
      <c r="AE43" s="14"/>
      <c r="AF43" s="14"/>
      <c r="AG43" s="14"/>
      <c r="AH43" s="14"/>
      <c r="AI43" s="14"/>
      <c r="AJ43" s="18"/>
      <c r="AK43" s="18"/>
      <c r="AL43" s="18"/>
      <c r="AM43" s="18"/>
    </row>
    <row r="44" spans="1:51" ht="11.5" customHeight="1" x14ac:dyDescent="0.3">
      <c r="A44" s="19"/>
      <c r="B44" s="18"/>
      <c r="C44" s="18"/>
      <c r="D44" s="18"/>
      <c r="E44" s="18"/>
      <c r="F44" s="18"/>
      <c r="G44" s="18"/>
      <c r="H44" s="18"/>
      <c r="I44" s="21"/>
      <c r="J44" s="21"/>
      <c r="K44" s="21"/>
      <c r="L44" s="21"/>
      <c r="M44" s="21"/>
      <c r="N44" s="21"/>
      <c r="O44" s="102"/>
      <c r="P44" s="102"/>
      <c r="Q44" s="102"/>
      <c r="R44" s="102"/>
      <c r="S44" s="102"/>
      <c r="T44" s="21"/>
      <c r="U44" s="21"/>
      <c r="V44" s="21"/>
      <c r="W44" s="21"/>
      <c r="X44" s="21"/>
      <c r="Y44" s="21"/>
      <c r="Z44" s="21"/>
      <c r="AA44" s="21"/>
      <c r="AB44" s="21"/>
      <c r="AC44" s="21"/>
      <c r="AD44" s="22"/>
      <c r="AE44" s="22"/>
      <c r="AF44" s="22"/>
      <c r="AG44" s="22"/>
      <c r="AH44" s="20"/>
      <c r="AI44" s="20"/>
      <c r="AJ44" s="20"/>
      <c r="AK44" s="20"/>
      <c r="AL44" s="129"/>
      <c r="AM44" s="19"/>
    </row>
    <row r="45" spans="1:51" ht="11.5" customHeight="1" x14ac:dyDescent="0.35">
      <c r="A45" s="119"/>
      <c r="B45" s="95"/>
      <c r="C45" s="120" t="s">
        <v>142</v>
      </c>
      <c r="D45" s="121"/>
      <c r="E45" s="121"/>
      <c r="F45" s="121"/>
      <c r="G45" s="121"/>
      <c r="H45" s="121"/>
      <c r="I45" s="121"/>
      <c r="J45" s="121"/>
      <c r="K45" s="121"/>
      <c r="L45" s="121"/>
      <c r="M45" s="121"/>
      <c r="N45" s="121"/>
      <c r="O45" s="37" t="s">
        <v>145</v>
      </c>
      <c r="P45" s="37"/>
      <c r="Q45" s="37"/>
      <c r="R45" s="37"/>
      <c r="S45" s="37"/>
      <c r="T45" s="125">
        <v>1000</v>
      </c>
      <c r="U45" s="126"/>
      <c r="V45" s="101" t="s">
        <v>110</v>
      </c>
      <c r="W45" s="122"/>
      <c r="X45" s="29" t="s">
        <v>146</v>
      </c>
      <c r="Y45" s="29"/>
      <c r="Z45" s="29"/>
      <c r="AA45" s="29"/>
      <c r="AB45" s="29"/>
      <c r="AC45" s="18"/>
      <c r="AD45" s="29" t="s">
        <v>50</v>
      </c>
      <c r="AE45" s="29"/>
      <c r="AF45" s="29"/>
      <c r="AG45" s="95"/>
      <c r="AH45" s="95"/>
      <c r="AI45" s="95"/>
      <c r="AJ45" s="95"/>
      <c r="AK45" s="95"/>
      <c r="AL45" s="95"/>
      <c r="AM45" s="19"/>
    </row>
    <row r="46" spans="1:51" ht="11.5" customHeight="1" x14ac:dyDescent="0.35">
      <c r="A46" s="119"/>
      <c r="B46" s="95"/>
      <c r="C46" s="31" t="s">
        <v>140</v>
      </c>
      <c r="D46" s="32"/>
      <c r="E46" s="32"/>
      <c r="F46" s="32"/>
      <c r="G46" s="32"/>
      <c r="H46" s="32"/>
      <c r="I46" s="33"/>
      <c r="J46" s="34" t="s">
        <v>141</v>
      </c>
      <c r="K46" s="35"/>
      <c r="L46" s="35"/>
      <c r="M46" s="35"/>
      <c r="N46" s="35"/>
      <c r="O46" s="34" t="s">
        <v>143</v>
      </c>
      <c r="P46" s="35"/>
      <c r="Q46" s="35"/>
      <c r="R46" s="35"/>
      <c r="S46" s="35"/>
      <c r="T46" s="70" t="s">
        <v>94</v>
      </c>
      <c r="U46" s="70"/>
      <c r="V46" s="70"/>
      <c r="W46" s="95"/>
      <c r="X46" s="96" t="s">
        <v>147</v>
      </c>
      <c r="Y46" s="96"/>
      <c r="Z46" s="96"/>
      <c r="AA46" s="127" t="s">
        <v>94</v>
      </c>
      <c r="AB46" s="127"/>
      <c r="AC46" s="14"/>
      <c r="AD46" s="29"/>
      <c r="AE46" s="29"/>
      <c r="AF46" s="29"/>
      <c r="AI46" s="95"/>
      <c r="AJ46" s="95"/>
      <c r="AK46" s="95"/>
      <c r="AL46" s="95"/>
      <c r="AM46" s="19"/>
    </row>
    <row r="47" spans="1:51" ht="11.5" customHeight="1" x14ac:dyDescent="0.35">
      <c r="A47" s="119"/>
      <c r="B47" s="95"/>
      <c r="C47" s="70" t="s">
        <v>105</v>
      </c>
      <c r="D47" s="70"/>
      <c r="E47" s="70"/>
      <c r="F47" s="70"/>
      <c r="G47" s="70"/>
      <c r="H47" s="70"/>
      <c r="I47" s="97"/>
      <c r="J47" s="125" t="s">
        <v>149</v>
      </c>
      <c r="K47" s="126"/>
      <c r="L47" s="99">
        <v>2200</v>
      </c>
      <c r="M47" s="99"/>
      <c r="N47" s="100"/>
      <c r="O47" s="125" t="str">
        <f>IF(J47="","",IF(ISNUMBER(J47)=FALSE,J47,J47))</f>
        <v>&gt;</v>
      </c>
      <c r="P47" s="126"/>
      <c r="Q47" s="99">
        <f>IF(L47="","",IF(ISNUMBER(L47)=FALSE,L47,L47*$V$5))</f>
        <v>2204.4</v>
      </c>
      <c r="R47" s="99"/>
      <c r="S47" s="100"/>
      <c r="T47" s="68" t="s">
        <v>23</v>
      </c>
      <c r="U47" s="68"/>
      <c r="V47" s="68"/>
      <c r="W47" s="95"/>
      <c r="X47" s="98" t="s">
        <v>148</v>
      </c>
      <c r="Y47" s="99">
        <f>IF(L47="","",
IF(AND($T$45=1000,T47="MΩ"),500,
IF(AND($T$45=1000,T47="GΩ"),0.5,
IF(AND($T$45=2500,T47="MΩ"),5000,
IF(AND($T$45=2500,T47="GΩ"),5,
IF(AND($T$45=5000,T47="MΩ"),25000,
IF(AND($T$45=5000,T47="GΩ"),25
)))))))</f>
        <v>500</v>
      </c>
      <c r="Z47" s="100"/>
      <c r="AA47" s="36" t="str">
        <f>IF(T47="","",T47)</f>
        <v>MΩ</v>
      </c>
      <c r="AB47" s="29"/>
      <c r="AC47" s="18"/>
      <c r="AD47" s="128" t="str">
        <f>IF(Q47="","N/A",IF(Q47&gt;=Y47,"PASS","FAIL"))</f>
        <v>PASS</v>
      </c>
      <c r="AE47" s="128"/>
      <c r="AF47" s="128"/>
      <c r="AI47" s="95"/>
      <c r="AJ47" s="95"/>
      <c r="AK47" s="95"/>
      <c r="AL47" s="95"/>
      <c r="AM47" s="19"/>
      <c r="AN47" s="122"/>
      <c r="AY47" s="90"/>
    </row>
    <row r="48" spans="1:51" ht="11.5" customHeight="1" x14ac:dyDescent="0.35">
      <c r="A48" s="119"/>
      <c r="B48" s="95"/>
      <c r="C48" s="70" t="s">
        <v>104</v>
      </c>
      <c r="D48" s="70"/>
      <c r="E48" s="70"/>
      <c r="F48" s="70"/>
      <c r="G48" s="70"/>
      <c r="H48" s="70"/>
      <c r="I48" s="97"/>
      <c r="J48" s="125" t="s">
        <v>149</v>
      </c>
      <c r="K48" s="126"/>
      <c r="L48" s="99">
        <v>2200</v>
      </c>
      <c r="M48" s="99"/>
      <c r="N48" s="100"/>
      <c r="O48" s="125" t="str">
        <f t="shared" ref="O48:O49" si="0">IF(J48="","",IF(ISNUMBER(J48)=FALSE,J48,J48))</f>
        <v>&gt;</v>
      </c>
      <c r="P48" s="126"/>
      <c r="Q48" s="99">
        <f>IF(L48="","",IF(ISNUMBER(L48)=FALSE,L48,L48*$V$5))</f>
        <v>2204.4</v>
      </c>
      <c r="R48" s="99"/>
      <c r="S48" s="100"/>
      <c r="T48" s="68" t="s">
        <v>23</v>
      </c>
      <c r="U48" s="68"/>
      <c r="V48" s="68"/>
      <c r="W48" s="95"/>
      <c r="X48" s="98" t="s">
        <v>148</v>
      </c>
      <c r="Y48" s="99">
        <f>IF(L48="","",
IF(AND($T$45=1000,T48="MΩ"),500,
IF(AND($T$45=1000,T48="GΩ"),0.5,
IF(AND($T$45=2500,T48="MΩ"),5000,
IF(AND($T$45=2500,T48="GΩ"),5,
IF(AND($T$45=5000,T48="MΩ"),25000,
IF(AND($T$45=5000,T48="GΩ"),25
)))))))</f>
        <v>500</v>
      </c>
      <c r="Z48" s="100"/>
      <c r="AA48" s="36" t="str">
        <f>IF(T48="","",T48)</f>
        <v>MΩ</v>
      </c>
      <c r="AB48" s="29"/>
      <c r="AC48" s="18"/>
      <c r="AD48" s="128" t="str">
        <f>IF(Q48="","N/A",IF(Q48&gt;=Y48,"PASS","FAIL"))</f>
        <v>PASS</v>
      </c>
      <c r="AE48" s="128"/>
      <c r="AF48" s="128"/>
      <c r="AI48" s="95"/>
      <c r="AJ48" s="95"/>
      <c r="AK48" s="95"/>
      <c r="AL48" s="95"/>
      <c r="AM48" s="19"/>
      <c r="AN48" s="122"/>
      <c r="AY48" s="90"/>
    </row>
    <row r="49" spans="1:51" ht="11.5" customHeight="1" x14ac:dyDescent="0.3">
      <c r="A49" s="119"/>
      <c r="B49" s="95"/>
      <c r="C49" s="70" t="s">
        <v>103</v>
      </c>
      <c r="D49" s="70"/>
      <c r="E49" s="70"/>
      <c r="F49" s="70"/>
      <c r="G49" s="70"/>
      <c r="H49" s="70"/>
      <c r="I49" s="97"/>
      <c r="J49" s="125" t="s">
        <v>149</v>
      </c>
      <c r="K49" s="126"/>
      <c r="L49" s="99">
        <v>2200</v>
      </c>
      <c r="M49" s="99"/>
      <c r="N49" s="100"/>
      <c r="O49" s="125" t="str">
        <f t="shared" si="0"/>
        <v>&gt;</v>
      </c>
      <c r="P49" s="126"/>
      <c r="Q49" s="99">
        <f>IF(L49="","",IF(ISNUMBER(L49)=FALSE,L49,L49*$V$5))</f>
        <v>2204.4</v>
      </c>
      <c r="R49" s="99"/>
      <c r="S49" s="100"/>
      <c r="T49" s="68" t="s">
        <v>23</v>
      </c>
      <c r="U49" s="68"/>
      <c r="V49" s="68"/>
      <c r="W49" s="95"/>
      <c r="X49" s="98" t="s">
        <v>148</v>
      </c>
      <c r="Y49" s="99">
        <f>IF(L49="","",
IF(AND($T$45=1000,T49="MΩ"),500,
IF(AND($T$45=1000,T49="GΩ"),0.5,
IF(AND($T$45=2500,T49="MΩ"),5000,
IF(AND($T$45=2500,T49="GΩ"),5,
IF(AND($T$45=5000,T49="MΩ"),25000,
IF(AND($T$45=5000,T49="GΩ"),25
)))))))</f>
        <v>500</v>
      </c>
      <c r="Z49" s="100"/>
      <c r="AA49" s="36" t="str">
        <f>IF(T49="","",T49)</f>
        <v>MΩ</v>
      </c>
      <c r="AB49" s="29"/>
      <c r="AC49" s="18"/>
      <c r="AD49" s="128" t="str">
        <f>IF(Q49="","N/A",IF(Q49&gt;=Y49,"PASS","FAIL"))</f>
        <v>PASS</v>
      </c>
      <c r="AE49" s="128"/>
      <c r="AF49" s="128"/>
      <c r="AI49" s="95"/>
      <c r="AJ49" s="95"/>
      <c r="AK49" s="95"/>
      <c r="AL49" s="95"/>
      <c r="AM49" s="19"/>
      <c r="AN49" s="122"/>
      <c r="AY49" s="92"/>
    </row>
    <row r="50" spans="1:51" ht="11.5" customHeight="1" thickBot="1" x14ac:dyDescent="0.4">
      <c r="A50" s="106"/>
      <c r="B50" s="106"/>
      <c r="C50" s="106"/>
      <c r="D50" s="106"/>
      <c r="E50" s="106"/>
      <c r="F50" s="106"/>
      <c r="G50" s="106"/>
      <c r="H50" s="106"/>
      <c r="I50" s="106"/>
      <c r="J50" s="106"/>
      <c r="K50" s="106"/>
      <c r="L50" s="106"/>
      <c r="M50" s="106"/>
      <c r="N50" s="106"/>
      <c r="O50" s="106"/>
      <c r="P50" s="106"/>
      <c r="Q50" s="106"/>
      <c r="R50" s="106"/>
      <c r="S50" s="106"/>
      <c r="T50" s="106"/>
      <c r="U50" s="106"/>
      <c r="V50" s="106"/>
      <c r="W50" s="106"/>
      <c r="X50" s="106"/>
      <c r="Y50" s="106"/>
      <c r="Z50" s="106"/>
      <c r="AA50" s="106"/>
      <c r="AB50" s="106"/>
      <c r="AC50" s="106"/>
      <c r="AD50" s="106"/>
      <c r="AE50" s="106"/>
      <c r="AF50" s="106"/>
      <c r="AG50" s="106"/>
      <c r="AH50" s="106"/>
      <c r="AI50" s="106"/>
      <c r="AJ50" s="106"/>
      <c r="AK50" s="106"/>
      <c r="AL50" s="106"/>
      <c r="AM50" s="106"/>
    </row>
    <row r="51" spans="1:51" ht="11.5" customHeight="1" x14ac:dyDescent="0.35">
      <c r="A51" s="108" t="s">
        <v>46</v>
      </c>
      <c r="B51" s="14"/>
      <c r="C51" s="14"/>
      <c r="D51" s="14"/>
      <c r="E51" s="14"/>
      <c r="F51" s="14"/>
      <c r="G51" s="14"/>
      <c r="H51" s="14"/>
      <c r="I51" s="14"/>
      <c r="J51" s="14"/>
      <c r="K51" s="14"/>
      <c r="L51" s="14"/>
      <c r="M51" s="14"/>
      <c r="N51" s="14"/>
      <c r="O51" s="14"/>
      <c r="P51" s="14"/>
      <c r="Q51" s="14"/>
      <c r="R51" s="14"/>
      <c r="S51" s="14"/>
      <c r="T51" s="14"/>
      <c r="U51" s="14"/>
      <c r="V51" s="14"/>
      <c r="W51" s="14"/>
      <c r="X51" s="14"/>
      <c r="Y51" s="14"/>
      <c r="Z51" s="14"/>
      <c r="AA51" s="14"/>
      <c r="AB51" s="14"/>
      <c r="AC51" s="14"/>
      <c r="AD51" s="14"/>
      <c r="AE51" s="14"/>
      <c r="AF51" s="14"/>
      <c r="AG51" s="14"/>
      <c r="AH51" s="14"/>
      <c r="AI51" s="14"/>
      <c r="AJ51" s="14"/>
      <c r="AK51" s="14"/>
      <c r="AL51" s="14"/>
      <c r="AM51" s="14"/>
    </row>
    <row r="52" spans="1:51" ht="11.5" customHeight="1" x14ac:dyDescent="0.35">
      <c r="A52" s="14"/>
      <c r="B52" s="14"/>
      <c r="C52" s="14"/>
      <c r="D52" s="14"/>
      <c r="E52" s="14"/>
      <c r="F52" s="14"/>
      <c r="G52" s="14"/>
      <c r="H52" s="14"/>
      <c r="I52" s="14"/>
      <c r="J52" s="14"/>
      <c r="K52" s="14"/>
      <c r="L52" s="14"/>
      <c r="M52" s="14"/>
      <c r="N52" s="14"/>
      <c r="O52" s="14"/>
      <c r="P52" s="14"/>
      <c r="Q52" s="14"/>
      <c r="R52" s="14"/>
      <c r="S52" s="14"/>
      <c r="T52" s="14"/>
      <c r="U52" s="14"/>
      <c r="V52" s="14"/>
      <c r="W52" s="14"/>
      <c r="X52" s="14"/>
      <c r="Y52" s="14"/>
      <c r="Z52" s="14"/>
      <c r="AA52" s="14"/>
      <c r="AB52" s="14"/>
      <c r="AC52" s="14"/>
      <c r="AD52" s="14"/>
      <c r="AE52" s="14"/>
      <c r="AF52" s="14"/>
      <c r="AG52" s="14"/>
      <c r="AH52" s="14"/>
      <c r="AI52" s="14"/>
      <c r="AJ52" s="14"/>
      <c r="AK52" s="14"/>
      <c r="AL52" s="14"/>
      <c r="AM52" s="14"/>
    </row>
    <row r="53" spans="1:51" ht="11.5" customHeight="1" x14ac:dyDescent="0.3">
      <c r="A53" s="14"/>
      <c r="B53" s="42" t="s">
        <v>48</v>
      </c>
      <c r="C53" s="42"/>
      <c r="D53" s="42"/>
      <c r="E53" s="42"/>
      <c r="F53" s="42"/>
      <c r="G53" s="42"/>
      <c r="H53" s="42"/>
      <c r="I53" s="42"/>
      <c r="J53" s="74"/>
      <c r="K53" s="123"/>
      <c r="L53" s="123"/>
      <c r="M53" s="123"/>
      <c r="N53" s="123"/>
      <c r="O53" s="123"/>
      <c r="P53" s="123"/>
      <c r="Q53" s="42" t="s">
        <v>49</v>
      </c>
      <c r="R53" s="42"/>
      <c r="S53" s="42"/>
      <c r="T53" s="42"/>
      <c r="U53" s="42"/>
      <c r="V53" s="74"/>
      <c r="W53" s="123"/>
      <c r="X53" s="123"/>
      <c r="Y53" s="123"/>
      <c r="Z53" s="123"/>
      <c r="AA53" s="123"/>
      <c r="AB53" s="14"/>
      <c r="AC53" s="42" t="s">
        <v>47</v>
      </c>
      <c r="AD53" s="42"/>
      <c r="AE53" s="42"/>
      <c r="AF53" s="74"/>
      <c r="AG53" s="123"/>
      <c r="AH53" s="123"/>
      <c r="AI53" s="123"/>
      <c r="AJ53" s="14"/>
      <c r="AK53" s="14"/>
      <c r="AL53" s="14"/>
      <c r="AM53" s="14"/>
    </row>
    <row r="54" spans="1:51" ht="11.5" customHeight="1" x14ac:dyDescent="0.35">
      <c r="A54" s="14"/>
      <c r="B54" s="14"/>
      <c r="C54" s="14"/>
      <c r="D54" s="14"/>
      <c r="E54" s="14"/>
      <c r="F54" s="14"/>
      <c r="G54" s="14"/>
      <c r="H54" s="14"/>
      <c r="I54" s="14"/>
      <c r="J54" s="14"/>
      <c r="K54" s="14"/>
      <c r="L54" s="14"/>
      <c r="M54" s="14"/>
      <c r="N54" s="14"/>
      <c r="O54" s="14"/>
      <c r="P54" s="14"/>
      <c r="Q54" s="14"/>
      <c r="R54" s="14"/>
      <c r="S54" s="14"/>
      <c r="T54" s="14"/>
      <c r="U54" s="14"/>
      <c r="V54" s="14"/>
      <c r="W54" s="14"/>
      <c r="X54" s="14"/>
      <c r="Y54" s="14"/>
      <c r="Z54" s="14"/>
      <c r="AA54" s="14"/>
      <c r="AB54" s="14"/>
      <c r="AC54" s="14"/>
      <c r="AD54" s="14"/>
      <c r="AE54" s="14"/>
      <c r="AF54" s="14"/>
      <c r="AG54" s="14"/>
      <c r="AH54" s="14"/>
      <c r="AI54" s="14"/>
      <c r="AJ54" s="14"/>
      <c r="AK54" s="14"/>
      <c r="AL54" s="14"/>
      <c r="AM54" s="14"/>
    </row>
    <row r="55" spans="1:51" ht="11.5" customHeight="1" x14ac:dyDescent="0.35">
      <c r="A55" s="14"/>
      <c r="B55" s="42" t="s">
        <v>107</v>
      </c>
      <c r="C55" s="42"/>
      <c r="D55" s="42"/>
      <c r="E55" s="42"/>
      <c r="F55" s="42"/>
      <c r="G55" s="42"/>
      <c r="H55" s="42"/>
      <c r="I55" s="42"/>
      <c r="J55" s="41"/>
      <c r="K55" s="41"/>
      <c r="L55" s="41"/>
      <c r="M55" s="41"/>
      <c r="N55" s="41"/>
      <c r="O55" s="41"/>
      <c r="P55" s="41"/>
      <c r="Q55" s="42" t="s">
        <v>49</v>
      </c>
      <c r="R55" s="42"/>
      <c r="S55" s="42"/>
      <c r="T55" s="42"/>
      <c r="U55" s="42"/>
      <c r="V55" s="41"/>
      <c r="W55" s="41"/>
      <c r="X55" s="41"/>
      <c r="Y55" s="41"/>
      <c r="Z55" s="41"/>
      <c r="AA55" s="41"/>
      <c r="AB55" s="14"/>
      <c r="AC55" s="42" t="s">
        <v>47</v>
      </c>
      <c r="AD55" s="42"/>
      <c r="AE55" s="42"/>
      <c r="AF55" s="41"/>
      <c r="AG55" s="41"/>
      <c r="AH55" s="41"/>
      <c r="AI55" s="41"/>
      <c r="AJ55" s="14"/>
      <c r="AK55" s="14"/>
      <c r="AL55" s="14"/>
      <c r="AM55" s="14"/>
    </row>
    <row r="56" spans="1:51" ht="11.5" customHeight="1" x14ac:dyDescent="0.35">
      <c r="A56" s="14"/>
      <c r="B56" s="23"/>
      <c r="C56" s="23"/>
      <c r="D56" s="23"/>
      <c r="E56" s="23"/>
      <c r="F56" s="23"/>
      <c r="G56" s="23"/>
      <c r="H56" s="23"/>
      <c r="I56" s="23"/>
      <c r="J56" s="24"/>
      <c r="K56" s="24"/>
      <c r="L56" s="24"/>
      <c r="M56" s="24"/>
      <c r="N56" s="24"/>
      <c r="O56" s="24"/>
      <c r="P56" s="24"/>
      <c r="Q56" s="23"/>
      <c r="R56" s="23"/>
      <c r="S56" s="23"/>
      <c r="T56" s="23"/>
      <c r="U56" s="23"/>
      <c r="V56" s="24"/>
      <c r="W56" s="24"/>
      <c r="X56" s="24"/>
      <c r="Y56" s="24"/>
      <c r="Z56" s="24"/>
      <c r="AA56" s="24"/>
      <c r="AB56" s="14"/>
      <c r="AC56" s="23"/>
      <c r="AD56" s="23"/>
      <c r="AE56" s="23"/>
      <c r="AF56" s="24"/>
      <c r="AG56" s="24"/>
      <c r="AH56" s="24"/>
      <c r="AI56" s="24"/>
      <c r="AJ56" s="14"/>
      <c r="AK56" s="14"/>
      <c r="AL56" s="14"/>
      <c r="AM56" s="14"/>
    </row>
    <row r="57" spans="1:51" ht="11.5" customHeight="1" x14ac:dyDescent="0.35">
      <c r="A57" s="14"/>
      <c r="B57" s="42" t="s">
        <v>106</v>
      </c>
      <c r="C57" s="42"/>
      <c r="D57" s="42"/>
      <c r="E57" s="42"/>
      <c r="F57" s="42"/>
      <c r="G57" s="42"/>
      <c r="H57" s="42"/>
      <c r="I57" s="42"/>
      <c r="J57" s="41"/>
      <c r="K57" s="41"/>
      <c r="L57" s="41"/>
      <c r="M57" s="41"/>
      <c r="N57" s="41"/>
      <c r="O57" s="41"/>
      <c r="P57" s="41"/>
      <c r="Q57" s="42" t="s">
        <v>49</v>
      </c>
      <c r="R57" s="42"/>
      <c r="S57" s="42"/>
      <c r="T57" s="42"/>
      <c r="U57" s="42"/>
      <c r="V57" s="41"/>
      <c r="W57" s="41"/>
      <c r="X57" s="41"/>
      <c r="Y57" s="41"/>
      <c r="Z57" s="41"/>
      <c r="AA57" s="41"/>
      <c r="AB57" s="14"/>
      <c r="AC57" s="42" t="s">
        <v>47</v>
      </c>
      <c r="AD57" s="42"/>
      <c r="AE57" s="42"/>
      <c r="AF57" s="41"/>
      <c r="AG57" s="41"/>
      <c r="AH57" s="41"/>
      <c r="AI57" s="41"/>
      <c r="AJ57" s="14"/>
      <c r="AK57" s="14"/>
      <c r="AL57" s="14"/>
      <c r="AM57" s="14"/>
    </row>
    <row r="58" spans="1:51" ht="11.5" customHeight="1" thickBot="1" x14ac:dyDescent="0.4">
      <c r="A58" s="106"/>
      <c r="B58" s="106"/>
      <c r="C58" s="106"/>
      <c r="D58" s="106"/>
      <c r="E58" s="106"/>
      <c r="F58" s="106"/>
      <c r="G58" s="106"/>
      <c r="H58" s="106"/>
      <c r="I58" s="106"/>
      <c r="J58" s="106"/>
      <c r="K58" s="106"/>
      <c r="L58" s="106"/>
      <c r="M58" s="106"/>
      <c r="N58" s="106"/>
      <c r="O58" s="106"/>
      <c r="P58" s="106"/>
      <c r="Q58" s="106"/>
      <c r="R58" s="106"/>
      <c r="S58" s="106"/>
      <c r="T58" s="106"/>
      <c r="U58" s="106"/>
      <c r="V58" s="106"/>
      <c r="W58" s="106"/>
      <c r="X58" s="106"/>
      <c r="Y58" s="106"/>
      <c r="Z58" s="106"/>
      <c r="AA58" s="106"/>
      <c r="AB58" s="106"/>
      <c r="AC58" s="106"/>
      <c r="AD58" s="106"/>
      <c r="AE58" s="106"/>
      <c r="AF58" s="106"/>
      <c r="AG58" s="106"/>
      <c r="AH58" s="106"/>
      <c r="AI58" s="106"/>
      <c r="AJ58" s="106"/>
      <c r="AK58" s="106"/>
      <c r="AL58" s="106"/>
      <c r="AM58" s="106"/>
    </row>
    <row r="59" spans="1:51" ht="11.5" customHeight="1" x14ac:dyDescent="0.35">
      <c r="A59" s="108" t="s">
        <v>11</v>
      </c>
      <c r="B59" s="18"/>
      <c r="C59" s="14"/>
      <c r="D59" s="14"/>
      <c r="E59" s="124"/>
      <c r="F59" s="124"/>
      <c r="G59" s="124"/>
      <c r="H59" s="124"/>
      <c r="I59" s="124"/>
      <c r="J59" s="124"/>
      <c r="K59" s="124"/>
      <c r="L59" s="124"/>
      <c r="M59" s="124"/>
      <c r="N59" s="124"/>
      <c r="O59" s="124"/>
      <c r="P59" s="124"/>
      <c r="Q59" s="124"/>
      <c r="R59" s="124"/>
      <c r="S59" s="124"/>
      <c r="T59" s="124"/>
      <c r="U59" s="124"/>
      <c r="V59" s="124"/>
      <c r="W59" s="124"/>
      <c r="X59" s="124"/>
      <c r="Y59" s="124"/>
      <c r="Z59" s="124"/>
      <c r="AA59" s="124"/>
      <c r="AB59" s="124"/>
      <c r="AC59" s="124"/>
      <c r="AD59" s="124"/>
      <c r="AE59" s="124"/>
      <c r="AF59" s="124"/>
      <c r="AG59" s="124"/>
      <c r="AH59" s="124"/>
      <c r="AI59" s="124"/>
      <c r="AJ59" s="124"/>
      <c r="AK59" s="124"/>
      <c r="AL59" s="124"/>
      <c r="AM59" s="14"/>
    </row>
    <row r="60" spans="1:51" ht="11.5" customHeight="1" x14ac:dyDescent="0.35">
      <c r="A60" s="108"/>
      <c r="B60" s="110"/>
      <c r="C60" s="110"/>
      <c r="D60" s="110"/>
      <c r="E60" s="110"/>
      <c r="F60" s="110"/>
      <c r="G60" s="110"/>
      <c r="H60" s="110"/>
      <c r="I60" s="110"/>
      <c r="J60" s="110"/>
      <c r="K60" s="110"/>
      <c r="L60" s="110"/>
      <c r="M60" s="110"/>
      <c r="N60" s="110"/>
      <c r="O60" s="110"/>
      <c r="P60" s="110"/>
      <c r="Q60" s="110"/>
      <c r="R60" s="110"/>
      <c r="S60" s="110"/>
      <c r="T60" s="110"/>
      <c r="U60" s="110"/>
      <c r="V60" s="110"/>
      <c r="W60" s="110"/>
      <c r="X60" s="110"/>
      <c r="Y60" s="110"/>
      <c r="Z60" s="110"/>
      <c r="AA60" s="110"/>
      <c r="AB60" s="110"/>
      <c r="AC60" s="110"/>
      <c r="AD60" s="110"/>
      <c r="AE60" s="110"/>
      <c r="AF60" s="110"/>
      <c r="AG60" s="110"/>
      <c r="AH60" s="110"/>
      <c r="AI60" s="110"/>
      <c r="AJ60" s="110"/>
      <c r="AK60" s="110"/>
      <c r="AL60" s="110"/>
      <c r="AM60" s="14"/>
    </row>
    <row r="61" spans="1:51" ht="11.5" customHeight="1" x14ac:dyDescent="0.35">
      <c r="A61" s="108"/>
      <c r="B61" s="110"/>
      <c r="C61" s="110"/>
      <c r="D61" s="110"/>
      <c r="E61" s="110"/>
      <c r="F61" s="110"/>
      <c r="G61" s="110"/>
      <c r="H61" s="110"/>
      <c r="I61" s="110"/>
      <c r="J61" s="110"/>
      <c r="K61" s="110"/>
      <c r="L61" s="110"/>
      <c r="M61" s="110"/>
      <c r="N61" s="110"/>
      <c r="O61" s="110"/>
      <c r="P61" s="110"/>
      <c r="Q61" s="110"/>
      <c r="R61" s="110"/>
      <c r="S61" s="110"/>
      <c r="T61" s="110"/>
      <c r="U61" s="110"/>
      <c r="V61" s="110"/>
      <c r="W61" s="110"/>
      <c r="X61" s="110"/>
      <c r="Y61" s="110"/>
      <c r="Z61" s="110"/>
      <c r="AA61" s="110"/>
      <c r="AB61" s="110"/>
      <c r="AC61" s="110"/>
      <c r="AD61" s="110"/>
      <c r="AE61" s="110"/>
      <c r="AF61" s="110"/>
      <c r="AG61" s="110"/>
      <c r="AH61" s="110"/>
      <c r="AI61" s="110"/>
      <c r="AJ61" s="110"/>
      <c r="AK61" s="110"/>
      <c r="AL61" s="110"/>
      <c r="AM61" s="14"/>
    </row>
    <row r="62" spans="1:51" ht="11.5" customHeight="1" x14ac:dyDescent="0.35">
      <c r="A62" s="108"/>
      <c r="B62" s="110"/>
      <c r="C62" s="110"/>
      <c r="D62" s="110"/>
      <c r="E62" s="110"/>
      <c r="F62" s="110"/>
      <c r="G62" s="110"/>
      <c r="H62" s="110"/>
      <c r="I62" s="110"/>
      <c r="J62" s="110"/>
      <c r="K62" s="110"/>
      <c r="L62" s="110"/>
      <c r="M62" s="110"/>
      <c r="N62" s="110"/>
      <c r="O62" s="110"/>
      <c r="P62" s="110"/>
      <c r="Q62" s="110"/>
      <c r="R62" s="110"/>
      <c r="S62" s="110"/>
      <c r="T62" s="110"/>
      <c r="U62" s="110"/>
      <c r="V62" s="110"/>
      <c r="W62" s="110"/>
      <c r="X62" s="110"/>
      <c r="Y62" s="110"/>
      <c r="Z62" s="110"/>
      <c r="AA62" s="110"/>
      <c r="AB62" s="110"/>
      <c r="AC62" s="110"/>
      <c r="AD62" s="110"/>
      <c r="AE62" s="110"/>
      <c r="AF62" s="110"/>
      <c r="AG62" s="110"/>
      <c r="AH62" s="110"/>
      <c r="AI62" s="110"/>
      <c r="AJ62" s="110"/>
      <c r="AK62" s="110"/>
      <c r="AL62" s="110"/>
      <c r="AM62" s="14"/>
    </row>
    <row r="63" spans="1:51" ht="11.5" customHeight="1" thickBot="1" x14ac:dyDescent="0.4">
      <c r="A63" s="106"/>
      <c r="B63" s="106"/>
      <c r="C63" s="106"/>
      <c r="D63" s="106"/>
      <c r="E63" s="106"/>
      <c r="F63" s="106"/>
      <c r="G63" s="106"/>
      <c r="H63" s="106"/>
      <c r="I63" s="106"/>
      <c r="J63" s="106"/>
      <c r="K63" s="106"/>
      <c r="L63" s="106"/>
      <c r="M63" s="106"/>
      <c r="N63" s="106"/>
      <c r="O63" s="106"/>
      <c r="P63" s="106"/>
      <c r="Q63" s="106"/>
      <c r="R63" s="106"/>
      <c r="S63" s="106"/>
      <c r="T63" s="106"/>
      <c r="U63" s="106"/>
      <c r="V63" s="106"/>
      <c r="W63" s="106"/>
      <c r="X63" s="106"/>
      <c r="Y63" s="106"/>
      <c r="Z63" s="106"/>
      <c r="AA63" s="106"/>
      <c r="AB63" s="106"/>
      <c r="AC63" s="106"/>
      <c r="AD63" s="106"/>
      <c r="AE63" s="106"/>
      <c r="AF63" s="106"/>
      <c r="AG63" s="106"/>
      <c r="AH63" s="106"/>
      <c r="AI63" s="106"/>
      <c r="AJ63" s="106"/>
      <c r="AK63" s="106"/>
      <c r="AL63" s="106"/>
      <c r="AM63" s="106"/>
    </row>
  </sheetData>
  <sheetProtection formatCells="0" selectLockedCells="1"/>
  <dataConsolidate/>
  <mergeCells count="162">
    <mergeCell ref="Q49:S49"/>
    <mergeCell ref="O49:P49"/>
    <mergeCell ref="L47:N47"/>
    <mergeCell ref="J47:K47"/>
    <mergeCell ref="J48:K48"/>
    <mergeCell ref="L48:N48"/>
    <mergeCell ref="L49:N49"/>
    <mergeCell ref="J49:K49"/>
    <mergeCell ref="Y48:Z48"/>
    <mergeCell ref="AA48:AB48"/>
    <mergeCell ref="AD48:AF48"/>
    <mergeCell ref="Y49:Z49"/>
    <mergeCell ref="AA49:AB49"/>
    <mergeCell ref="AD49:AF49"/>
    <mergeCell ref="O45:S45"/>
    <mergeCell ref="C45:N45"/>
    <mergeCell ref="T45:U45"/>
    <mergeCell ref="X45:AB45"/>
    <mergeCell ref="AD45:AF46"/>
    <mergeCell ref="X46:Z46"/>
    <mergeCell ref="AA46:AB46"/>
    <mergeCell ref="Y47:Z47"/>
    <mergeCell ref="AA47:AB47"/>
    <mergeCell ref="AD47:AF47"/>
    <mergeCell ref="O47:P47"/>
    <mergeCell ref="C46:I46"/>
    <mergeCell ref="J46:N46"/>
    <mergeCell ref="O46:S46"/>
    <mergeCell ref="T46:V46"/>
    <mergeCell ref="T47:V47"/>
    <mergeCell ref="T48:V48"/>
    <mergeCell ref="T49:V49"/>
    <mergeCell ref="Q48:S48"/>
    <mergeCell ref="C48:I48"/>
    <mergeCell ref="C49:I49"/>
    <mergeCell ref="C47:I47"/>
    <mergeCell ref="Q47:S47"/>
    <mergeCell ref="O48:P48"/>
    <mergeCell ref="C40:G40"/>
    <mergeCell ref="C41:G41"/>
    <mergeCell ref="H41:L41"/>
    <mergeCell ref="H40:L40"/>
    <mergeCell ref="M40:Q40"/>
    <mergeCell ref="M41:Q41"/>
    <mergeCell ref="R40:V40"/>
    <mergeCell ref="W40:Y40"/>
    <mergeCell ref="AC40:AH40"/>
    <mergeCell ref="AC41:AH41"/>
    <mergeCell ref="AI40:AK40"/>
    <mergeCell ref="AI41:AK41"/>
    <mergeCell ref="C39:AK39"/>
    <mergeCell ref="Z40:AB40"/>
    <mergeCell ref="Z41:AB41"/>
    <mergeCell ref="M10:R10"/>
    <mergeCell ref="M11:R11"/>
    <mergeCell ref="M12:R12"/>
    <mergeCell ref="W12:AB12"/>
    <mergeCell ref="R41:V41"/>
    <mergeCell ref="W41:Y41"/>
    <mergeCell ref="B60:AL62"/>
    <mergeCell ref="J53:P53"/>
    <mergeCell ref="Q53:U53"/>
    <mergeCell ref="V53:AA53"/>
    <mergeCell ref="AC53:AE53"/>
    <mergeCell ref="AF53:AI53"/>
    <mergeCell ref="B57:I57"/>
    <mergeCell ref="B55:I55"/>
    <mergeCell ref="B53:I53"/>
    <mergeCell ref="O34:Q34"/>
    <mergeCell ref="O35:Q35"/>
    <mergeCell ref="B24:E24"/>
    <mergeCell ref="F24:AG24"/>
    <mergeCell ref="U29:Z29"/>
    <mergeCell ref="AA29:AE29"/>
    <mergeCell ref="I30:N30"/>
    <mergeCell ref="O30:S30"/>
    <mergeCell ref="U30:Z30"/>
    <mergeCell ref="AA30:AE30"/>
    <mergeCell ref="I34:K34"/>
    <mergeCell ref="L34:N34"/>
    <mergeCell ref="I35:K35"/>
    <mergeCell ref="L35:N35"/>
    <mergeCell ref="C34:H35"/>
    <mergeCell ref="B17:E17"/>
    <mergeCell ref="F17:AG17"/>
    <mergeCell ref="AH17:AL17"/>
    <mergeCell ref="B23:E23"/>
    <mergeCell ref="F23:AG23"/>
    <mergeCell ref="AH23:AL23"/>
    <mergeCell ref="B18:E18"/>
    <mergeCell ref="F18:AG18"/>
    <mergeCell ref="AH18:AL18"/>
    <mergeCell ref="B19:E19"/>
    <mergeCell ref="F19:AG19"/>
    <mergeCell ref="AH19:AL19"/>
    <mergeCell ref="B20:E20"/>
    <mergeCell ref="AH20:AL20"/>
    <mergeCell ref="B21:E21"/>
    <mergeCell ref="B22:E22"/>
    <mergeCell ref="AH21:AL21"/>
    <mergeCell ref="AH22:AL22"/>
    <mergeCell ref="F21:AG21"/>
    <mergeCell ref="F22:AG22"/>
    <mergeCell ref="A1:AM1"/>
    <mergeCell ref="A5:E5"/>
    <mergeCell ref="A6:E6"/>
    <mergeCell ref="K5:L5"/>
    <mergeCell ref="F6:R6"/>
    <mergeCell ref="S6:V6"/>
    <mergeCell ref="Z6:AD6"/>
    <mergeCell ref="Z2:AD2"/>
    <mergeCell ref="AE2:AH2"/>
    <mergeCell ref="M5:N5"/>
    <mergeCell ref="P5:Q5"/>
    <mergeCell ref="V5:X5"/>
    <mergeCell ref="A2:E2"/>
    <mergeCell ref="A3:E3"/>
    <mergeCell ref="T5:U5"/>
    <mergeCell ref="Z3:AD3"/>
    <mergeCell ref="F3:X3"/>
    <mergeCell ref="AE6:AL6"/>
    <mergeCell ref="A4:E4"/>
    <mergeCell ref="F4:X4"/>
    <mergeCell ref="F5:I5"/>
    <mergeCell ref="F2:X2"/>
    <mergeCell ref="AJ2:AL4"/>
    <mergeCell ref="AE3:AH3"/>
    <mergeCell ref="Z5:AD5"/>
    <mergeCell ref="AE5:AL5"/>
    <mergeCell ref="F20:AG20"/>
    <mergeCell ref="G9:L9"/>
    <mergeCell ref="G10:L10"/>
    <mergeCell ref="G11:L11"/>
    <mergeCell ref="G12:L12"/>
    <mergeCell ref="W9:AB9"/>
    <mergeCell ref="W10:AB10"/>
    <mergeCell ref="W11:AB11"/>
    <mergeCell ref="AC9:AH9"/>
    <mergeCell ref="AC10:AH10"/>
    <mergeCell ref="AC11:AH11"/>
    <mergeCell ref="AC12:AH12"/>
    <mergeCell ref="M9:R9"/>
    <mergeCell ref="J57:P57"/>
    <mergeCell ref="Q57:U57"/>
    <mergeCell ref="V57:AA57"/>
    <mergeCell ref="AC57:AE57"/>
    <mergeCell ref="AF57:AI57"/>
    <mergeCell ref="J55:P55"/>
    <mergeCell ref="Q55:U55"/>
    <mergeCell ref="V55:AA55"/>
    <mergeCell ref="AC55:AE55"/>
    <mergeCell ref="AF55:AI55"/>
    <mergeCell ref="AH24:AL24"/>
    <mergeCell ref="B25:E25"/>
    <mergeCell ref="F25:AG25"/>
    <mergeCell ref="AH25:AL25"/>
    <mergeCell ref="I28:N28"/>
    <mergeCell ref="O28:S28"/>
    <mergeCell ref="U28:Z28"/>
    <mergeCell ref="AA28:AE28"/>
    <mergeCell ref="I29:N29"/>
    <mergeCell ref="O29:S29"/>
  </mergeCells>
  <phoneticPr fontId="2" type="noConversion"/>
  <conditionalFormatting sqref="AI41">
    <cfRule type="cellIs" dxfId="13" priority="9" operator="equal">
      <formula>"Fail"</formula>
    </cfRule>
    <cfRule type="cellIs" dxfId="12" priority="10" operator="equal">
      <formula>"Pass"</formula>
    </cfRule>
  </conditionalFormatting>
  <conditionalFormatting sqref="AJ51">
    <cfRule type="cellIs" dxfId="11" priority="16" operator="equal">
      <formula>"""PASS"""</formula>
    </cfRule>
  </conditionalFormatting>
  <conditionalFormatting sqref="AD47:AD49">
    <cfRule type="cellIs" dxfId="7" priority="5" operator="equal">
      <formula>"LIMITED SERVICE"</formula>
    </cfRule>
    <cfRule type="cellIs" dxfId="6" priority="6" operator="equal">
      <formula>"Fail"</formula>
    </cfRule>
    <cfRule type="cellIs" dxfId="5" priority="7" operator="equal">
      <formula>"Pass"</formula>
    </cfRule>
    <cfRule type="cellIs" dxfId="4" priority="8" operator="equal">
      <formula>"""PASS"""</formula>
    </cfRule>
  </conditionalFormatting>
  <conditionalFormatting sqref="AJ2">
    <cfRule type="cellIs" dxfId="3" priority="1" operator="equal">
      <formula>"LIMITED SERVICE"</formula>
    </cfRule>
    <cfRule type="cellIs" dxfId="2" priority="2" operator="equal">
      <formula>"FAIL"</formula>
    </cfRule>
    <cfRule type="cellIs" dxfId="1" priority="3" operator="equal">
      <formula>"PASS"</formula>
    </cfRule>
    <cfRule type="cellIs" dxfId="0" priority="4" operator="equal">
      <formula>"""PASS"""</formula>
    </cfRule>
  </conditionalFormatting>
  <dataValidations count="6">
    <dataValidation type="list" allowBlank="1" showInputMessage="1" showErrorMessage="1" sqref="T47:T49" xr:uid="{0746A69F-EAC7-4263-963F-5AEED34C982A}">
      <formula1>"MΩ,GΩ"</formula1>
    </dataValidation>
    <dataValidation type="list" allowBlank="1" showInputMessage="1" showErrorMessage="1" sqref="T45:U45" xr:uid="{A3B685BD-C640-4C90-80F5-E711F9E6B67D}">
      <formula1>"1000,2500,5000"</formula1>
    </dataValidation>
    <dataValidation type="list" allowBlank="1" showInputMessage="1" showErrorMessage="1" sqref="J47:J49" xr:uid="{240699CE-D059-43FC-99F4-9C56A9CBE9E6}">
      <formula1>"&gt;,&lt;"</formula1>
    </dataValidation>
    <dataValidation type="list" allowBlank="1" showInputMessage="1" showErrorMessage="1" sqref="Z41:AB41" xr:uid="{762D5204-D7C0-49A3-A034-527EE1976E10}">
      <formula1>"Yes,No"</formula1>
    </dataValidation>
    <dataValidation type="list" allowBlank="1" showInputMessage="1" showErrorMessage="1" sqref="AJ2" xr:uid="{FC59DCE8-D609-4561-92BC-1FD3C2DBA6EE}">
      <formula1>#REF!</formula1>
    </dataValidation>
    <dataValidation type="list" allowBlank="1" showInputMessage="1" showErrorMessage="1" sqref="M12:R12" xr:uid="{1CFB9364-612F-4E02-933B-AFADC8054F7E}">
      <formula1>"Protection,Metering,Revenue Metering"</formula1>
    </dataValidation>
  </dataValidations>
  <printOptions horizontalCentered="1"/>
  <pageMargins left="0.5" right="0.5" top="1" bottom="0.5" header="0.3" footer="0.3"/>
  <pageSetup scale="96" fitToHeight="0" orientation="portrait" r:id="rId1"/>
  <headerFooter>
    <oddHeader xml:space="preserve">&amp;L  &amp;G
                &amp;C&amp;"-,Bold"&amp;13Voltage/Potential Transformer Test
(Solid Insulation)&amp;R&amp;"-,Bold"&amp;12&amp;K000000&amp;G
ATS 7.10.2      
&amp;14 </oddHeader>
    <oddFooter>&amp;L&amp;8&amp;K00-040AMPQES.COM&amp;C&amp;"Arial,Regular"&amp;9Sheet &amp;P of &amp;N&amp;R&amp;8 &amp;K00-040256-513-8255</oddFooter>
  </headerFooter>
  <legacyDrawingHF r:id="rId2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FD88D42F-4C2C-4489-B3FE-AA52572567EE}">
          <x14:formula1>
            <xm:f>Dropdowns!$A$67:$A$69</xm:f>
          </x14:formula1>
          <xm:sqref>AM3:AM4</xm:sqref>
        </x14:dataValidation>
        <x14:dataValidation type="list" allowBlank="1" showInputMessage="1" showErrorMessage="1" xr:uid="{012A2570-FB09-4F49-97DA-47562E2EF035}">
          <x14:formula1>
            <xm:f>Dropdowns!$A$2:$A$7</xm:f>
          </x14:formula1>
          <xm:sqref>AH28:AL30 AH17:AL25</xm:sqref>
        </x14:dataValidation>
        <x14:dataValidation type="list" allowBlank="1" showInputMessage="1" showErrorMessage="1" xr:uid="{38F9D23B-4C3B-4631-8FE0-A3FD33593661}">
          <x14:formula1>
            <xm:f>Dropdowns!$A$22:$A$24</xm:f>
          </x14:formula1>
          <xm:sqref>O35:Q35 P38:R38 P40:Q41 R40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9AAC0E-93FE-482A-816F-27F6BF22932B}">
  <dimension ref="A1:T235"/>
  <sheetViews>
    <sheetView view="pageLayout" zoomScale="73" zoomScaleNormal="100" zoomScalePageLayoutView="73" workbookViewId="0">
      <selection activeCell="K48" sqref="K48:T94"/>
    </sheetView>
  </sheetViews>
  <sheetFormatPr defaultColWidth="8.81640625" defaultRowHeight="14.5" x14ac:dyDescent="0.35"/>
  <cols>
    <col min="1" max="16384" width="8.81640625" style="7"/>
  </cols>
  <sheetData>
    <row r="1" spans="1:20" x14ac:dyDescent="0.35">
      <c r="A1" s="76"/>
      <c r="B1" s="77"/>
      <c r="C1" s="77"/>
      <c r="D1" s="77"/>
      <c r="E1" s="77"/>
      <c r="F1" s="77"/>
      <c r="G1" s="77"/>
      <c r="H1" s="77"/>
      <c r="I1" s="77"/>
      <c r="J1" s="77"/>
      <c r="K1" s="75"/>
      <c r="L1" s="75"/>
      <c r="M1" s="75"/>
      <c r="N1" s="75"/>
      <c r="O1" s="75"/>
      <c r="P1" s="75"/>
      <c r="Q1" s="75"/>
      <c r="R1" s="75"/>
      <c r="S1" s="75"/>
      <c r="T1" s="75"/>
    </row>
    <row r="2" spans="1:20" x14ac:dyDescent="0.35">
      <c r="A2" s="77"/>
      <c r="B2" s="77"/>
      <c r="C2" s="77"/>
      <c r="D2" s="77"/>
      <c r="E2" s="77"/>
      <c r="F2" s="77"/>
      <c r="G2" s="77"/>
      <c r="H2" s="77"/>
      <c r="I2" s="77"/>
      <c r="J2" s="77"/>
      <c r="K2" s="75"/>
      <c r="L2" s="75"/>
      <c r="M2" s="75"/>
      <c r="N2" s="75"/>
      <c r="O2" s="75"/>
      <c r="P2" s="75"/>
      <c r="Q2" s="75"/>
      <c r="R2" s="75"/>
      <c r="S2" s="75"/>
      <c r="T2" s="75"/>
    </row>
    <row r="3" spans="1:20" x14ac:dyDescent="0.35">
      <c r="A3" s="77"/>
      <c r="B3" s="77"/>
      <c r="C3" s="77"/>
      <c r="D3" s="77"/>
      <c r="E3" s="77"/>
      <c r="F3" s="77"/>
      <c r="G3" s="77"/>
      <c r="H3" s="77"/>
      <c r="I3" s="77"/>
      <c r="J3" s="77"/>
      <c r="K3" s="75"/>
      <c r="L3" s="75"/>
      <c r="M3" s="75"/>
      <c r="N3" s="75"/>
      <c r="O3" s="75"/>
      <c r="P3" s="75"/>
      <c r="Q3" s="75"/>
      <c r="R3" s="75"/>
      <c r="S3" s="75"/>
      <c r="T3" s="75"/>
    </row>
    <row r="4" spans="1:20" x14ac:dyDescent="0.35">
      <c r="A4" s="77"/>
      <c r="B4" s="77"/>
      <c r="C4" s="77"/>
      <c r="D4" s="77"/>
      <c r="E4" s="77"/>
      <c r="F4" s="77"/>
      <c r="G4" s="77"/>
      <c r="H4" s="77"/>
      <c r="I4" s="77"/>
      <c r="J4" s="77"/>
      <c r="K4" s="75"/>
      <c r="L4" s="75"/>
      <c r="M4" s="75"/>
      <c r="N4" s="75"/>
      <c r="O4" s="75"/>
      <c r="P4" s="75"/>
      <c r="Q4" s="75"/>
      <c r="R4" s="75"/>
      <c r="S4" s="75"/>
      <c r="T4" s="75"/>
    </row>
    <row r="5" spans="1:20" x14ac:dyDescent="0.35">
      <c r="A5" s="77"/>
      <c r="B5" s="77"/>
      <c r="C5" s="77"/>
      <c r="D5" s="77"/>
      <c r="E5" s="77"/>
      <c r="F5" s="77"/>
      <c r="G5" s="77"/>
      <c r="H5" s="77"/>
      <c r="I5" s="77"/>
      <c r="J5" s="77"/>
      <c r="K5" s="75"/>
      <c r="L5" s="75"/>
      <c r="M5" s="75"/>
      <c r="N5" s="75"/>
      <c r="O5" s="75"/>
      <c r="P5" s="75"/>
      <c r="Q5" s="75"/>
      <c r="R5" s="75"/>
      <c r="S5" s="75"/>
      <c r="T5" s="75"/>
    </row>
    <row r="6" spans="1:20" x14ac:dyDescent="0.35">
      <c r="A6" s="77"/>
      <c r="B6" s="77"/>
      <c r="C6" s="77"/>
      <c r="D6" s="77"/>
      <c r="E6" s="77"/>
      <c r="F6" s="77"/>
      <c r="G6" s="77"/>
      <c r="H6" s="77"/>
      <c r="I6" s="77"/>
      <c r="J6" s="77"/>
      <c r="K6" s="75"/>
      <c r="L6" s="75"/>
      <c r="M6" s="75"/>
      <c r="N6" s="75"/>
      <c r="O6" s="75"/>
      <c r="P6" s="75"/>
      <c r="Q6" s="75"/>
      <c r="R6" s="75"/>
      <c r="S6" s="75"/>
      <c r="T6" s="75"/>
    </row>
    <row r="7" spans="1:20" x14ac:dyDescent="0.35">
      <c r="A7" s="77"/>
      <c r="B7" s="77"/>
      <c r="C7" s="77"/>
      <c r="D7" s="77"/>
      <c r="E7" s="77"/>
      <c r="F7" s="77"/>
      <c r="G7" s="77"/>
      <c r="H7" s="77"/>
      <c r="I7" s="77"/>
      <c r="J7" s="77"/>
      <c r="K7" s="75"/>
      <c r="L7" s="75"/>
      <c r="M7" s="75"/>
      <c r="N7" s="75"/>
      <c r="O7" s="75"/>
      <c r="P7" s="75"/>
      <c r="Q7" s="75"/>
      <c r="R7" s="75"/>
      <c r="S7" s="75"/>
      <c r="T7" s="75"/>
    </row>
    <row r="8" spans="1:20" x14ac:dyDescent="0.35">
      <c r="A8" s="77"/>
      <c r="B8" s="77"/>
      <c r="C8" s="77"/>
      <c r="D8" s="77"/>
      <c r="E8" s="77"/>
      <c r="F8" s="77"/>
      <c r="G8" s="77"/>
      <c r="H8" s="77"/>
      <c r="I8" s="77"/>
      <c r="J8" s="77"/>
      <c r="K8" s="75"/>
      <c r="L8" s="75"/>
      <c r="M8" s="75"/>
      <c r="N8" s="75"/>
      <c r="O8" s="75"/>
      <c r="P8" s="75"/>
      <c r="Q8" s="75"/>
      <c r="R8" s="75"/>
      <c r="S8" s="75"/>
      <c r="T8" s="75"/>
    </row>
    <row r="9" spans="1:20" x14ac:dyDescent="0.35">
      <c r="A9" s="77"/>
      <c r="B9" s="77"/>
      <c r="C9" s="77"/>
      <c r="D9" s="77"/>
      <c r="E9" s="77"/>
      <c r="F9" s="77"/>
      <c r="G9" s="77"/>
      <c r="H9" s="77"/>
      <c r="I9" s="77"/>
      <c r="J9" s="77"/>
      <c r="K9" s="75"/>
      <c r="L9" s="75"/>
      <c r="M9" s="75"/>
      <c r="N9" s="75"/>
      <c r="O9" s="75"/>
      <c r="P9" s="75"/>
      <c r="Q9" s="75"/>
      <c r="R9" s="75"/>
      <c r="S9" s="75"/>
      <c r="T9" s="75"/>
    </row>
    <row r="10" spans="1:20" x14ac:dyDescent="0.35">
      <c r="A10" s="77"/>
      <c r="B10" s="77"/>
      <c r="C10" s="77"/>
      <c r="D10" s="77"/>
      <c r="E10" s="77"/>
      <c r="F10" s="77"/>
      <c r="G10" s="77"/>
      <c r="H10" s="77"/>
      <c r="I10" s="77"/>
      <c r="J10" s="77"/>
      <c r="K10" s="75"/>
      <c r="L10" s="75"/>
      <c r="M10" s="75"/>
      <c r="N10" s="75"/>
      <c r="O10" s="75"/>
      <c r="P10" s="75"/>
      <c r="Q10" s="75"/>
      <c r="R10" s="75"/>
      <c r="S10" s="75"/>
      <c r="T10" s="75"/>
    </row>
    <row r="11" spans="1:20" x14ac:dyDescent="0.35">
      <c r="A11" s="77"/>
      <c r="B11" s="77"/>
      <c r="C11" s="77"/>
      <c r="D11" s="77"/>
      <c r="E11" s="77"/>
      <c r="F11" s="77"/>
      <c r="G11" s="77"/>
      <c r="H11" s="77"/>
      <c r="I11" s="77"/>
      <c r="J11" s="77"/>
      <c r="K11" s="75"/>
      <c r="L11" s="75"/>
      <c r="M11" s="75"/>
      <c r="N11" s="75"/>
      <c r="O11" s="75"/>
      <c r="P11" s="75"/>
      <c r="Q11" s="75"/>
      <c r="R11" s="75"/>
      <c r="S11" s="75"/>
      <c r="T11" s="75"/>
    </row>
    <row r="12" spans="1:20" x14ac:dyDescent="0.35">
      <c r="A12" s="77"/>
      <c r="B12" s="77"/>
      <c r="C12" s="77"/>
      <c r="D12" s="77"/>
      <c r="E12" s="77"/>
      <c r="F12" s="77"/>
      <c r="G12" s="77"/>
      <c r="H12" s="77"/>
      <c r="I12" s="77"/>
      <c r="J12" s="77"/>
      <c r="K12" s="75"/>
      <c r="L12" s="75"/>
      <c r="M12" s="75"/>
      <c r="N12" s="75"/>
      <c r="O12" s="75"/>
      <c r="P12" s="75"/>
      <c r="Q12" s="75"/>
      <c r="R12" s="75"/>
      <c r="S12" s="75"/>
      <c r="T12" s="75"/>
    </row>
    <row r="13" spans="1:20" x14ac:dyDescent="0.35">
      <c r="A13" s="77"/>
      <c r="B13" s="77"/>
      <c r="C13" s="77"/>
      <c r="D13" s="77"/>
      <c r="E13" s="77"/>
      <c r="F13" s="77"/>
      <c r="G13" s="77"/>
      <c r="H13" s="77"/>
      <c r="I13" s="77"/>
      <c r="J13" s="77"/>
      <c r="K13" s="75"/>
      <c r="L13" s="75"/>
      <c r="M13" s="75"/>
      <c r="N13" s="75"/>
      <c r="O13" s="75"/>
      <c r="P13" s="75"/>
      <c r="Q13" s="75"/>
      <c r="R13" s="75"/>
      <c r="S13" s="75"/>
      <c r="T13" s="75"/>
    </row>
    <row r="14" spans="1:20" x14ac:dyDescent="0.35">
      <c r="A14" s="77"/>
      <c r="B14" s="77"/>
      <c r="C14" s="77"/>
      <c r="D14" s="77"/>
      <c r="E14" s="77"/>
      <c r="F14" s="77"/>
      <c r="G14" s="77"/>
      <c r="H14" s="77"/>
      <c r="I14" s="77"/>
      <c r="J14" s="77"/>
      <c r="K14" s="75"/>
      <c r="L14" s="75"/>
      <c r="M14" s="75"/>
      <c r="N14" s="75"/>
      <c r="O14" s="75"/>
      <c r="P14" s="75"/>
      <c r="Q14" s="75"/>
      <c r="R14" s="75"/>
      <c r="S14" s="75"/>
      <c r="T14" s="75"/>
    </row>
    <row r="15" spans="1:20" x14ac:dyDescent="0.35">
      <c r="A15" s="77"/>
      <c r="B15" s="77"/>
      <c r="C15" s="77"/>
      <c r="D15" s="77"/>
      <c r="E15" s="77"/>
      <c r="F15" s="77"/>
      <c r="G15" s="77"/>
      <c r="H15" s="77"/>
      <c r="I15" s="77"/>
      <c r="J15" s="77"/>
      <c r="K15" s="75"/>
      <c r="L15" s="75"/>
      <c r="M15" s="75"/>
      <c r="N15" s="75"/>
      <c r="O15" s="75"/>
      <c r="P15" s="75"/>
      <c r="Q15" s="75"/>
      <c r="R15" s="75"/>
      <c r="S15" s="75"/>
      <c r="T15" s="75"/>
    </row>
    <row r="16" spans="1:20" x14ac:dyDescent="0.35">
      <c r="A16" s="77"/>
      <c r="B16" s="77"/>
      <c r="C16" s="77"/>
      <c r="D16" s="77"/>
      <c r="E16" s="77"/>
      <c r="F16" s="77"/>
      <c r="G16" s="77"/>
      <c r="H16" s="77"/>
      <c r="I16" s="77"/>
      <c r="J16" s="77"/>
      <c r="K16" s="75"/>
      <c r="L16" s="75"/>
      <c r="M16" s="75"/>
      <c r="N16" s="75"/>
      <c r="O16" s="75"/>
      <c r="P16" s="75"/>
      <c r="Q16" s="75"/>
      <c r="R16" s="75"/>
      <c r="S16" s="75"/>
      <c r="T16" s="75"/>
    </row>
    <row r="17" spans="1:20" x14ac:dyDescent="0.35">
      <c r="A17" s="77"/>
      <c r="B17" s="77"/>
      <c r="C17" s="77"/>
      <c r="D17" s="77"/>
      <c r="E17" s="77"/>
      <c r="F17" s="77"/>
      <c r="G17" s="77"/>
      <c r="H17" s="77"/>
      <c r="I17" s="77"/>
      <c r="J17" s="77"/>
      <c r="K17" s="75"/>
      <c r="L17" s="75"/>
      <c r="M17" s="75"/>
      <c r="N17" s="75"/>
      <c r="O17" s="75"/>
      <c r="P17" s="75"/>
      <c r="Q17" s="75"/>
      <c r="R17" s="75"/>
      <c r="S17" s="75"/>
      <c r="T17" s="75"/>
    </row>
    <row r="18" spans="1:20" x14ac:dyDescent="0.35">
      <c r="A18" s="77"/>
      <c r="B18" s="77"/>
      <c r="C18" s="77"/>
      <c r="D18" s="77"/>
      <c r="E18" s="77"/>
      <c r="F18" s="77"/>
      <c r="G18" s="77"/>
      <c r="H18" s="77"/>
      <c r="I18" s="77"/>
      <c r="J18" s="77"/>
      <c r="K18" s="75"/>
      <c r="L18" s="75"/>
      <c r="M18" s="75"/>
      <c r="N18" s="75"/>
      <c r="O18" s="75"/>
      <c r="P18" s="75"/>
      <c r="Q18" s="75"/>
      <c r="R18" s="75"/>
      <c r="S18" s="75"/>
      <c r="T18" s="75"/>
    </row>
    <row r="19" spans="1:20" x14ac:dyDescent="0.35">
      <c r="A19" s="77"/>
      <c r="B19" s="77"/>
      <c r="C19" s="77"/>
      <c r="D19" s="77"/>
      <c r="E19" s="77"/>
      <c r="F19" s="77"/>
      <c r="G19" s="77"/>
      <c r="H19" s="77"/>
      <c r="I19" s="77"/>
      <c r="J19" s="77"/>
      <c r="K19" s="75"/>
      <c r="L19" s="75"/>
      <c r="M19" s="75"/>
      <c r="N19" s="75"/>
      <c r="O19" s="75"/>
      <c r="P19" s="75"/>
      <c r="Q19" s="75"/>
      <c r="R19" s="75"/>
      <c r="S19" s="75"/>
      <c r="T19" s="75"/>
    </row>
    <row r="20" spans="1:20" x14ac:dyDescent="0.35">
      <c r="A20" s="77"/>
      <c r="B20" s="77"/>
      <c r="C20" s="77"/>
      <c r="D20" s="77"/>
      <c r="E20" s="77"/>
      <c r="F20" s="77"/>
      <c r="G20" s="77"/>
      <c r="H20" s="77"/>
      <c r="I20" s="77"/>
      <c r="J20" s="77"/>
      <c r="K20" s="75"/>
      <c r="L20" s="75"/>
      <c r="M20" s="75"/>
      <c r="N20" s="75"/>
      <c r="O20" s="75"/>
      <c r="P20" s="75"/>
      <c r="Q20" s="75"/>
      <c r="R20" s="75"/>
      <c r="S20" s="75"/>
      <c r="T20" s="75"/>
    </row>
    <row r="21" spans="1:20" x14ac:dyDescent="0.35">
      <c r="A21" s="77"/>
      <c r="B21" s="77"/>
      <c r="C21" s="77"/>
      <c r="D21" s="77"/>
      <c r="E21" s="77"/>
      <c r="F21" s="77"/>
      <c r="G21" s="77"/>
      <c r="H21" s="77"/>
      <c r="I21" s="77"/>
      <c r="J21" s="77"/>
      <c r="K21" s="75"/>
      <c r="L21" s="75"/>
      <c r="M21" s="75"/>
      <c r="N21" s="75"/>
      <c r="O21" s="75"/>
      <c r="P21" s="75"/>
      <c r="Q21" s="75"/>
      <c r="R21" s="75"/>
      <c r="S21" s="75"/>
      <c r="T21" s="75"/>
    </row>
    <row r="22" spans="1:20" x14ac:dyDescent="0.35">
      <c r="A22" s="77"/>
      <c r="B22" s="77"/>
      <c r="C22" s="77"/>
      <c r="D22" s="77"/>
      <c r="E22" s="77"/>
      <c r="F22" s="77"/>
      <c r="G22" s="77"/>
      <c r="H22" s="77"/>
      <c r="I22" s="77"/>
      <c r="J22" s="77"/>
      <c r="K22" s="75"/>
      <c r="L22" s="75"/>
      <c r="M22" s="75"/>
      <c r="N22" s="75"/>
      <c r="O22" s="75"/>
      <c r="P22" s="75"/>
      <c r="Q22" s="75"/>
      <c r="R22" s="75"/>
      <c r="S22" s="75"/>
      <c r="T22" s="75"/>
    </row>
    <row r="23" spans="1:20" x14ac:dyDescent="0.35">
      <c r="A23" s="77"/>
      <c r="B23" s="77"/>
      <c r="C23" s="77"/>
      <c r="D23" s="77"/>
      <c r="E23" s="77"/>
      <c r="F23" s="77"/>
      <c r="G23" s="77"/>
      <c r="H23" s="77"/>
      <c r="I23" s="77"/>
      <c r="J23" s="77"/>
      <c r="K23" s="75"/>
      <c r="L23" s="75"/>
      <c r="M23" s="75"/>
      <c r="N23" s="75"/>
      <c r="O23" s="75"/>
      <c r="P23" s="75"/>
      <c r="Q23" s="75"/>
      <c r="R23" s="75"/>
      <c r="S23" s="75"/>
      <c r="T23" s="75"/>
    </row>
    <row r="24" spans="1:20" x14ac:dyDescent="0.35">
      <c r="A24" s="77"/>
      <c r="B24" s="77"/>
      <c r="C24" s="77"/>
      <c r="D24" s="77"/>
      <c r="E24" s="77"/>
      <c r="F24" s="77"/>
      <c r="G24" s="77"/>
      <c r="H24" s="77"/>
      <c r="I24" s="77"/>
      <c r="J24" s="77"/>
      <c r="K24" s="75"/>
      <c r="L24" s="75"/>
      <c r="M24" s="75"/>
      <c r="N24" s="75"/>
      <c r="O24" s="75"/>
      <c r="P24" s="75"/>
      <c r="Q24" s="75"/>
      <c r="R24" s="75"/>
      <c r="S24" s="75"/>
      <c r="T24" s="75"/>
    </row>
    <row r="25" spans="1:20" x14ac:dyDescent="0.35">
      <c r="A25" s="77"/>
      <c r="B25" s="77"/>
      <c r="C25" s="77"/>
      <c r="D25" s="77"/>
      <c r="E25" s="77"/>
      <c r="F25" s="77"/>
      <c r="G25" s="77"/>
      <c r="H25" s="77"/>
      <c r="I25" s="77"/>
      <c r="J25" s="77"/>
      <c r="K25" s="75"/>
      <c r="L25" s="75"/>
      <c r="M25" s="75"/>
      <c r="N25" s="75"/>
      <c r="O25" s="75"/>
      <c r="P25" s="75"/>
      <c r="Q25" s="75"/>
      <c r="R25" s="75"/>
      <c r="S25" s="75"/>
      <c r="T25" s="75"/>
    </row>
    <row r="26" spans="1:20" x14ac:dyDescent="0.35">
      <c r="A26" s="77"/>
      <c r="B26" s="77"/>
      <c r="C26" s="77"/>
      <c r="D26" s="77"/>
      <c r="E26" s="77"/>
      <c r="F26" s="77"/>
      <c r="G26" s="77"/>
      <c r="H26" s="77"/>
      <c r="I26" s="77"/>
      <c r="J26" s="77"/>
      <c r="K26" s="75"/>
      <c r="L26" s="75"/>
      <c r="M26" s="75"/>
      <c r="N26" s="75"/>
      <c r="O26" s="75"/>
      <c r="P26" s="75"/>
      <c r="Q26" s="75"/>
      <c r="R26" s="75"/>
      <c r="S26" s="75"/>
      <c r="T26" s="75"/>
    </row>
    <row r="27" spans="1:20" x14ac:dyDescent="0.35">
      <c r="A27" s="77"/>
      <c r="B27" s="77"/>
      <c r="C27" s="77"/>
      <c r="D27" s="77"/>
      <c r="E27" s="77"/>
      <c r="F27" s="77"/>
      <c r="G27" s="77"/>
      <c r="H27" s="77"/>
      <c r="I27" s="77"/>
      <c r="J27" s="77"/>
      <c r="K27" s="75"/>
      <c r="L27" s="75"/>
      <c r="M27" s="75"/>
      <c r="N27" s="75"/>
      <c r="O27" s="75"/>
      <c r="P27" s="75"/>
      <c r="Q27" s="75"/>
      <c r="R27" s="75"/>
      <c r="S27" s="75"/>
      <c r="T27" s="75"/>
    </row>
    <row r="28" spans="1:20" x14ac:dyDescent="0.35">
      <c r="A28" s="77"/>
      <c r="B28" s="77"/>
      <c r="C28" s="77"/>
      <c r="D28" s="77"/>
      <c r="E28" s="77"/>
      <c r="F28" s="77"/>
      <c r="G28" s="77"/>
      <c r="H28" s="77"/>
      <c r="I28" s="77"/>
      <c r="J28" s="77"/>
      <c r="K28" s="75"/>
      <c r="L28" s="75"/>
      <c r="M28" s="75"/>
      <c r="N28" s="75"/>
      <c r="O28" s="75"/>
      <c r="P28" s="75"/>
      <c r="Q28" s="75"/>
      <c r="R28" s="75"/>
      <c r="S28" s="75"/>
      <c r="T28" s="75"/>
    </row>
    <row r="29" spans="1:20" x14ac:dyDescent="0.35">
      <c r="A29" s="77"/>
      <c r="B29" s="77"/>
      <c r="C29" s="77"/>
      <c r="D29" s="77"/>
      <c r="E29" s="77"/>
      <c r="F29" s="77"/>
      <c r="G29" s="77"/>
      <c r="H29" s="77"/>
      <c r="I29" s="77"/>
      <c r="J29" s="77"/>
      <c r="K29" s="75"/>
      <c r="L29" s="75"/>
      <c r="M29" s="75"/>
      <c r="N29" s="75"/>
      <c r="O29" s="75"/>
      <c r="P29" s="75"/>
      <c r="Q29" s="75"/>
      <c r="R29" s="75"/>
      <c r="S29" s="75"/>
      <c r="T29" s="75"/>
    </row>
    <row r="30" spans="1:20" x14ac:dyDescent="0.35">
      <c r="A30" s="77"/>
      <c r="B30" s="77"/>
      <c r="C30" s="77"/>
      <c r="D30" s="77"/>
      <c r="E30" s="77"/>
      <c r="F30" s="77"/>
      <c r="G30" s="77"/>
      <c r="H30" s="77"/>
      <c r="I30" s="77"/>
      <c r="J30" s="77"/>
      <c r="K30" s="75"/>
      <c r="L30" s="75"/>
      <c r="M30" s="75"/>
      <c r="N30" s="75"/>
      <c r="O30" s="75"/>
      <c r="P30" s="75"/>
      <c r="Q30" s="75"/>
      <c r="R30" s="75"/>
      <c r="S30" s="75"/>
      <c r="T30" s="75"/>
    </row>
    <row r="31" spans="1:20" x14ac:dyDescent="0.35">
      <c r="A31" s="77"/>
      <c r="B31" s="77"/>
      <c r="C31" s="77"/>
      <c r="D31" s="77"/>
      <c r="E31" s="77"/>
      <c r="F31" s="77"/>
      <c r="G31" s="77"/>
      <c r="H31" s="77"/>
      <c r="I31" s="77"/>
      <c r="J31" s="77"/>
      <c r="K31" s="75"/>
      <c r="L31" s="75"/>
      <c r="M31" s="75"/>
      <c r="N31" s="75"/>
      <c r="O31" s="75"/>
      <c r="P31" s="75"/>
      <c r="Q31" s="75"/>
      <c r="R31" s="75"/>
      <c r="S31" s="75"/>
      <c r="T31" s="75"/>
    </row>
    <row r="32" spans="1:20" x14ac:dyDescent="0.35">
      <c r="A32" s="77"/>
      <c r="B32" s="77"/>
      <c r="C32" s="77"/>
      <c r="D32" s="77"/>
      <c r="E32" s="77"/>
      <c r="F32" s="77"/>
      <c r="G32" s="77"/>
      <c r="H32" s="77"/>
      <c r="I32" s="77"/>
      <c r="J32" s="77"/>
      <c r="K32" s="75"/>
      <c r="L32" s="75"/>
      <c r="M32" s="75"/>
      <c r="N32" s="75"/>
      <c r="O32" s="75"/>
      <c r="P32" s="75"/>
      <c r="Q32" s="75"/>
      <c r="R32" s="75"/>
      <c r="S32" s="75"/>
      <c r="T32" s="75"/>
    </row>
    <row r="33" spans="1:20" x14ac:dyDescent="0.35">
      <c r="A33" s="77"/>
      <c r="B33" s="77"/>
      <c r="C33" s="77"/>
      <c r="D33" s="77"/>
      <c r="E33" s="77"/>
      <c r="F33" s="77"/>
      <c r="G33" s="77"/>
      <c r="H33" s="77"/>
      <c r="I33" s="77"/>
      <c r="J33" s="77"/>
      <c r="K33" s="75"/>
      <c r="L33" s="75"/>
      <c r="M33" s="75"/>
      <c r="N33" s="75"/>
      <c r="O33" s="75"/>
      <c r="P33" s="75"/>
      <c r="Q33" s="75"/>
      <c r="R33" s="75"/>
      <c r="S33" s="75"/>
      <c r="T33" s="75"/>
    </row>
    <row r="34" spans="1:20" x14ac:dyDescent="0.35">
      <c r="A34" s="77"/>
      <c r="B34" s="77"/>
      <c r="C34" s="77"/>
      <c r="D34" s="77"/>
      <c r="E34" s="77"/>
      <c r="F34" s="77"/>
      <c r="G34" s="77"/>
      <c r="H34" s="77"/>
      <c r="I34" s="77"/>
      <c r="J34" s="77"/>
      <c r="K34" s="75"/>
      <c r="L34" s="75"/>
      <c r="M34" s="75"/>
      <c r="N34" s="75"/>
      <c r="O34" s="75"/>
      <c r="P34" s="75"/>
      <c r="Q34" s="75"/>
      <c r="R34" s="75"/>
      <c r="S34" s="75"/>
      <c r="T34" s="75"/>
    </row>
    <row r="35" spans="1:20" x14ac:dyDescent="0.35">
      <c r="A35" s="77"/>
      <c r="B35" s="77"/>
      <c r="C35" s="77"/>
      <c r="D35" s="77"/>
      <c r="E35" s="77"/>
      <c r="F35" s="77"/>
      <c r="G35" s="77"/>
      <c r="H35" s="77"/>
      <c r="I35" s="77"/>
      <c r="J35" s="77"/>
      <c r="K35" s="75"/>
      <c r="L35" s="75"/>
      <c r="M35" s="75"/>
      <c r="N35" s="75"/>
      <c r="O35" s="75"/>
      <c r="P35" s="75"/>
      <c r="Q35" s="75"/>
      <c r="R35" s="75"/>
      <c r="S35" s="75"/>
      <c r="T35" s="75"/>
    </row>
    <row r="36" spans="1:20" x14ac:dyDescent="0.35">
      <c r="A36" s="77"/>
      <c r="B36" s="77"/>
      <c r="C36" s="77"/>
      <c r="D36" s="77"/>
      <c r="E36" s="77"/>
      <c r="F36" s="77"/>
      <c r="G36" s="77"/>
      <c r="H36" s="77"/>
      <c r="I36" s="77"/>
      <c r="J36" s="77"/>
      <c r="K36" s="75"/>
      <c r="L36" s="75"/>
      <c r="M36" s="75"/>
      <c r="N36" s="75"/>
      <c r="O36" s="75"/>
      <c r="P36" s="75"/>
      <c r="Q36" s="75"/>
      <c r="R36" s="75"/>
      <c r="S36" s="75"/>
      <c r="T36" s="75"/>
    </row>
    <row r="37" spans="1:20" x14ac:dyDescent="0.35">
      <c r="A37" s="77"/>
      <c r="B37" s="77"/>
      <c r="C37" s="77"/>
      <c r="D37" s="77"/>
      <c r="E37" s="77"/>
      <c r="F37" s="77"/>
      <c r="G37" s="77"/>
      <c r="H37" s="77"/>
      <c r="I37" s="77"/>
      <c r="J37" s="77"/>
      <c r="K37" s="75"/>
      <c r="L37" s="75"/>
      <c r="M37" s="75"/>
      <c r="N37" s="75"/>
      <c r="O37" s="75"/>
      <c r="P37" s="75"/>
      <c r="Q37" s="75"/>
      <c r="R37" s="75"/>
      <c r="S37" s="75"/>
      <c r="T37" s="75"/>
    </row>
    <row r="38" spans="1:20" x14ac:dyDescent="0.35">
      <c r="A38" s="77"/>
      <c r="B38" s="77"/>
      <c r="C38" s="77"/>
      <c r="D38" s="77"/>
      <c r="E38" s="77"/>
      <c r="F38" s="77"/>
      <c r="G38" s="77"/>
      <c r="H38" s="77"/>
      <c r="I38" s="77"/>
      <c r="J38" s="77"/>
      <c r="K38" s="75"/>
      <c r="L38" s="75"/>
      <c r="M38" s="75"/>
      <c r="N38" s="75"/>
      <c r="O38" s="75"/>
      <c r="P38" s="75"/>
      <c r="Q38" s="75"/>
      <c r="R38" s="75"/>
      <c r="S38" s="75"/>
      <c r="T38" s="75"/>
    </row>
    <row r="39" spans="1:20" x14ac:dyDescent="0.35">
      <c r="A39" s="77"/>
      <c r="B39" s="77"/>
      <c r="C39" s="77"/>
      <c r="D39" s="77"/>
      <c r="E39" s="77"/>
      <c r="F39" s="77"/>
      <c r="G39" s="77"/>
      <c r="H39" s="77"/>
      <c r="I39" s="77"/>
      <c r="J39" s="77"/>
      <c r="K39" s="75"/>
      <c r="L39" s="75"/>
      <c r="M39" s="75"/>
      <c r="N39" s="75"/>
      <c r="O39" s="75"/>
      <c r="P39" s="75"/>
      <c r="Q39" s="75"/>
      <c r="R39" s="75"/>
      <c r="S39" s="75"/>
      <c r="T39" s="75"/>
    </row>
    <row r="40" spans="1:20" x14ac:dyDescent="0.35">
      <c r="A40" s="77"/>
      <c r="B40" s="77"/>
      <c r="C40" s="77"/>
      <c r="D40" s="77"/>
      <c r="E40" s="77"/>
      <c r="F40" s="77"/>
      <c r="G40" s="77"/>
      <c r="H40" s="77"/>
      <c r="I40" s="77"/>
      <c r="J40" s="77"/>
      <c r="K40" s="75"/>
      <c r="L40" s="75"/>
      <c r="M40" s="75"/>
      <c r="N40" s="75"/>
      <c r="O40" s="75"/>
      <c r="P40" s="75"/>
      <c r="Q40" s="75"/>
      <c r="R40" s="75"/>
      <c r="S40" s="75"/>
      <c r="T40" s="75"/>
    </row>
    <row r="41" spans="1:20" x14ac:dyDescent="0.35">
      <c r="A41" s="77"/>
      <c r="B41" s="77"/>
      <c r="C41" s="77"/>
      <c r="D41" s="77"/>
      <c r="E41" s="77"/>
      <c r="F41" s="77"/>
      <c r="G41" s="77"/>
      <c r="H41" s="77"/>
      <c r="I41" s="77"/>
      <c r="J41" s="77"/>
      <c r="K41" s="75"/>
      <c r="L41" s="75"/>
      <c r="M41" s="75"/>
      <c r="N41" s="75"/>
      <c r="O41" s="75"/>
      <c r="P41" s="75"/>
      <c r="Q41" s="75"/>
      <c r="R41" s="75"/>
      <c r="S41" s="75"/>
      <c r="T41" s="75"/>
    </row>
    <row r="42" spans="1:20" x14ac:dyDescent="0.35">
      <c r="A42" s="77"/>
      <c r="B42" s="77"/>
      <c r="C42" s="77"/>
      <c r="D42" s="77"/>
      <c r="E42" s="77"/>
      <c r="F42" s="77"/>
      <c r="G42" s="77"/>
      <c r="H42" s="77"/>
      <c r="I42" s="77"/>
      <c r="J42" s="77"/>
      <c r="K42" s="75"/>
      <c r="L42" s="75"/>
      <c r="M42" s="75"/>
      <c r="N42" s="75"/>
      <c r="O42" s="75"/>
      <c r="P42" s="75"/>
      <c r="Q42" s="75"/>
      <c r="R42" s="75"/>
      <c r="S42" s="75"/>
      <c r="T42" s="75"/>
    </row>
    <row r="43" spans="1:20" x14ac:dyDescent="0.35">
      <c r="A43" s="77"/>
      <c r="B43" s="77"/>
      <c r="C43" s="77"/>
      <c r="D43" s="77"/>
      <c r="E43" s="77"/>
      <c r="F43" s="77"/>
      <c r="G43" s="77"/>
      <c r="H43" s="77"/>
      <c r="I43" s="77"/>
      <c r="J43" s="77"/>
      <c r="K43" s="75"/>
      <c r="L43" s="75"/>
      <c r="M43" s="75"/>
      <c r="N43" s="75"/>
      <c r="O43" s="75"/>
      <c r="P43" s="75"/>
      <c r="Q43" s="75"/>
      <c r="R43" s="75"/>
      <c r="S43" s="75"/>
      <c r="T43" s="75"/>
    </row>
    <row r="44" spans="1:20" x14ac:dyDescent="0.35">
      <c r="A44" s="77"/>
      <c r="B44" s="77"/>
      <c r="C44" s="77"/>
      <c r="D44" s="77"/>
      <c r="E44" s="77"/>
      <c r="F44" s="77"/>
      <c r="G44" s="77"/>
      <c r="H44" s="77"/>
      <c r="I44" s="77"/>
      <c r="J44" s="77"/>
      <c r="K44" s="75"/>
      <c r="L44" s="75"/>
      <c r="M44" s="75"/>
      <c r="N44" s="75"/>
      <c r="O44" s="75"/>
      <c r="P44" s="75"/>
      <c r="Q44" s="75"/>
      <c r="R44" s="75"/>
      <c r="S44" s="75"/>
      <c r="T44" s="75"/>
    </row>
    <row r="45" spans="1:20" x14ac:dyDescent="0.35">
      <c r="A45" s="77"/>
      <c r="B45" s="77"/>
      <c r="C45" s="77"/>
      <c r="D45" s="77"/>
      <c r="E45" s="77"/>
      <c r="F45" s="77"/>
      <c r="G45" s="77"/>
      <c r="H45" s="77"/>
      <c r="I45" s="77"/>
      <c r="J45" s="77"/>
      <c r="K45" s="75"/>
      <c r="L45" s="75"/>
      <c r="M45" s="75"/>
      <c r="N45" s="75"/>
      <c r="O45" s="75"/>
      <c r="P45" s="75"/>
      <c r="Q45" s="75"/>
      <c r="R45" s="75"/>
      <c r="S45" s="75"/>
      <c r="T45" s="75"/>
    </row>
    <row r="46" spans="1:20" x14ac:dyDescent="0.35">
      <c r="A46" s="77"/>
      <c r="B46" s="77"/>
      <c r="C46" s="77"/>
      <c r="D46" s="77"/>
      <c r="E46" s="77"/>
      <c r="F46" s="77"/>
      <c r="G46" s="77"/>
      <c r="H46" s="77"/>
      <c r="I46" s="77"/>
      <c r="J46" s="77"/>
      <c r="K46" s="75"/>
      <c r="L46" s="75"/>
      <c r="M46" s="75"/>
      <c r="N46" s="75"/>
      <c r="O46" s="75"/>
      <c r="P46" s="75"/>
      <c r="Q46" s="75"/>
      <c r="R46" s="75"/>
      <c r="S46" s="75"/>
      <c r="T46" s="75"/>
    </row>
    <row r="47" spans="1:20" x14ac:dyDescent="0.35">
      <c r="A47" s="77"/>
      <c r="B47" s="77"/>
      <c r="C47" s="77"/>
      <c r="D47" s="77"/>
      <c r="E47" s="77"/>
      <c r="F47" s="77"/>
      <c r="G47" s="77"/>
      <c r="H47" s="77"/>
      <c r="I47" s="77"/>
      <c r="J47" s="77"/>
      <c r="K47" s="75"/>
      <c r="L47" s="75"/>
      <c r="M47" s="75"/>
      <c r="N47" s="75"/>
      <c r="O47" s="75"/>
      <c r="P47" s="75"/>
      <c r="Q47" s="75"/>
      <c r="R47" s="75"/>
      <c r="S47" s="75"/>
      <c r="T47" s="75"/>
    </row>
    <row r="48" spans="1:20" x14ac:dyDescent="0.35">
      <c r="A48" s="75"/>
      <c r="B48" s="75"/>
      <c r="C48" s="75"/>
      <c r="D48" s="75"/>
      <c r="E48" s="75"/>
      <c r="F48" s="75"/>
      <c r="G48" s="75"/>
      <c r="H48" s="75"/>
      <c r="I48" s="75"/>
      <c r="J48" s="75"/>
      <c r="K48" s="75"/>
      <c r="L48" s="75"/>
      <c r="M48" s="75"/>
      <c r="N48" s="75"/>
      <c r="O48" s="75"/>
      <c r="P48" s="75"/>
      <c r="Q48" s="75"/>
      <c r="R48" s="75"/>
      <c r="S48" s="75"/>
      <c r="T48" s="75"/>
    </row>
    <row r="49" spans="1:20" x14ac:dyDescent="0.35">
      <c r="A49" s="75"/>
      <c r="B49" s="75"/>
      <c r="C49" s="75"/>
      <c r="D49" s="75"/>
      <c r="E49" s="75"/>
      <c r="F49" s="75"/>
      <c r="G49" s="75"/>
      <c r="H49" s="75"/>
      <c r="I49" s="75"/>
      <c r="J49" s="75"/>
      <c r="K49" s="75"/>
      <c r="L49" s="75"/>
      <c r="M49" s="75"/>
      <c r="N49" s="75"/>
      <c r="O49" s="75"/>
      <c r="P49" s="75"/>
      <c r="Q49" s="75"/>
      <c r="R49" s="75"/>
      <c r="S49" s="75"/>
      <c r="T49" s="75"/>
    </row>
    <row r="50" spans="1:20" x14ac:dyDescent="0.35">
      <c r="A50" s="75"/>
      <c r="B50" s="75"/>
      <c r="C50" s="75"/>
      <c r="D50" s="75"/>
      <c r="E50" s="75"/>
      <c r="F50" s="75"/>
      <c r="G50" s="75"/>
      <c r="H50" s="75"/>
      <c r="I50" s="75"/>
      <c r="J50" s="75"/>
      <c r="K50" s="75"/>
      <c r="L50" s="75"/>
      <c r="M50" s="75"/>
      <c r="N50" s="75"/>
      <c r="O50" s="75"/>
      <c r="P50" s="75"/>
      <c r="Q50" s="75"/>
      <c r="R50" s="75"/>
      <c r="S50" s="75"/>
      <c r="T50" s="75"/>
    </row>
    <row r="51" spans="1:20" x14ac:dyDescent="0.35">
      <c r="A51" s="75"/>
      <c r="B51" s="75"/>
      <c r="C51" s="75"/>
      <c r="D51" s="75"/>
      <c r="E51" s="75"/>
      <c r="F51" s="75"/>
      <c r="G51" s="75"/>
      <c r="H51" s="75"/>
      <c r="I51" s="75"/>
      <c r="J51" s="75"/>
      <c r="K51" s="75"/>
      <c r="L51" s="75"/>
      <c r="M51" s="75"/>
      <c r="N51" s="75"/>
      <c r="O51" s="75"/>
      <c r="P51" s="75"/>
      <c r="Q51" s="75"/>
      <c r="R51" s="75"/>
      <c r="S51" s="75"/>
      <c r="T51" s="75"/>
    </row>
    <row r="52" spans="1:20" x14ac:dyDescent="0.35">
      <c r="A52" s="75"/>
      <c r="B52" s="75"/>
      <c r="C52" s="75"/>
      <c r="D52" s="75"/>
      <c r="E52" s="75"/>
      <c r="F52" s="75"/>
      <c r="G52" s="75"/>
      <c r="H52" s="75"/>
      <c r="I52" s="75"/>
      <c r="J52" s="75"/>
      <c r="K52" s="75"/>
      <c r="L52" s="75"/>
      <c r="M52" s="75"/>
      <c r="N52" s="75"/>
      <c r="O52" s="75"/>
      <c r="P52" s="75"/>
      <c r="Q52" s="75"/>
      <c r="R52" s="75"/>
      <c r="S52" s="75"/>
      <c r="T52" s="75"/>
    </row>
    <row r="53" spans="1:20" x14ac:dyDescent="0.35">
      <c r="A53" s="75"/>
      <c r="B53" s="75"/>
      <c r="C53" s="75"/>
      <c r="D53" s="75"/>
      <c r="E53" s="75"/>
      <c r="F53" s="75"/>
      <c r="G53" s="75"/>
      <c r="H53" s="75"/>
      <c r="I53" s="75"/>
      <c r="J53" s="75"/>
      <c r="K53" s="75"/>
      <c r="L53" s="75"/>
      <c r="M53" s="75"/>
      <c r="N53" s="75"/>
      <c r="O53" s="75"/>
      <c r="P53" s="75"/>
      <c r="Q53" s="75"/>
      <c r="R53" s="75"/>
      <c r="S53" s="75"/>
      <c r="T53" s="75"/>
    </row>
    <row r="54" spans="1:20" x14ac:dyDescent="0.35">
      <c r="A54" s="75"/>
      <c r="B54" s="75"/>
      <c r="C54" s="75"/>
      <c r="D54" s="75"/>
      <c r="E54" s="75"/>
      <c r="F54" s="75"/>
      <c r="G54" s="75"/>
      <c r="H54" s="75"/>
      <c r="I54" s="75"/>
      <c r="J54" s="75"/>
      <c r="K54" s="75"/>
      <c r="L54" s="75"/>
      <c r="M54" s="75"/>
      <c r="N54" s="75"/>
      <c r="O54" s="75"/>
      <c r="P54" s="75"/>
      <c r="Q54" s="75"/>
      <c r="R54" s="75"/>
      <c r="S54" s="75"/>
      <c r="T54" s="75"/>
    </row>
    <row r="55" spans="1:20" x14ac:dyDescent="0.35">
      <c r="A55" s="75"/>
      <c r="B55" s="75"/>
      <c r="C55" s="75"/>
      <c r="D55" s="75"/>
      <c r="E55" s="75"/>
      <c r="F55" s="75"/>
      <c r="G55" s="75"/>
      <c r="H55" s="75"/>
      <c r="I55" s="75"/>
      <c r="J55" s="75"/>
      <c r="K55" s="75"/>
      <c r="L55" s="75"/>
      <c r="M55" s="75"/>
      <c r="N55" s="75"/>
      <c r="O55" s="75"/>
      <c r="P55" s="75"/>
      <c r="Q55" s="75"/>
      <c r="R55" s="75"/>
      <c r="S55" s="75"/>
      <c r="T55" s="75"/>
    </row>
    <row r="56" spans="1:20" x14ac:dyDescent="0.35">
      <c r="A56" s="75"/>
      <c r="B56" s="75"/>
      <c r="C56" s="75"/>
      <c r="D56" s="75"/>
      <c r="E56" s="75"/>
      <c r="F56" s="75"/>
      <c r="G56" s="75"/>
      <c r="H56" s="75"/>
      <c r="I56" s="75"/>
      <c r="J56" s="75"/>
      <c r="K56" s="75"/>
      <c r="L56" s="75"/>
      <c r="M56" s="75"/>
      <c r="N56" s="75"/>
      <c r="O56" s="75"/>
      <c r="P56" s="75"/>
      <c r="Q56" s="75"/>
      <c r="R56" s="75"/>
      <c r="S56" s="75"/>
      <c r="T56" s="75"/>
    </row>
    <row r="57" spans="1:20" x14ac:dyDescent="0.35">
      <c r="A57" s="75"/>
      <c r="B57" s="75"/>
      <c r="C57" s="75"/>
      <c r="D57" s="75"/>
      <c r="E57" s="75"/>
      <c r="F57" s="75"/>
      <c r="G57" s="75"/>
      <c r="H57" s="75"/>
      <c r="I57" s="75"/>
      <c r="J57" s="75"/>
      <c r="K57" s="75"/>
      <c r="L57" s="75"/>
      <c r="M57" s="75"/>
      <c r="N57" s="75"/>
      <c r="O57" s="75"/>
      <c r="P57" s="75"/>
      <c r="Q57" s="75"/>
      <c r="R57" s="75"/>
      <c r="S57" s="75"/>
      <c r="T57" s="75"/>
    </row>
    <row r="58" spans="1:20" x14ac:dyDescent="0.35">
      <c r="A58" s="75"/>
      <c r="B58" s="75"/>
      <c r="C58" s="75"/>
      <c r="D58" s="75"/>
      <c r="E58" s="75"/>
      <c r="F58" s="75"/>
      <c r="G58" s="75"/>
      <c r="H58" s="75"/>
      <c r="I58" s="75"/>
      <c r="J58" s="75"/>
      <c r="K58" s="75"/>
      <c r="L58" s="75"/>
      <c r="M58" s="75"/>
      <c r="N58" s="75"/>
      <c r="O58" s="75"/>
      <c r="P58" s="75"/>
      <c r="Q58" s="75"/>
      <c r="R58" s="75"/>
      <c r="S58" s="75"/>
      <c r="T58" s="75"/>
    </row>
    <row r="59" spans="1:20" x14ac:dyDescent="0.35">
      <c r="A59" s="75"/>
      <c r="B59" s="75"/>
      <c r="C59" s="75"/>
      <c r="D59" s="75"/>
      <c r="E59" s="75"/>
      <c r="F59" s="75"/>
      <c r="G59" s="75"/>
      <c r="H59" s="75"/>
      <c r="I59" s="75"/>
      <c r="J59" s="75"/>
      <c r="K59" s="75"/>
      <c r="L59" s="75"/>
      <c r="M59" s="75"/>
      <c r="N59" s="75"/>
      <c r="O59" s="75"/>
      <c r="P59" s="75"/>
      <c r="Q59" s="75"/>
      <c r="R59" s="75"/>
      <c r="S59" s="75"/>
      <c r="T59" s="75"/>
    </row>
    <row r="60" spans="1:20" x14ac:dyDescent="0.35">
      <c r="A60" s="75"/>
      <c r="B60" s="75"/>
      <c r="C60" s="75"/>
      <c r="D60" s="75"/>
      <c r="E60" s="75"/>
      <c r="F60" s="75"/>
      <c r="G60" s="75"/>
      <c r="H60" s="75"/>
      <c r="I60" s="75"/>
      <c r="J60" s="75"/>
      <c r="K60" s="75"/>
      <c r="L60" s="75"/>
      <c r="M60" s="75"/>
      <c r="N60" s="75"/>
      <c r="O60" s="75"/>
      <c r="P60" s="75"/>
      <c r="Q60" s="75"/>
      <c r="R60" s="75"/>
      <c r="S60" s="75"/>
      <c r="T60" s="75"/>
    </row>
    <row r="61" spans="1:20" x14ac:dyDescent="0.35">
      <c r="A61" s="75"/>
      <c r="B61" s="75"/>
      <c r="C61" s="75"/>
      <c r="D61" s="75"/>
      <c r="E61" s="75"/>
      <c r="F61" s="75"/>
      <c r="G61" s="75"/>
      <c r="H61" s="75"/>
      <c r="I61" s="75"/>
      <c r="J61" s="75"/>
      <c r="K61" s="75"/>
      <c r="L61" s="75"/>
      <c r="M61" s="75"/>
      <c r="N61" s="75"/>
      <c r="O61" s="75"/>
      <c r="P61" s="75"/>
      <c r="Q61" s="75"/>
      <c r="R61" s="75"/>
      <c r="S61" s="75"/>
      <c r="T61" s="75"/>
    </row>
    <row r="62" spans="1:20" x14ac:dyDescent="0.35">
      <c r="A62" s="75"/>
      <c r="B62" s="75"/>
      <c r="C62" s="75"/>
      <c r="D62" s="75"/>
      <c r="E62" s="75"/>
      <c r="F62" s="75"/>
      <c r="G62" s="75"/>
      <c r="H62" s="75"/>
      <c r="I62" s="75"/>
      <c r="J62" s="75"/>
      <c r="K62" s="75"/>
      <c r="L62" s="75"/>
      <c r="M62" s="75"/>
      <c r="N62" s="75"/>
      <c r="O62" s="75"/>
      <c r="P62" s="75"/>
      <c r="Q62" s="75"/>
      <c r="R62" s="75"/>
      <c r="S62" s="75"/>
      <c r="T62" s="75"/>
    </row>
    <row r="63" spans="1:20" x14ac:dyDescent="0.35">
      <c r="A63" s="75"/>
      <c r="B63" s="75"/>
      <c r="C63" s="75"/>
      <c r="D63" s="75"/>
      <c r="E63" s="75"/>
      <c r="F63" s="75"/>
      <c r="G63" s="75"/>
      <c r="H63" s="75"/>
      <c r="I63" s="75"/>
      <c r="J63" s="75"/>
      <c r="K63" s="75"/>
      <c r="L63" s="75"/>
      <c r="M63" s="75"/>
      <c r="N63" s="75"/>
      <c r="O63" s="75"/>
      <c r="P63" s="75"/>
      <c r="Q63" s="75"/>
      <c r="R63" s="75"/>
      <c r="S63" s="75"/>
      <c r="T63" s="75"/>
    </row>
    <row r="64" spans="1:20" x14ac:dyDescent="0.35">
      <c r="A64" s="75"/>
      <c r="B64" s="75"/>
      <c r="C64" s="75"/>
      <c r="D64" s="75"/>
      <c r="E64" s="75"/>
      <c r="F64" s="75"/>
      <c r="G64" s="75"/>
      <c r="H64" s="75"/>
      <c r="I64" s="75"/>
      <c r="J64" s="75"/>
      <c r="K64" s="75"/>
      <c r="L64" s="75"/>
      <c r="M64" s="75"/>
      <c r="N64" s="75"/>
      <c r="O64" s="75"/>
      <c r="P64" s="75"/>
      <c r="Q64" s="75"/>
      <c r="R64" s="75"/>
      <c r="S64" s="75"/>
      <c r="T64" s="75"/>
    </row>
    <row r="65" spans="1:20" x14ac:dyDescent="0.35">
      <c r="A65" s="75"/>
      <c r="B65" s="75"/>
      <c r="C65" s="75"/>
      <c r="D65" s="75"/>
      <c r="E65" s="75"/>
      <c r="F65" s="75"/>
      <c r="G65" s="75"/>
      <c r="H65" s="75"/>
      <c r="I65" s="75"/>
      <c r="J65" s="75"/>
      <c r="K65" s="75"/>
      <c r="L65" s="75"/>
      <c r="M65" s="75"/>
      <c r="N65" s="75"/>
      <c r="O65" s="75"/>
      <c r="P65" s="75"/>
      <c r="Q65" s="75"/>
      <c r="R65" s="75"/>
      <c r="S65" s="75"/>
      <c r="T65" s="75"/>
    </row>
    <row r="66" spans="1:20" x14ac:dyDescent="0.35">
      <c r="A66" s="75"/>
      <c r="B66" s="75"/>
      <c r="C66" s="75"/>
      <c r="D66" s="75"/>
      <c r="E66" s="75"/>
      <c r="F66" s="75"/>
      <c r="G66" s="75"/>
      <c r="H66" s="75"/>
      <c r="I66" s="75"/>
      <c r="J66" s="75"/>
      <c r="K66" s="75"/>
      <c r="L66" s="75"/>
      <c r="M66" s="75"/>
      <c r="N66" s="75"/>
      <c r="O66" s="75"/>
      <c r="P66" s="75"/>
      <c r="Q66" s="75"/>
      <c r="R66" s="75"/>
      <c r="S66" s="75"/>
      <c r="T66" s="75"/>
    </row>
    <row r="67" spans="1:20" x14ac:dyDescent="0.35">
      <c r="A67" s="75"/>
      <c r="B67" s="75"/>
      <c r="C67" s="75"/>
      <c r="D67" s="75"/>
      <c r="E67" s="75"/>
      <c r="F67" s="75"/>
      <c r="G67" s="75"/>
      <c r="H67" s="75"/>
      <c r="I67" s="75"/>
      <c r="J67" s="75"/>
      <c r="K67" s="75"/>
      <c r="L67" s="75"/>
      <c r="M67" s="75"/>
      <c r="N67" s="75"/>
      <c r="O67" s="75"/>
      <c r="P67" s="75"/>
      <c r="Q67" s="75"/>
      <c r="R67" s="75"/>
      <c r="S67" s="75"/>
      <c r="T67" s="75"/>
    </row>
    <row r="68" spans="1:20" x14ac:dyDescent="0.35">
      <c r="A68" s="75"/>
      <c r="B68" s="75"/>
      <c r="C68" s="75"/>
      <c r="D68" s="75"/>
      <c r="E68" s="75"/>
      <c r="F68" s="75"/>
      <c r="G68" s="75"/>
      <c r="H68" s="75"/>
      <c r="I68" s="75"/>
      <c r="J68" s="75"/>
      <c r="K68" s="75"/>
      <c r="L68" s="75"/>
      <c r="M68" s="75"/>
      <c r="N68" s="75"/>
      <c r="O68" s="75"/>
      <c r="P68" s="75"/>
      <c r="Q68" s="75"/>
      <c r="R68" s="75"/>
      <c r="S68" s="75"/>
      <c r="T68" s="75"/>
    </row>
    <row r="69" spans="1:20" x14ac:dyDescent="0.35">
      <c r="A69" s="75"/>
      <c r="B69" s="75"/>
      <c r="C69" s="75"/>
      <c r="D69" s="75"/>
      <c r="E69" s="75"/>
      <c r="F69" s="75"/>
      <c r="G69" s="75"/>
      <c r="H69" s="75"/>
      <c r="I69" s="75"/>
      <c r="J69" s="75"/>
      <c r="K69" s="75"/>
      <c r="L69" s="75"/>
      <c r="M69" s="75"/>
      <c r="N69" s="75"/>
      <c r="O69" s="75"/>
      <c r="P69" s="75"/>
      <c r="Q69" s="75"/>
      <c r="R69" s="75"/>
      <c r="S69" s="75"/>
      <c r="T69" s="75"/>
    </row>
    <row r="70" spans="1:20" x14ac:dyDescent="0.35">
      <c r="A70" s="75"/>
      <c r="B70" s="75"/>
      <c r="C70" s="75"/>
      <c r="D70" s="75"/>
      <c r="E70" s="75"/>
      <c r="F70" s="75"/>
      <c r="G70" s="75"/>
      <c r="H70" s="75"/>
      <c r="I70" s="75"/>
      <c r="J70" s="75"/>
      <c r="K70" s="75"/>
      <c r="L70" s="75"/>
      <c r="M70" s="75"/>
      <c r="N70" s="75"/>
      <c r="O70" s="75"/>
      <c r="P70" s="75"/>
      <c r="Q70" s="75"/>
      <c r="R70" s="75"/>
      <c r="S70" s="75"/>
      <c r="T70" s="75"/>
    </row>
    <row r="71" spans="1:20" x14ac:dyDescent="0.35">
      <c r="A71" s="75"/>
      <c r="B71" s="75"/>
      <c r="C71" s="75"/>
      <c r="D71" s="75"/>
      <c r="E71" s="75"/>
      <c r="F71" s="75"/>
      <c r="G71" s="75"/>
      <c r="H71" s="75"/>
      <c r="I71" s="75"/>
      <c r="J71" s="75"/>
      <c r="K71" s="75"/>
      <c r="L71" s="75"/>
      <c r="M71" s="75"/>
      <c r="N71" s="75"/>
      <c r="O71" s="75"/>
      <c r="P71" s="75"/>
      <c r="Q71" s="75"/>
      <c r="R71" s="75"/>
      <c r="S71" s="75"/>
      <c r="T71" s="75"/>
    </row>
    <row r="72" spans="1:20" x14ac:dyDescent="0.35">
      <c r="A72" s="75"/>
      <c r="B72" s="75"/>
      <c r="C72" s="75"/>
      <c r="D72" s="75"/>
      <c r="E72" s="75"/>
      <c r="F72" s="75"/>
      <c r="G72" s="75"/>
      <c r="H72" s="75"/>
      <c r="I72" s="75"/>
      <c r="J72" s="75"/>
      <c r="K72" s="75"/>
      <c r="L72" s="75"/>
      <c r="M72" s="75"/>
      <c r="N72" s="75"/>
      <c r="O72" s="75"/>
      <c r="P72" s="75"/>
      <c r="Q72" s="75"/>
      <c r="R72" s="75"/>
      <c r="S72" s="75"/>
      <c r="T72" s="75"/>
    </row>
    <row r="73" spans="1:20" x14ac:dyDescent="0.35">
      <c r="A73" s="75"/>
      <c r="B73" s="75"/>
      <c r="C73" s="75"/>
      <c r="D73" s="75"/>
      <c r="E73" s="75"/>
      <c r="F73" s="75"/>
      <c r="G73" s="75"/>
      <c r="H73" s="75"/>
      <c r="I73" s="75"/>
      <c r="J73" s="75"/>
      <c r="K73" s="75"/>
      <c r="L73" s="75"/>
      <c r="M73" s="75"/>
      <c r="N73" s="75"/>
      <c r="O73" s="75"/>
      <c r="P73" s="75"/>
      <c r="Q73" s="75"/>
      <c r="R73" s="75"/>
      <c r="S73" s="75"/>
      <c r="T73" s="75"/>
    </row>
    <row r="74" spans="1:20" x14ac:dyDescent="0.35">
      <c r="A74" s="75"/>
      <c r="B74" s="75"/>
      <c r="C74" s="75"/>
      <c r="D74" s="75"/>
      <c r="E74" s="75"/>
      <c r="F74" s="75"/>
      <c r="G74" s="75"/>
      <c r="H74" s="75"/>
      <c r="I74" s="75"/>
      <c r="J74" s="75"/>
      <c r="K74" s="75"/>
      <c r="L74" s="75"/>
      <c r="M74" s="75"/>
      <c r="N74" s="75"/>
      <c r="O74" s="75"/>
      <c r="P74" s="75"/>
      <c r="Q74" s="75"/>
      <c r="R74" s="75"/>
      <c r="S74" s="75"/>
      <c r="T74" s="75"/>
    </row>
    <row r="75" spans="1:20" x14ac:dyDescent="0.35">
      <c r="A75" s="75"/>
      <c r="B75" s="75"/>
      <c r="C75" s="75"/>
      <c r="D75" s="75"/>
      <c r="E75" s="75"/>
      <c r="F75" s="75"/>
      <c r="G75" s="75"/>
      <c r="H75" s="75"/>
      <c r="I75" s="75"/>
      <c r="J75" s="75"/>
      <c r="K75" s="75"/>
      <c r="L75" s="75"/>
      <c r="M75" s="75"/>
      <c r="N75" s="75"/>
      <c r="O75" s="75"/>
      <c r="P75" s="75"/>
      <c r="Q75" s="75"/>
      <c r="R75" s="75"/>
      <c r="S75" s="75"/>
      <c r="T75" s="75"/>
    </row>
    <row r="76" spans="1:20" x14ac:dyDescent="0.35">
      <c r="A76" s="75"/>
      <c r="B76" s="75"/>
      <c r="C76" s="75"/>
      <c r="D76" s="75"/>
      <c r="E76" s="75"/>
      <c r="F76" s="75"/>
      <c r="G76" s="75"/>
      <c r="H76" s="75"/>
      <c r="I76" s="75"/>
      <c r="J76" s="75"/>
      <c r="K76" s="75"/>
      <c r="L76" s="75"/>
      <c r="M76" s="75"/>
      <c r="N76" s="75"/>
      <c r="O76" s="75"/>
      <c r="P76" s="75"/>
      <c r="Q76" s="75"/>
      <c r="R76" s="75"/>
      <c r="S76" s="75"/>
      <c r="T76" s="75"/>
    </row>
    <row r="77" spans="1:20" x14ac:dyDescent="0.35">
      <c r="A77" s="75"/>
      <c r="B77" s="75"/>
      <c r="C77" s="75"/>
      <c r="D77" s="75"/>
      <c r="E77" s="75"/>
      <c r="F77" s="75"/>
      <c r="G77" s="75"/>
      <c r="H77" s="75"/>
      <c r="I77" s="75"/>
      <c r="J77" s="75"/>
      <c r="K77" s="75"/>
      <c r="L77" s="75"/>
      <c r="M77" s="75"/>
      <c r="N77" s="75"/>
      <c r="O77" s="75"/>
      <c r="P77" s="75"/>
      <c r="Q77" s="75"/>
      <c r="R77" s="75"/>
      <c r="S77" s="75"/>
      <c r="T77" s="75"/>
    </row>
    <row r="78" spans="1:20" x14ac:dyDescent="0.35">
      <c r="A78" s="75"/>
      <c r="B78" s="75"/>
      <c r="C78" s="75"/>
      <c r="D78" s="75"/>
      <c r="E78" s="75"/>
      <c r="F78" s="75"/>
      <c r="G78" s="75"/>
      <c r="H78" s="75"/>
      <c r="I78" s="75"/>
      <c r="J78" s="75"/>
      <c r="K78" s="75"/>
      <c r="L78" s="75"/>
      <c r="M78" s="75"/>
      <c r="N78" s="75"/>
      <c r="O78" s="75"/>
      <c r="P78" s="75"/>
      <c r="Q78" s="75"/>
      <c r="R78" s="75"/>
      <c r="S78" s="75"/>
      <c r="T78" s="75"/>
    </row>
    <row r="79" spans="1:20" x14ac:dyDescent="0.35">
      <c r="A79" s="75"/>
      <c r="B79" s="75"/>
      <c r="C79" s="75"/>
      <c r="D79" s="75"/>
      <c r="E79" s="75"/>
      <c r="F79" s="75"/>
      <c r="G79" s="75"/>
      <c r="H79" s="75"/>
      <c r="I79" s="75"/>
      <c r="J79" s="75"/>
      <c r="K79" s="75"/>
      <c r="L79" s="75"/>
      <c r="M79" s="75"/>
      <c r="N79" s="75"/>
      <c r="O79" s="75"/>
      <c r="P79" s="75"/>
      <c r="Q79" s="75"/>
      <c r="R79" s="75"/>
      <c r="S79" s="75"/>
      <c r="T79" s="75"/>
    </row>
    <row r="80" spans="1:20" x14ac:dyDescent="0.35">
      <c r="A80" s="75"/>
      <c r="B80" s="75"/>
      <c r="C80" s="75"/>
      <c r="D80" s="75"/>
      <c r="E80" s="75"/>
      <c r="F80" s="75"/>
      <c r="G80" s="75"/>
      <c r="H80" s="75"/>
      <c r="I80" s="75"/>
      <c r="J80" s="75"/>
      <c r="K80" s="75"/>
      <c r="L80" s="75"/>
      <c r="M80" s="75"/>
      <c r="N80" s="75"/>
      <c r="O80" s="75"/>
      <c r="P80" s="75"/>
      <c r="Q80" s="75"/>
      <c r="R80" s="75"/>
      <c r="S80" s="75"/>
      <c r="T80" s="75"/>
    </row>
    <row r="81" spans="1:20" x14ac:dyDescent="0.35">
      <c r="A81" s="75"/>
      <c r="B81" s="75"/>
      <c r="C81" s="75"/>
      <c r="D81" s="75"/>
      <c r="E81" s="75"/>
      <c r="F81" s="75"/>
      <c r="G81" s="75"/>
      <c r="H81" s="75"/>
      <c r="I81" s="75"/>
      <c r="J81" s="75"/>
      <c r="K81" s="75"/>
      <c r="L81" s="75"/>
      <c r="M81" s="75"/>
      <c r="N81" s="75"/>
      <c r="O81" s="75"/>
      <c r="P81" s="75"/>
      <c r="Q81" s="75"/>
      <c r="R81" s="75"/>
      <c r="S81" s="75"/>
      <c r="T81" s="75"/>
    </row>
    <row r="82" spans="1:20" x14ac:dyDescent="0.35">
      <c r="A82" s="75"/>
      <c r="B82" s="75"/>
      <c r="C82" s="75"/>
      <c r="D82" s="75"/>
      <c r="E82" s="75"/>
      <c r="F82" s="75"/>
      <c r="G82" s="75"/>
      <c r="H82" s="75"/>
      <c r="I82" s="75"/>
      <c r="J82" s="75"/>
      <c r="K82" s="75"/>
      <c r="L82" s="75"/>
      <c r="M82" s="75"/>
      <c r="N82" s="75"/>
      <c r="O82" s="75"/>
      <c r="P82" s="75"/>
      <c r="Q82" s="75"/>
      <c r="R82" s="75"/>
      <c r="S82" s="75"/>
      <c r="T82" s="75"/>
    </row>
    <row r="83" spans="1:20" x14ac:dyDescent="0.35">
      <c r="A83" s="75"/>
      <c r="B83" s="75"/>
      <c r="C83" s="75"/>
      <c r="D83" s="75"/>
      <c r="E83" s="75"/>
      <c r="F83" s="75"/>
      <c r="G83" s="75"/>
      <c r="H83" s="75"/>
      <c r="I83" s="75"/>
      <c r="J83" s="75"/>
      <c r="K83" s="75"/>
      <c r="L83" s="75"/>
      <c r="M83" s="75"/>
      <c r="N83" s="75"/>
      <c r="O83" s="75"/>
      <c r="P83" s="75"/>
      <c r="Q83" s="75"/>
      <c r="R83" s="75"/>
      <c r="S83" s="75"/>
      <c r="T83" s="75"/>
    </row>
    <row r="84" spans="1:20" x14ac:dyDescent="0.35">
      <c r="A84" s="75"/>
      <c r="B84" s="75"/>
      <c r="C84" s="75"/>
      <c r="D84" s="75"/>
      <c r="E84" s="75"/>
      <c r="F84" s="75"/>
      <c r="G84" s="75"/>
      <c r="H84" s="75"/>
      <c r="I84" s="75"/>
      <c r="J84" s="75"/>
      <c r="K84" s="75"/>
      <c r="L84" s="75"/>
      <c r="M84" s="75"/>
      <c r="N84" s="75"/>
      <c r="O84" s="75"/>
      <c r="P84" s="75"/>
      <c r="Q84" s="75"/>
      <c r="R84" s="75"/>
      <c r="S84" s="75"/>
      <c r="T84" s="75"/>
    </row>
    <row r="85" spans="1:20" x14ac:dyDescent="0.35">
      <c r="A85" s="75"/>
      <c r="B85" s="75"/>
      <c r="C85" s="75"/>
      <c r="D85" s="75"/>
      <c r="E85" s="75"/>
      <c r="F85" s="75"/>
      <c r="G85" s="75"/>
      <c r="H85" s="75"/>
      <c r="I85" s="75"/>
      <c r="J85" s="75"/>
      <c r="K85" s="75"/>
      <c r="L85" s="75"/>
      <c r="M85" s="75"/>
      <c r="N85" s="75"/>
      <c r="O85" s="75"/>
      <c r="P85" s="75"/>
      <c r="Q85" s="75"/>
      <c r="R85" s="75"/>
      <c r="S85" s="75"/>
      <c r="T85" s="75"/>
    </row>
    <row r="86" spans="1:20" x14ac:dyDescent="0.35">
      <c r="A86" s="75"/>
      <c r="B86" s="75"/>
      <c r="C86" s="75"/>
      <c r="D86" s="75"/>
      <c r="E86" s="75"/>
      <c r="F86" s="75"/>
      <c r="G86" s="75"/>
      <c r="H86" s="75"/>
      <c r="I86" s="75"/>
      <c r="J86" s="75"/>
      <c r="K86" s="75"/>
      <c r="L86" s="75"/>
      <c r="M86" s="75"/>
      <c r="N86" s="75"/>
      <c r="O86" s="75"/>
      <c r="P86" s="75"/>
      <c r="Q86" s="75"/>
      <c r="R86" s="75"/>
      <c r="S86" s="75"/>
      <c r="T86" s="75"/>
    </row>
    <row r="87" spans="1:20" x14ac:dyDescent="0.35">
      <c r="A87" s="75"/>
      <c r="B87" s="75"/>
      <c r="C87" s="75"/>
      <c r="D87" s="75"/>
      <c r="E87" s="75"/>
      <c r="F87" s="75"/>
      <c r="G87" s="75"/>
      <c r="H87" s="75"/>
      <c r="I87" s="75"/>
      <c r="J87" s="75"/>
      <c r="K87" s="75"/>
      <c r="L87" s="75"/>
      <c r="M87" s="75"/>
      <c r="N87" s="75"/>
      <c r="O87" s="75"/>
      <c r="P87" s="75"/>
      <c r="Q87" s="75"/>
      <c r="R87" s="75"/>
      <c r="S87" s="75"/>
      <c r="T87" s="75"/>
    </row>
    <row r="88" spans="1:20" x14ac:dyDescent="0.35">
      <c r="A88" s="75"/>
      <c r="B88" s="75"/>
      <c r="C88" s="75"/>
      <c r="D88" s="75"/>
      <c r="E88" s="75"/>
      <c r="F88" s="75"/>
      <c r="G88" s="75"/>
      <c r="H88" s="75"/>
      <c r="I88" s="75"/>
      <c r="J88" s="75"/>
      <c r="K88" s="75"/>
      <c r="L88" s="75"/>
      <c r="M88" s="75"/>
      <c r="N88" s="75"/>
      <c r="O88" s="75"/>
      <c r="P88" s="75"/>
      <c r="Q88" s="75"/>
      <c r="R88" s="75"/>
      <c r="S88" s="75"/>
      <c r="T88" s="75"/>
    </row>
    <row r="89" spans="1:20" x14ac:dyDescent="0.35">
      <c r="A89" s="75"/>
      <c r="B89" s="75"/>
      <c r="C89" s="75"/>
      <c r="D89" s="75"/>
      <c r="E89" s="75"/>
      <c r="F89" s="75"/>
      <c r="G89" s="75"/>
      <c r="H89" s="75"/>
      <c r="I89" s="75"/>
      <c r="J89" s="75"/>
      <c r="K89" s="75"/>
      <c r="L89" s="75"/>
      <c r="M89" s="75"/>
      <c r="N89" s="75"/>
      <c r="O89" s="75"/>
      <c r="P89" s="75"/>
      <c r="Q89" s="75"/>
      <c r="R89" s="75"/>
      <c r="S89" s="75"/>
      <c r="T89" s="75"/>
    </row>
    <row r="90" spans="1:20" x14ac:dyDescent="0.35">
      <c r="A90" s="75"/>
      <c r="B90" s="75"/>
      <c r="C90" s="75"/>
      <c r="D90" s="75"/>
      <c r="E90" s="75"/>
      <c r="F90" s="75"/>
      <c r="G90" s="75"/>
      <c r="H90" s="75"/>
      <c r="I90" s="75"/>
      <c r="J90" s="75"/>
      <c r="K90" s="75"/>
      <c r="L90" s="75"/>
      <c r="M90" s="75"/>
      <c r="N90" s="75"/>
      <c r="O90" s="75"/>
      <c r="P90" s="75"/>
      <c r="Q90" s="75"/>
      <c r="R90" s="75"/>
      <c r="S90" s="75"/>
      <c r="T90" s="75"/>
    </row>
    <row r="91" spans="1:20" x14ac:dyDescent="0.35">
      <c r="A91" s="75"/>
      <c r="B91" s="75"/>
      <c r="C91" s="75"/>
      <c r="D91" s="75"/>
      <c r="E91" s="75"/>
      <c r="F91" s="75"/>
      <c r="G91" s="75"/>
      <c r="H91" s="75"/>
      <c r="I91" s="75"/>
      <c r="J91" s="75"/>
      <c r="K91" s="75"/>
      <c r="L91" s="75"/>
      <c r="M91" s="75"/>
      <c r="N91" s="75"/>
      <c r="O91" s="75"/>
      <c r="P91" s="75"/>
      <c r="Q91" s="75"/>
      <c r="R91" s="75"/>
      <c r="S91" s="75"/>
      <c r="T91" s="75"/>
    </row>
    <row r="92" spans="1:20" x14ac:dyDescent="0.35">
      <c r="A92" s="75"/>
      <c r="B92" s="75"/>
      <c r="C92" s="75"/>
      <c r="D92" s="75"/>
      <c r="E92" s="75"/>
      <c r="F92" s="75"/>
      <c r="G92" s="75"/>
      <c r="H92" s="75"/>
      <c r="I92" s="75"/>
      <c r="J92" s="75"/>
      <c r="K92" s="75"/>
      <c r="L92" s="75"/>
      <c r="M92" s="75"/>
      <c r="N92" s="75"/>
      <c r="O92" s="75"/>
      <c r="P92" s="75"/>
      <c r="Q92" s="75"/>
      <c r="R92" s="75"/>
      <c r="S92" s="75"/>
      <c r="T92" s="75"/>
    </row>
    <row r="93" spans="1:20" x14ac:dyDescent="0.35">
      <c r="A93" s="75"/>
      <c r="B93" s="75"/>
      <c r="C93" s="75"/>
      <c r="D93" s="75"/>
      <c r="E93" s="75"/>
      <c r="F93" s="75"/>
      <c r="G93" s="75"/>
      <c r="H93" s="75"/>
      <c r="I93" s="75"/>
      <c r="J93" s="75"/>
      <c r="K93" s="75"/>
      <c r="L93" s="75"/>
      <c r="M93" s="75"/>
      <c r="N93" s="75"/>
      <c r="O93" s="75"/>
      <c r="P93" s="75"/>
      <c r="Q93" s="75"/>
      <c r="R93" s="75"/>
      <c r="S93" s="75"/>
      <c r="T93" s="75"/>
    </row>
    <row r="94" spans="1:20" x14ac:dyDescent="0.35">
      <c r="A94" s="75"/>
      <c r="B94" s="75"/>
      <c r="C94" s="75"/>
      <c r="D94" s="75"/>
      <c r="E94" s="75"/>
      <c r="F94" s="75"/>
      <c r="G94" s="75"/>
      <c r="H94" s="75"/>
      <c r="I94" s="75"/>
      <c r="J94" s="75"/>
      <c r="K94" s="75"/>
      <c r="L94" s="75"/>
      <c r="M94" s="75"/>
      <c r="N94" s="75"/>
      <c r="O94" s="75"/>
      <c r="P94" s="75"/>
      <c r="Q94" s="75"/>
      <c r="R94" s="75"/>
      <c r="S94" s="75"/>
      <c r="T94" s="75"/>
    </row>
    <row r="95" spans="1:20" x14ac:dyDescent="0.35">
      <c r="A95" s="75"/>
      <c r="B95" s="75"/>
      <c r="C95" s="75"/>
      <c r="D95" s="75"/>
      <c r="E95" s="75"/>
      <c r="F95" s="75"/>
      <c r="G95" s="75"/>
      <c r="H95" s="75"/>
      <c r="I95" s="75"/>
      <c r="J95" s="75"/>
      <c r="K95" s="75"/>
      <c r="L95" s="75"/>
      <c r="M95" s="75"/>
      <c r="N95" s="75"/>
      <c r="O95" s="75"/>
      <c r="P95" s="75"/>
      <c r="Q95" s="75"/>
      <c r="R95" s="75"/>
      <c r="S95" s="75"/>
      <c r="T95" s="75"/>
    </row>
    <row r="96" spans="1:20" x14ac:dyDescent="0.35">
      <c r="A96" s="75"/>
      <c r="B96" s="75"/>
      <c r="C96" s="75"/>
      <c r="D96" s="75"/>
      <c r="E96" s="75"/>
      <c r="F96" s="75"/>
      <c r="G96" s="75"/>
      <c r="H96" s="75"/>
      <c r="I96" s="75"/>
      <c r="J96" s="75"/>
      <c r="K96" s="75"/>
      <c r="L96" s="75"/>
      <c r="M96" s="75"/>
      <c r="N96" s="75"/>
      <c r="O96" s="75"/>
      <c r="P96" s="75"/>
      <c r="Q96" s="75"/>
      <c r="R96" s="75"/>
      <c r="S96" s="75"/>
      <c r="T96" s="75"/>
    </row>
    <row r="97" spans="1:20" x14ac:dyDescent="0.35">
      <c r="A97" s="75"/>
      <c r="B97" s="75"/>
      <c r="C97" s="75"/>
      <c r="D97" s="75"/>
      <c r="E97" s="75"/>
      <c r="F97" s="75"/>
      <c r="G97" s="75"/>
      <c r="H97" s="75"/>
      <c r="I97" s="75"/>
      <c r="J97" s="75"/>
      <c r="K97" s="75"/>
      <c r="L97" s="75"/>
      <c r="M97" s="75"/>
      <c r="N97" s="75"/>
      <c r="O97" s="75"/>
      <c r="P97" s="75"/>
      <c r="Q97" s="75"/>
      <c r="R97" s="75"/>
      <c r="S97" s="75"/>
      <c r="T97" s="75"/>
    </row>
    <row r="98" spans="1:20" x14ac:dyDescent="0.35">
      <c r="A98" s="75"/>
      <c r="B98" s="75"/>
      <c r="C98" s="75"/>
      <c r="D98" s="75"/>
      <c r="E98" s="75"/>
      <c r="F98" s="75"/>
      <c r="G98" s="75"/>
      <c r="H98" s="75"/>
      <c r="I98" s="75"/>
      <c r="J98" s="75"/>
      <c r="K98" s="75"/>
      <c r="L98" s="75"/>
      <c r="M98" s="75"/>
      <c r="N98" s="75"/>
      <c r="O98" s="75"/>
      <c r="P98" s="75"/>
      <c r="Q98" s="75"/>
      <c r="R98" s="75"/>
      <c r="S98" s="75"/>
      <c r="T98" s="75"/>
    </row>
    <row r="99" spans="1:20" x14ac:dyDescent="0.35">
      <c r="A99" s="75"/>
      <c r="B99" s="75"/>
      <c r="C99" s="75"/>
      <c r="D99" s="75"/>
      <c r="E99" s="75"/>
      <c r="F99" s="75"/>
      <c r="G99" s="75"/>
      <c r="H99" s="75"/>
      <c r="I99" s="75"/>
      <c r="J99" s="75"/>
      <c r="K99" s="75"/>
      <c r="L99" s="75"/>
      <c r="M99" s="75"/>
      <c r="N99" s="75"/>
      <c r="O99" s="75"/>
      <c r="P99" s="75"/>
      <c r="Q99" s="75"/>
      <c r="R99" s="75"/>
      <c r="S99" s="75"/>
      <c r="T99" s="75"/>
    </row>
    <row r="100" spans="1:20" x14ac:dyDescent="0.35">
      <c r="A100" s="75"/>
      <c r="B100" s="75"/>
      <c r="C100" s="75"/>
      <c r="D100" s="75"/>
      <c r="E100" s="75"/>
      <c r="F100" s="75"/>
      <c r="G100" s="75"/>
      <c r="H100" s="75"/>
      <c r="I100" s="75"/>
      <c r="J100" s="75"/>
      <c r="K100" s="75"/>
      <c r="L100" s="75"/>
      <c r="M100" s="75"/>
      <c r="N100" s="75"/>
      <c r="O100" s="75"/>
      <c r="P100" s="75"/>
      <c r="Q100" s="75"/>
      <c r="R100" s="75"/>
      <c r="S100" s="75"/>
      <c r="T100" s="75"/>
    </row>
    <row r="101" spans="1:20" x14ac:dyDescent="0.35">
      <c r="A101" s="75"/>
      <c r="B101" s="75"/>
      <c r="C101" s="75"/>
      <c r="D101" s="75"/>
      <c r="E101" s="75"/>
      <c r="F101" s="75"/>
      <c r="G101" s="75"/>
      <c r="H101" s="75"/>
      <c r="I101" s="75"/>
      <c r="J101" s="75"/>
      <c r="K101" s="75"/>
      <c r="L101" s="75"/>
      <c r="M101" s="75"/>
      <c r="N101" s="75"/>
      <c r="O101" s="75"/>
      <c r="P101" s="75"/>
      <c r="Q101" s="75"/>
      <c r="R101" s="75"/>
      <c r="S101" s="75"/>
      <c r="T101" s="75"/>
    </row>
    <row r="102" spans="1:20" x14ac:dyDescent="0.35">
      <c r="A102" s="75"/>
      <c r="B102" s="75"/>
      <c r="C102" s="75"/>
      <c r="D102" s="75"/>
      <c r="E102" s="75"/>
      <c r="F102" s="75"/>
      <c r="G102" s="75"/>
      <c r="H102" s="75"/>
      <c r="I102" s="75"/>
      <c r="J102" s="75"/>
      <c r="K102" s="75"/>
      <c r="L102" s="75"/>
      <c r="M102" s="75"/>
      <c r="N102" s="75"/>
      <c r="O102" s="75"/>
      <c r="P102" s="75"/>
      <c r="Q102" s="75"/>
      <c r="R102" s="75"/>
      <c r="S102" s="75"/>
      <c r="T102" s="75"/>
    </row>
    <row r="103" spans="1:20" x14ac:dyDescent="0.35">
      <c r="A103" s="75"/>
      <c r="B103" s="75"/>
      <c r="C103" s="75"/>
      <c r="D103" s="75"/>
      <c r="E103" s="75"/>
      <c r="F103" s="75"/>
      <c r="G103" s="75"/>
      <c r="H103" s="75"/>
      <c r="I103" s="75"/>
      <c r="J103" s="75"/>
      <c r="K103" s="75"/>
      <c r="L103" s="75"/>
      <c r="M103" s="75"/>
      <c r="N103" s="75"/>
      <c r="O103" s="75"/>
      <c r="P103" s="75"/>
      <c r="Q103" s="75"/>
      <c r="R103" s="75"/>
      <c r="S103" s="75"/>
      <c r="T103" s="75"/>
    </row>
    <row r="104" spans="1:20" x14ac:dyDescent="0.35">
      <c r="A104" s="75"/>
      <c r="B104" s="75"/>
      <c r="C104" s="75"/>
      <c r="D104" s="75"/>
      <c r="E104" s="75"/>
      <c r="F104" s="75"/>
      <c r="G104" s="75"/>
      <c r="H104" s="75"/>
      <c r="I104" s="75"/>
      <c r="J104" s="75"/>
      <c r="K104" s="75"/>
      <c r="L104" s="75"/>
      <c r="M104" s="75"/>
      <c r="N104" s="75"/>
      <c r="O104" s="75"/>
      <c r="P104" s="75"/>
      <c r="Q104" s="75"/>
      <c r="R104" s="75"/>
      <c r="S104" s="75"/>
      <c r="T104" s="75"/>
    </row>
    <row r="105" spans="1:20" x14ac:dyDescent="0.35">
      <c r="A105" s="75"/>
      <c r="B105" s="75"/>
      <c r="C105" s="75"/>
      <c r="D105" s="75"/>
      <c r="E105" s="75"/>
      <c r="F105" s="75"/>
      <c r="G105" s="75"/>
      <c r="H105" s="75"/>
      <c r="I105" s="75"/>
      <c r="J105" s="75"/>
      <c r="K105" s="75"/>
      <c r="L105" s="75"/>
      <c r="M105" s="75"/>
      <c r="N105" s="75"/>
      <c r="O105" s="75"/>
      <c r="P105" s="75"/>
      <c r="Q105" s="75"/>
      <c r="R105" s="75"/>
      <c r="S105" s="75"/>
      <c r="T105" s="75"/>
    </row>
    <row r="106" spans="1:20" x14ac:dyDescent="0.35">
      <c r="A106" s="75"/>
      <c r="B106" s="75"/>
      <c r="C106" s="75"/>
      <c r="D106" s="75"/>
      <c r="E106" s="75"/>
      <c r="F106" s="75"/>
      <c r="G106" s="75"/>
      <c r="H106" s="75"/>
      <c r="I106" s="75"/>
      <c r="J106" s="75"/>
      <c r="K106" s="75"/>
      <c r="L106" s="75"/>
      <c r="M106" s="75"/>
      <c r="N106" s="75"/>
      <c r="O106" s="75"/>
      <c r="P106" s="75"/>
      <c r="Q106" s="75"/>
      <c r="R106" s="75"/>
      <c r="S106" s="75"/>
      <c r="T106" s="75"/>
    </row>
    <row r="107" spans="1:20" x14ac:dyDescent="0.35">
      <c r="A107" s="75"/>
      <c r="B107" s="75"/>
      <c r="C107" s="75"/>
      <c r="D107" s="75"/>
      <c r="E107" s="75"/>
      <c r="F107" s="75"/>
      <c r="G107" s="75"/>
      <c r="H107" s="75"/>
      <c r="I107" s="75"/>
      <c r="J107" s="75"/>
      <c r="K107" s="75"/>
      <c r="L107" s="75"/>
      <c r="M107" s="75"/>
      <c r="N107" s="75"/>
      <c r="O107" s="75"/>
      <c r="P107" s="75"/>
      <c r="Q107" s="75"/>
      <c r="R107" s="75"/>
      <c r="S107" s="75"/>
      <c r="T107" s="75"/>
    </row>
    <row r="108" spans="1:20" x14ac:dyDescent="0.35">
      <c r="A108" s="75"/>
      <c r="B108" s="75"/>
      <c r="C108" s="75"/>
      <c r="D108" s="75"/>
      <c r="E108" s="75"/>
      <c r="F108" s="75"/>
      <c r="G108" s="75"/>
      <c r="H108" s="75"/>
      <c r="I108" s="75"/>
      <c r="J108" s="75"/>
      <c r="K108" s="75"/>
      <c r="L108" s="75"/>
      <c r="M108" s="75"/>
      <c r="N108" s="75"/>
      <c r="O108" s="75"/>
      <c r="P108" s="75"/>
      <c r="Q108" s="75"/>
      <c r="R108" s="75"/>
      <c r="S108" s="75"/>
      <c r="T108" s="75"/>
    </row>
    <row r="109" spans="1:20" x14ac:dyDescent="0.35">
      <c r="A109" s="75"/>
      <c r="B109" s="75"/>
      <c r="C109" s="75"/>
      <c r="D109" s="75"/>
      <c r="E109" s="75"/>
      <c r="F109" s="75"/>
      <c r="G109" s="75"/>
      <c r="H109" s="75"/>
      <c r="I109" s="75"/>
      <c r="J109" s="75"/>
      <c r="K109" s="75"/>
      <c r="L109" s="75"/>
      <c r="M109" s="75"/>
      <c r="N109" s="75"/>
      <c r="O109" s="75"/>
      <c r="P109" s="75"/>
      <c r="Q109" s="75"/>
      <c r="R109" s="75"/>
      <c r="S109" s="75"/>
      <c r="T109" s="75"/>
    </row>
    <row r="110" spans="1:20" x14ac:dyDescent="0.35">
      <c r="A110" s="75"/>
      <c r="B110" s="75"/>
      <c r="C110" s="75"/>
      <c r="D110" s="75"/>
      <c r="E110" s="75"/>
      <c r="F110" s="75"/>
      <c r="G110" s="75"/>
      <c r="H110" s="75"/>
      <c r="I110" s="75"/>
      <c r="J110" s="75"/>
      <c r="K110" s="75"/>
      <c r="L110" s="75"/>
      <c r="M110" s="75"/>
      <c r="N110" s="75"/>
      <c r="O110" s="75"/>
      <c r="P110" s="75"/>
      <c r="Q110" s="75"/>
      <c r="R110" s="75"/>
      <c r="S110" s="75"/>
      <c r="T110" s="75"/>
    </row>
    <row r="111" spans="1:20" x14ac:dyDescent="0.35">
      <c r="A111" s="75"/>
      <c r="B111" s="75"/>
      <c r="C111" s="75"/>
      <c r="D111" s="75"/>
      <c r="E111" s="75"/>
      <c r="F111" s="75"/>
      <c r="G111" s="75"/>
      <c r="H111" s="75"/>
      <c r="I111" s="75"/>
      <c r="J111" s="75"/>
      <c r="K111" s="75"/>
      <c r="L111" s="75"/>
      <c r="M111" s="75"/>
      <c r="N111" s="75"/>
      <c r="O111" s="75"/>
      <c r="P111" s="75"/>
      <c r="Q111" s="75"/>
      <c r="R111" s="75"/>
      <c r="S111" s="75"/>
      <c r="T111" s="75"/>
    </row>
    <row r="112" spans="1:20" x14ac:dyDescent="0.35">
      <c r="A112" s="75"/>
      <c r="B112" s="75"/>
      <c r="C112" s="75"/>
      <c r="D112" s="75"/>
      <c r="E112" s="75"/>
      <c r="F112" s="75"/>
      <c r="G112" s="75"/>
      <c r="H112" s="75"/>
      <c r="I112" s="75"/>
      <c r="J112" s="75"/>
      <c r="K112" s="75"/>
      <c r="L112" s="75"/>
      <c r="M112" s="75"/>
      <c r="N112" s="75"/>
      <c r="O112" s="75"/>
      <c r="P112" s="75"/>
      <c r="Q112" s="75"/>
      <c r="R112" s="75"/>
      <c r="S112" s="75"/>
      <c r="T112" s="75"/>
    </row>
    <row r="113" spans="1:20" x14ac:dyDescent="0.35">
      <c r="A113" s="75"/>
      <c r="B113" s="75"/>
      <c r="C113" s="75"/>
      <c r="D113" s="75"/>
      <c r="E113" s="75"/>
      <c r="F113" s="75"/>
      <c r="G113" s="75"/>
      <c r="H113" s="75"/>
      <c r="I113" s="75"/>
      <c r="J113" s="75"/>
      <c r="K113" s="75"/>
      <c r="L113" s="75"/>
      <c r="M113" s="75"/>
      <c r="N113" s="75"/>
      <c r="O113" s="75"/>
      <c r="P113" s="75"/>
      <c r="Q113" s="75"/>
      <c r="R113" s="75"/>
      <c r="S113" s="75"/>
      <c r="T113" s="75"/>
    </row>
    <row r="114" spans="1:20" x14ac:dyDescent="0.35">
      <c r="A114" s="75"/>
      <c r="B114" s="75"/>
      <c r="C114" s="75"/>
      <c r="D114" s="75"/>
      <c r="E114" s="75"/>
      <c r="F114" s="75"/>
      <c r="G114" s="75"/>
      <c r="H114" s="75"/>
      <c r="I114" s="75"/>
      <c r="J114" s="75"/>
      <c r="K114" s="75"/>
      <c r="L114" s="75"/>
      <c r="M114" s="75"/>
      <c r="N114" s="75"/>
      <c r="O114" s="75"/>
      <c r="P114" s="75"/>
      <c r="Q114" s="75"/>
      <c r="R114" s="75"/>
      <c r="S114" s="75"/>
      <c r="T114" s="75"/>
    </row>
    <row r="115" spans="1:20" x14ac:dyDescent="0.35">
      <c r="A115" s="75"/>
      <c r="B115" s="75"/>
      <c r="C115" s="75"/>
      <c r="D115" s="75"/>
      <c r="E115" s="75"/>
      <c r="F115" s="75"/>
      <c r="G115" s="75"/>
      <c r="H115" s="75"/>
      <c r="I115" s="75"/>
      <c r="J115" s="75"/>
      <c r="K115" s="75"/>
      <c r="L115" s="75"/>
      <c r="M115" s="75"/>
      <c r="N115" s="75"/>
      <c r="O115" s="75"/>
      <c r="P115" s="75"/>
      <c r="Q115" s="75"/>
      <c r="R115" s="75"/>
      <c r="S115" s="75"/>
      <c r="T115" s="75"/>
    </row>
    <row r="116" spans="1:20" x14ac:dyDescent="0.35">
      <c r="A116" s="75"/>
      <c r="B116" s="75"/>
      <c r="C116" s="75"/>
      <c r="D116" s="75"/>
      <c r="E116" s="75"/>
      <c r="F116" s="75"/>
      <c r="G116" s="75"/>
      <c r="H116" s="75"/>
      <c r="I116" s="75"/>
      <c r="J116" s="75"/>
      <c r="K116" s="75"/>
      <c r="L116" s="75"/>
      <c r="M116" s="75"/>
      <c r="N116" s="75"/>
      <c r="O116" s="75"/>
      <c r="P116" s="75"/>
      <c r="Q116" s="75"/>
      <c r="R116" s="75"/>
      <c r="S116" s="75"/>
      <c r="T116" s="75"/>
    </row>
    <row r="117" spans="1:20" x14ac:dyDescent="0.35">
      <c r="A117" s="75"/>
      <c r="B117" s="75"/>
      <c r="C117" s="75"/>
      <c r="D117" s="75"/>
      <c r="E117" s="75"/>
      <c r="F117" s="75"/>
      <c r="G117" s="75"/>
      <c r="H117" s="75"/>
      <c r="I117" s="75"/>
      <c r="J117" s="75"/>
      <c r="K117" s="75"/>
      <c r="L117" s="75"/>
      <c r="M117" s="75"/>
      <c r="N117" s="75"/>
      <c r="O117" s="75"/>
      <c r="P117" s="75"/>
      <c r="Q117" s="75"/>
      <c r="R117" s="75"/>
      <c r="S117" s="75"/>
      <c r="T117" s="75"/>
    </row>
    <row r="118" spans="1:20" x14ac:dyDescent="0.35">
      <c r="A118" s="75"/>
      <c r="B118" s="75"/>
      <c r="C118" s="75"/>
      <c r="D118" s="75"/>
      <c r="E118" s="75"/>
      <c r="F118" s="75"/>
      <c r="G118" s="75"/>
      <c r="H118" s="75"/>
      <c r="I118" s="75"/>
      <c r="J118" s="75"/>
      <c r="K118" s="75"/>
      <c r="L118" s="75"/>
      <c r="M118" s="75"/>
      <c r="N118" s="75"/>
      <c r="O118" s="75"/>
      <c r="P118" s="75"/>
      <c r="Q118" s="75"/>
      <c r="R118" s="75"/>
      <c r="S118" s="75"/>
      <c r="T118" s="75"/>
    </row>
    <row r="119" spans="1:20" x14ac:dyDescent="0.35">
      <c r="A119" s="75"/>
      <c r="B119" s="75"/>
      <c r="C119" s="75"/>
      <c r="D119" s="75"/>
      <c r="E119" s="75"/>
      <c r="F119" s="75"/>
      <c r="G119" s="75"/>
      <c r="H119" s="75"/>
      <c r="I119" s="75"/>
      <c r="J119" s="75"/>
      <c r="K119" s="75"/>
      <c r="L119" s="75"/>
      <c r="M119" s="75"/>
      <c r="N119" s="75"/>
      <c r="O119" s="75"/>
      <c r="P119" s="75"/>
      <c r="Q119" s="75"/>
      <c r="R119" s="75"/>
      <c r="S119" s="75"/>
      <c r="T119" s="75"/>
    </row>
    <row r="120" spans="1:20" x14ac:dyDescent="0.35">
      <c r="A120" s="75"/>
      <c r="B120" s="75"/>
      <c r="C120" s="75"/>
      <c r="D120" s="75"/>
      <c r="E120" s="75"/>
      <c r="F120" s="75"/>
      <c r="G120" s="75"/>
      <c r="H120" s="75"/>
      <c r="I120" s="75"/>
      <c r="J120" s="75"/>
      <c r="K120" s="75"/>
      <c r="L120" s="75"/>
      <c r="M120" s="75"/>
      <c r="N120" s="75"/>
      <c r="O120" s="75"/>
      <c r="P120" s="75"/>
      <c r="Q120" s="75"/>
      <c r="R120" s="75"/>
      <c r="S120" s="75"/>
      <c r="T120" s="75"/>
    </row>
    <row r="121" spans="1:20" x14ac:dyDescent="0.35">
      <c r="A121" s="75"/>
      <c r="B121" s="75"/>
      <c r="C121" s="75"/>
      <c r="D121" s="75"/>
      <c r="E121" s="75"/>
      <c r="F121" s="75"/>
      <c r="G121" s="75"/>
      <c r="H121" s="75"/>
      <c r="I121" s="75"/>
      <c r="J121" s="75"/>
      <c r="K121" s="75"/>
      <c r="L121" s="75"/>
      <c r="M121" s="75"/>
      <c r="N121" s="75"/>
      <c r="O121" s="75"/>
      <c r="P121" s="75"/>
      <c r="Q121" s="75"/>
      <c r="R121" s="75"/>
      <c r="S121" s="75"/>
      <c r="T121" s="75"/>
    </row>
    <row r="122" spans="1:20" x14ac:dyDescent="0.35">
      <c r="A122" s="75"/>
      <c r="B122" s="75"/>
      <c r="C122" s="75"/>
      <c r="D122" s="75"/>
      <c r="E122" s="75"/>
      <c r="F122" s="75"/>
      <c r="G122" s="75"/>
      <c r="H122" s="75"/>
      <c r="I122" s="75"/>
      <c r="J122" s="75"/>
      <c r="K122" s="75"/>
      <c r="L122" s="75"/>
      <c r="M122" s="75"/>
      <c r="N122" s="75"/>
      <c r="O122" s="75"/>
      <c r="P122" s="75"/>
      <c r="Q122" s="75"/>
      <c r="R122" s="75"/>
      <c r="S122" s="75"/>
      <c r="T122" s="75"/>
    </row>
    <row r="123" spans="1:20" x14ac:dyDescent="0.35">
      <c r="A123" s="75"/>
      <c r="B123" s="75"/>
      <c r="C123" s="75"/>
      <c r="D123" s="75"/>
      <c r="E123" s="75"/>
      <c r="F123" s="75"/>
      <c r="G123" s="75"/>
      <c r="H123" s="75"/>
      <c r="I123" s="75"/>
      <c r="J123" s="75"/>
      <c r="K123" s="75"/>
      <c r="L123" s="75"/>
      <c r="M123" s="75"/>
      <c r="N123" s="75"/>
      <c r="O123" s="75"/>
      <c r="P123" s="75"/>
      <c r="Q123" s="75"/>
      <c r="R123" s="75"/>
      <c r="S123" s="75"/>
      <c r="T123" s="75"/>
    </row>
    <row r="124" spans="1:20" x14ac:dyDescent="0.35">
      <c r="A124" s="75"/>
      <c r="B124" s="75"/>
      <c r="C124" s="75"/>
      <c r="D124" s="75"/>
      <c r="E124" s="75"/>
      <c r="F124" s="75"/>
      <c r="G124" s="75"/>
      <c r="H124" s="75"/>
      <c r="I124" s="75"/>
      <c r="J124" s="75"/>
      <c r="K124" s="75"/>
      <c r="L124" s="75"/>
      <c r="M124" s="75"/>
      <c r="N124" s="75"/>
      <c r="O124" s="75"/>
      <c r="P124" s="75"/>
      <c r="Q124" s="75"/>
      <c r="R124" s="75"/>
      <c r="S124" s="75"/>
      <c r="T124" s="75"/>
    </row>
    <row r="125" spans="1:20" x14ac:dyDescent="0.35">
      <c r="A125" s="75"/>
      <c r="B125" s="75"/>
      <c r="C125" s="75"/>
      <c r="D125" s="75"/>
      <c r="E125" s="75"/>
      <c r="F125" s="75"/>
      <c r="G125" s="75"/>
      <c r="H125" s="75"/>
      <c r="I125" s="75"/>
      <c r="J125" s="75"/>
      <c r="K125" s="75"/>
      <c r="L125" s="75"/>
      <c r="M125" s="75"/>
      <c r="N125" s="75"/>
      <c r="O125" s="75"/>
      <c r="P125" s="75"/>
      <c r="Q125" s="75"/>
      <c r="R125" s="75"/>
      <c r="S125" s="75"/>
      <c r="T125" s="75"/>
    </row>
    <row r="126" spans="1:20" x14ac:dyDescent="0.35">
      <c r="A126" s="75"/>
      <c r="B126" s="75"/>
      <c r="C126" s="75"/>
      <c r="D126" s="75"/>
      <c r="E126" s="75"/>
      <c r="F126" s="75"/>
      <c r="G126" s="75"/>
      <c r="H126" s="75"/>
      <c r="I126" s="75"/>
      <c r="J126" s="75"/>
      <c r="K126" s="75"/>
      <c r="L126" s="75"/>
      <c r="M126" s="75"/>
      <c r="N126" s="75"/>
      <c r="O126" s="75"/>
      <c r="P126" s="75"/>
      <c r="Q126" s="75"/>
      <c r="R126" s="75"/>
      <c r="S126" s="75"/>
      <c r="T126" s="75"/>
    </row>
    <row r="127" spans="1:20" x14ac:dyDescent="0.35">
      <c r="A127" s="75"/>
      <c r="B127" s="75"/>
      <c r="C127" s="75"/>
      <c r="D127" s="75"/>
      <c r="E127" s="75"/>
      <c r="F127" s="75"/>
      <c r="G127" s="75"/>
      <c r="H127" s="75"/>
      <c r="I127" s="75"/>
      <c r="J127" s="75"/>
      <c r="K127" s="75"/>
      <c r="L127" s="75"/>
      <c r="M127" s="75"/>
      <c r="N127" s="75"/>
      <c r="O127" s="75"/>
      <c r="P127" s="75"/>
      <c r="Q127" s="75"/>
      <c r="R127" s="75"/>
      <c r="S127" s="75"/>
      <c r="T127" s="75"/>
    </row>
    <row r="128" spans="1:20" x14ac:dyDescent="0.35">
      <c r="A128" s="75"/>
      <c r="B128" s="75"/>
      <c r="C128" s="75"/>
      <c r="D128" s="75"/>
      <c r="E128" s="75"/>
      <c r="F128" s="75"/>
      <c r="G128" s="75"/>
      <c r="H128" s="75"/>
      <c r="I128" s="75"/>
      <c r="J128" s="75"/>
      <c r="K128" s="75"/>
      <c r="L128" s="75"/>
      <c r="M128" s="75"/>
      <c r="N128" s="75"/>
      <c r="O128" s="75"/>
      <c r="P128" s="75"/>
      <c r="Q128" s="75"/>
      <c r="R128" s="75"/>
      <c r="S128" s="75"/>
      <c r="T128" s="75"/>
    </row>
    <row r="129" spans="1:20" x14ac:dyDescent="0.35">
      <c r="A129" s="75"/>
      <c r="B129" s="75"/>
      <c r="C129" s="75"/>
      <c r="D129" s="75"/>
      <c r="E129" s="75"/>
      <c r="F129" s="75"/>
      <c r="G129" s="75"/>
      <c r="H129" s="75"/>
      <c r="I129" s="75"/>
      <c r="J129" s="75"/>
      <c r="K129" s="75"/>
      <c r="L129" s="75"/>
      <c r="M129" s="75"/>
      <c r="N129" s="75"/>
      <c r="O129" s="75"/>
      <c r="P129" s="75"/>
      <c r="Q129" s="75"/>
      <c r="R129" s="75"/>
      <c r="S129" s="75"/>
      <c r="T129" s="75"/>
    </row>
    <row r="130" spans="1:20" x14ac:dyDescent="0.35">
      <c r="A130" s="75"/>
      <c r="B130" s="75"/>
      <c r="C130" s="75"/>
      <c r="D130" s="75"/>
      <c r="E130" s="75"/>
      <c r="F130" s="75"/>
      <c r="G130" s="75"/>
      <c r="H130" s="75"/>
      <c r="I130" s="75"/>
      <c r="J130" s="75"/>
      <c r="K130" s="75"/>
      <c r="L130" s="75"/>
      <c r="M130" s="75"/>
      <c r="N130" s="75"/>
      <c r="O130" s="75"/>
      <c r="P130" s="75"/>
      <c r="Q130" s="75"/>
      <c r="R130" s="75"/>
      <c r="S130" s="75"/>
      <c r="T130" s="75"/>
    </row>
    <row r="131" spans="1:20" x14ac:dyDescent="0.35">
      <c r="A131" s="75"/>
      <c r="B131" s="75"/>
      <c r="C131" s="75"/>
      <c r="D131" s="75"/>
      <c r="E131" s="75"/>
      <c r="F131" s="75"/>
      <c r="G131" s="75"/>
      <c r="H131" s="75"/>
      <c r="I131" s="75"/>
      <c r="J131" s="75"/>
      <c r="K131" s="75"/>
      <c r="L131" s="75"/>
      <c r="M131" s="75"/>
      <c r="N131" s="75"/>
      <c r="O131" s="75"/>
      <c r="P131" s="75"/>
      <c r="Q131" s="75"/>
      <c r="R131" s="75"/>
      <c r="S131" s="75"/>
      <c r="T131" s="75"/>
    </row>
    <row r="132" spans="1:20" x14ac:dyDescent="0.35">
      <c r="A132" s="75"/>
      <c r="B132" s="75"/>
      <c r="C132" s="75"/>
      <c r="D132" s="75"/>
      <c r="E132" s="75"/>
      <c r="F132" s="75"/>
      <c r="G132" s="75"/>
      <c r="H132" s="75"/>
      <c r="I132" s="75"/>
      <c r="J132" s="75"/>
      <c r="K132" s="75"/>
      <c r="L132" s="75"/>
      <c r="M132" s="75"/>
      <c r="N132" s="75"/>
      <c r="O132" s="75"/>
      <c r="P132" s="75"/>
      <c r="Q132" s="75"/>
      <c r="R132" s="75"/>
      <c r="S132" s="75"/>
      <c r="T132" s="75"/>
    </row>
    <row r="133" spans="1:20" x14ac:dyDescent="0.35">
      <c r="A133" s="75"/>
      <c r="B133" s="75"/>
      <c r="C133" s="75"/>
      <c r="D133" s="75"/>
      <c r="E133" s="75"/>
      <c r="F133" s="75"/>
      <c r="G133" s="75"/>
      <c r="H133" s="75"/>
      <c r="I133" s="75"/>
      <c r="J133" s="75"/>
      <c r="K133" s="75"/>
      <c r="L133" s="75"/>
      <c r="M133" s="75"/>
      <c r="N133" s="75"/>
      <c r="O133" s="75"/>
      <c r="P133" s="75"/>
      <c r="Q133" s="75"/>
      <c r="R133" s="75"/>
      <c r="S133" s="75"/>
      <c r="T133" s="75"/>
    </row>
    <row r="134" spans="1:20" x14ac:dyDescent="0.35">
      <c r="A134" s="75"/>
      <c r="B134" s="75"/>
      <c r="C134" s="75"/>
      <c r="D134" s="75"/>
      <c r="E134" s="75"/>
      <c r="F134" s="75"/>
      <c r="G134" s="75"/>
      <c r="H134" s="75"/>
      <c r="I134" s="75"/>
      <c r="J134" s="75"/>
      <c r="K134" s="75"/>
      <c r="L134" s="75"/>
      <c r="M134" s="75"/>
      <c r="N134" s="75"/>
      <c r="O134" s="75"/>
      <c r="P134" s="75"/>
      <c r="Q134" s="75"/>
      <c r="R134" s="75"/>
      <c r="S134" s="75"/>
      <c r="T134" s="75"/>
    </row>
    <row r="135" spans="1:20" x14ac:dyDescent="0.35">
      <c r="A135" s="75"/>
      <c r="B135" s="75"/>
      <c r="C135" s="75"/>
      <c r="D135" s="75"/>
      <c r="E135" s="75"/>
      <c r="F135" s="75"/>
      <c r="G135" s="75"/>
      <c r="H135" s="75"/>
      <c r="I135" s="75"/>
      <c r="J135" s="75"/>
      <c r="K135" s="75"/>
      <c r="L135" s="75"/>
      <c r="M135" s="75"/>
      <c r="N135" s="75"/>
      <c r="O135" s="75"/>
      <c r="P135" s="75"/>
      <c r="Q135" s="75"/>
      <c r="R135" s="75"/>
      <c r="S135" s="75"/>
      <c r="T135" s="75"/>
    </row>
    <row r="136" spans="1:20" x14ac:dyDescent="0.35">
      <c r="A136" s="75"/>
      <c r="B136" s="75"/>
      <c r="C136" s="75"/>
      <c r="D136" s="75"/>
      <c r="E136" s="75"/>
      <c r="F136" s="75"/>
      <c r="G136" s="75"/>
      <c r="H136" s="75"/>
      <c r="I136" s="75"/>
      <c r="J136" s="75"/>
      <c r="K136" s="75"/>
      <c r="L136" s="75"/>
      <c r="M136" s="75"/>
      <c r="N136" s="75"/>
      <c r="O136" s="75"/>
      <c r="P136" s="75"/>
      <c r="Q136" s="75"/>
      <c r="R136" s="75"/>
      <c r="S136" s="75"/>
      <c r="T136" s="75"/>
    </row>
    <row r="137" spans="1:20" x14ac:dyDescent="0.35">
      <c r="A137" s="75"/>
      <c r="B137" s="75"/>
      <c r="C137" s="75"/>
      <c r="D137" s="75"/>
      <c r="E137" s="75"/>
      <c r="F137" s="75"/>
      <c r="G137" s="75"/>
      <c r="H137" s="75"/>
      <c r="I137" s="75"/>
      <c r="J137" s="75"/>
      <c r="K137" s="75"/>
      <c r="L137" s="75"/>
      <c r="M137" s="75"/>
      <c r="N137" s="75"/>
      <c r="O137" s="75"/>
      <c r="P137" s="75"/>
      <c r="Q137" s="75"/>
      <c r="R137" s="75"/>
      <c r="S137" s="75"/>
      <c r="T137" s="75"/>
    </row>
    <row r="138" spans="1:20" x14ac:dyDescent="0.35">
      <c r="A138" s="75"/>
      <c r="B138" s="75"/>
      <c r="C138" s="75"/>
      <c r="D138" s="75"/>
      <c r="E138" s="75"/>
      <c r="F138" s="75"/>
      <c r="G138" s="75"/>
      <c r="H138" s="75"/>
      <c r="I138" s="75"/>
      <c r="J138" s="75"/>
      <c r="K138" s="75"/>
      <c r="L138" s="75"/>
      <c r="M138" s="75"/>
      <c r="N138" s="75"/>
      <c r="O138" s="75"/>
      <c r="P138" s="75"/>
      <c r="Q138" s="75"/>
      <c r="R138" s="75"/>
      <c r="S138" s="75"/>
      <c r="T138" s="75"/>
    </row>
    <row r="139" spans="1:20" x14ac:dyDescent="0.35">
      <c r="A139" s="75"/>
      <c r="B139" s="75"/>
      <c r="C139" s="75"/>
      <c r="D139" s="75"/>
      <c r="E139" s="75"/>
      <c r="F139" s="75"/>
      <c r="G139" s="75"/>
      <c r="H139" s="75"/>
      <c r="I139" s="75"/>
      <c r="J139" s="75"/>
      <c r="K139" s="75"/>
      <c r="L139" s="75"/>
      <c r="M139" s="75"/>
      <c r="N139" s="75"/>
      <c r="O139" s="75"/>
      <c r="P139" s="75"/>
      <c r="Q139" s="75"/>
      <c r="R139" s="75"/>
      <c r="S139" s="75"/>
      <c r="T139" s="75"/>
    </row>
    <row r="140" spans="1:20" x14ac:dyDescent="0.35">
      <c r="A140" s="75"/>
      <c r="B140" s="75"/>
      <c r="C140" s="75"/>
      <c r="D140" s="75"/>
      <c r="E140" s="75"/>
      <c r="F140" s="75"/>
      <c r="G140" s="75"/>
      <c r="H140" s="75"/>
      <c r="I140" s="75"/>
      <c r="J140" s="75"/>
      <c r="K140" s="75"/>
      <c r="L140" s="75"/>
      <c r="M140" s="75"/>
      <c r="N140" s="75"/>
      <c r="O140" s="75"/>
      <c r="P140" s="75"/>
      <c r="Q140" s="75"/>
      <c r="R140" s="75"/>
      <c r="S140" s="75"/>
      <c r="T140" s="75"/>
    </row>
    <row r="141" spans="1:20" x14ac:dyDescent="0.35">
      <c r="A141" s="75"/>
      <c r="B141" s="75"/>
      <c r="C141" s="75"/>
      <c r="D141" s="75"/>
      <c r="E141" s="75"/>
      <c r="F141" s="75"/>
      <c r="G141" s="75"/>
      <c r="H141" s="75"/>
      <c r="I141" s="75"/>
      <c r="J141" s="75"/>
      <c r="K141" s="75"/>
      <c r="L141" s="75"/>
      <c r="M141" s="75"/>
      <c r="N141" s="75"/>
      <c r="O141" s="75"/>
      <c r="P141" s="75"/>
      <c r="Q141" s="75"/>
      <c r="R141" s="75"/>
      <c r="S141" s="75"/>
      <c r="T141" s="75"/>
    </row>
    <row r="142" spans="1:20" x14ac:dyDescent="0.35">
      <c r="A142" s="75"/>
      <c r="B142" s="75"/>
      <c r="C142" s="75"/>
      <c r="D142" s="75"/>
      <c r="E142" s="75"/>
      <c r="F142" s="75"/>
      <c r="G142" s="75"/>
      <c r="H142" s="75"/>
      <c r="I142" s="75"/>
      <c r="J142" s="75"/>
      <c r="K142" s="75"/>
      <c r="L142" s="75"/>
      <c r="M142" s="75"/>
      <c r="N142" s="75"/>
      <c r="O142" s="75"/>
      <c r="P142" s="75"/>
      <c r="Q142" s="75"/>
      <c r="R142" s="75"/>
      <c r="S142" s="75"/>
      <c r="T142" s="75"/>
    </row>
    <row r="143" spans="1:20" x14ac:dyDescent="0.35">
      <c r="A143" s="75"/>
      <c r="B143" s="75"/>
      <c r="C143" s="75"/>
      <c r="D143" s="75"/>
      <c r="E143" s="75"/>
      <c r="F143" s="75"/>
      <c r="G143" s="75"/>
      <c r="H143" s="75"/>
      <c r="I143" s="75"/>
      <c r="J143" s="75"/>
      <c r="K143" s="75"/>
      <c r="L143" s="75"/>
      <c r="M143" s="75"/>
      <c r="N143" s="75"/>
      <c r="O143" s="75"/>
      <c r="P143" s="75"/>
      <c r="Q143" s="75"/>
      <c r="R143" s="75"/>
      <c r="S143" s="75"/>
      <c r="T143" s="75"/>
    </row>
    <row r="144" spans="1:20" x14ac:dyDescent="0.35">
      <c r="A144" s="75"/>
      <c r="B144" s="75"/>
      <c r="C144" s="75"/>
      <c r="D144" s="75"/>
      <c r="E144" s="75"/>
      <c r="F144" s="75"/>
      <c r="G144" s="75"/>
      <c r="H144" s="75"/>
      <c r="I144" s="75"/>
      <c r="J144" s="75"/>
      <c r="K144" s="75"/>
      <c r="L144" s="75"/>
      <c r="M144" s="75"/>
      <c r="N144" s="75"/>
      <c r="O144" s="75"/>
      <c r="P144" s="75"/>
      <c r="Q144" s="75"/>
      <c r="R144" s="75"/>
      <c r="S144" s="75"/>
      <c r="T144" s="75"/>
    </row>
    <row r="145" spans="1:20" x14ac:dyDescent="0.35">
      <c r="A145" s="75"/>
      <c r="B145" s="75"/>
      <c r="C145" s="75"/>
      <c r="D145" s="75"/>
      <c r="E145" s="75"/>
      <c r="F145" s="75"/>
      <c r="G145" s="75"/>
      <c r="H145" s="75"/>
      <c r="I145" s="75"/>
      <c r="J145" s="75"/>
      <c r="K145" s="75"/>
      <c r="L145" s="75"/>
      <c r="M145" s="75"/>
      <c r="N145" s="75"/>
      <c r="O145" s="75"/>
      <c r="P145" s="75"/>
      <c r="Q145" s="75"/>
      <c r="R145" s="75"/>
      <c r="S145" s="75"/>
      <c r="T145" s="75"/>
    </row>
    <row r="146" spans="1:20" x14ac:dyDescent="0.35">
      <c r="A146" s="75"/>
      <c r="B146" s="75"/>
      <c r="C146" s="75"/>
      <c r="D146" s="75"/>
      <c r="E146" s="75"/>
      <c r="F146" s="75"/>
      <c r="G146" s="75"/>
      <c r="H146" s="75"/>
      <c r="I146" s="75"/>
      <c r="J146" s="75"/>
      <c r="K146" s="75"/>
      <c r="L146" s="75"/>
      <c r="M146" s="75"/>
      <c r="N146" s="75"/>
      <c r="O146" s="75"/>
      <c r="P146" s="75"/>
      <c r="Q146" s="75"/>
      <c r="R146" s="75"/>
      <c r="S146" s="75"/>
      <c r="T146" s="75"/>
    </row>
    <row r="147" spans="1:20" x14ac:dyDescent="0.35">
      <c r="A147" s="75"/>
      <c r="B147" s="75"/>
      <c r="C147" s="75"/>
      <c r="D147" s="75"/>
      <c r="E147" s="75"/>
      <c r="F147" s="75"/>
      <c r="G147" s="75"/>
      <c r="H147" s="75"/>
      <c r="I147" s="75"/>
      <c r="J147" s="75"/>
      <c r="K147" s="75"/>
      <c r="L147" s="75"/>
      <c r="M147" s="75"/>
      <c r="N147" s="75"/>
      <c r="O147" s="75"/>
      <c r="P147" s="75"/>
      <c r="Q147" s="75"/>
      <c r="R147" s="75"/>
      <c r="S147" s="75"/>
      <c r="T147" s="75"/>
    </row>
    <row r="148" spans="1:20" x14ac:dyDescent="0.35">
      <c r="A148" s="75"/>
      <c r="B148" s="75"/>
      <c r="C148" s="75"/>
      <c r="D148" s="75"/>
      <c r="E148" s="75"/>
      <c r="F148" s="75"/>
      <c r="G148" s="75"/>
      <c r="H148" s="75"/>
      <c r="I148" s="75"/>
      <c r="J148" s="75"/>
      <c r="K148" s="75"/>
      <c r="L148" s="75"/>
      <c r="M148" s="75"/>
      <c r="N148" s="75"/>
      <c r="O148" s="75"/>
      <c r="P148" s="75"/>
      <c r="Q148" s="75"/>
      <c r="R148" s="75"/>
      <c r="S148" s="75"/>
      <c r="T148" s="75"/>
    </row>
    <row r="149" spans="1:20" x14ac:dyDescent="0.35">
      <c r="A149" s="75"/>
      <c r="B149" s="75"/>
      <c r="C149" s="75"/>
      <c r="D149" s="75"/>
      <c r="E149" s="75"/>
      <c r="F149" s="75"/>
      <c r="G149" s="75"/>
      <c r="H149" s="75"/>
      <c r="I149" s="75"/>
      <c r="J149" s="75"/>
      <c r="K149" s="75"/>
      <c r="L149" s="75"/>
      <c r="M149" s="75"/>
      <c r="N149" s="75"/>
      <c r="O149" s="75"/>
      <c r="P149" s="75"/>
      <c r="Q149" s="75"/>
      <c r="R149" s="75"/>
      <c r="S149" s="75"/>
      <c r="T149" s="75"/>
    </row>
    <row r="150" spans="1:20" x14ac:dyDescent="0.35">
      <c r="A150" s="75"/>
      <c r="B150" s="75"/>
      <c r="C150" s="75"/>
      <c r="D150" s="75"/>
      <c r="E150" s="75"/>
      <c r="F150" s="75"/>
      <c r="G150" s="75"/>
      <c r="H150" s="75"/>
      <c r="I150" s="75"/>
      <c r="J150" s="75"/>
      <c r="K150" s="75"/>
      <c r="L150" s="75"/>
      <c r="M150" s="75"/>
      <c r="N150" s="75"/>
      <c r="O150" s="75"/>
      <c r="P150" s="75"/>
      <c r="Q150" s="75"/>
      <c r="R150" s="75"/>
      <c r="S150" s="75"/>
      <c r="T150" s="75"/>
    </row>
    <row r="151" spans="1:20" x14ac:dyDescent="0.35">
      <c r="A151" s="75"/>
      <c r="B151" s="75"/>
      <c r="C151" s="75"/>
      <c r="D151" s="75"/>
      <c r="E151" s="75"/>
      <c r="F151" s="75"/>
      <c r="G151" s="75"/>
      <c r="H151" s="75"/>
      <c r="I151" s="75"/>
      <c r="J151" s="75"/>
      <c r="K151" s="75"/>
      <c r="L151" s="75"/>
      <c r="M151" s="75"/>
      <c r="N151" s="75"/>
      <c r="O151" s="75"/>
      <c r="P151" s="75"/>
      <c r="Q151" s="75"/>
      <c r="R151" s="75"/>
      <c r="S151" s="75"/>
      <c r="T151" s="75"/>
    </row>
    <row r="152" spans="1:20" x14ac:dyDescent="0.35">
      <c r="A152" s="75"/>
      <c r="B152" s="75"/>
      <c r="C152" s="75"/>
      <c r="D152" s="75"/>
      <c r="E152" s="75"/>
      <c r="F152" s="75"/>
      <c r="G152" s="75"/>
      <c r="H152" s="75"/>
      <c r="I152" s="75"/>
      <c r="J152" s="75"/>
      <c r="K152" s="75"/>
      <c r="L152" s="75"/>
      <c r="M152" s="75"/>
      <c r="N152" s="75"/>
      <c r="O152" s="75"/>
      <c r="P152" s="75"/>
      <c r="Q152" s="75"/>
      <c r="R152" s="75"/>
      <c r="S152" s="75"/>
      <c r="T152" s="75"/>
    </row>
    <row r="153" spans="1:20" x14ac:dyDescent="0.35">
      <c r="A153" s="75"/>
      <c r="B153" s="75"/>
      <c r="C153" s="75"/>
      <c r="D153" s="75"/>
      <c r="E153" s="75"/>
      <c r="F153" s="75"/>
      <c r="G153" s="75"/>
      <c r="H153" s="75"/>
      <c r="I153" s="75"/>
      <c r="J153" s="75"/>
      <c r="K153" s="75"/>
      <c r="L153" s="75"/>
      <c r="M153" s="75"/>
      <c r="N153" s="75"/>
      <c r="O153" s="75"/>
      <c r="P153" s="75"/>
      <c r="Q153" s="75"/>
      <c r="R153" s="75"/>
      <c r="S153" s="75"/>
      <c r="T153" s="75"/>
    </row>
    <row r="154" spans="1:20" x14ac:dyDescent="0.35">
      <c r="A154" s="75"/>
      <c r="B154" s="75"/>
      <c r="C154" s="75"/>
      <c r="D154" s="75"/>
      <c r="E154" s="75"/>
      <c r="F154" s="75"/>
      <c r="G154" s="75"/>
      <c r="H154" s="75"/>
      <c r="I154" s="75"/>
      <c r="J154" s="75"/>
      <c r="K154" s="75"/>
      <c r="L154" s="75"/>
      <c r="M154" s="75"/>
      <c r="N154" s="75"/>
      <c r="O154" s="75"/>
      <c r="P154" s="75"/>
      <c r="Q154" s="75"/>
      <c r="R154" s="75"/>
      <c r="S154" s="75"/>
      <c r="T154" s="75"/>
    </row>
    <row r="155" spans="1:20" x14ac:dyDescent="0.35">
      <c r="A155" s="75"/>
      <c r="B155" s="75"/>
      <c r="C155" s="75"/>
      <c r="D155" s="75"/>
      <c r="E155" s="75"/>
      <c r="F155" s="75"/>
      <c r="G155" s="75"/>
      <c r="H155" s="75"/>
      <c r="I155" s="75"/>
      <c r="J155" s="75"/>
      <c r="K155" s="75"/>
      <c r="L155" s="75"/>
      <c r="M155" s="75"/>
      <c r="N155" s="75"/>
      <c r="O155" s="75"/>
      <c r="P155" s="75"/>
      <c r="Q155" s="75"/>
      <c r="R155" s="75"/>
      <c r="S155" s="75"/>
      <c r="T155" s="75"/>
    </row>
    <row r="156" spans="1:20" x14ac:dyDescent="0.35">
      <c r="A156" s="75"/>
      <c r="B156" s="75"/>
      <c r="C156" s="75"/>
      <c r="D156" s="75"/>
      <c r="E156" s="75"/>
      <c r="F156" s="75"/>
      <c r="G156" s="75"/>
      <c r="H156" s="75"/>
      <c r="I156" s="75"/>
      <c r="J156" s="75"/>
      <c r="K156" s="75"/>
      <c r="L156" s="75"/>
      <c r="M156" s="75"/>
      <c r="N156" s="75"/>
      <c r="O156" s="75"/>
      <c r="P156" s="75"/>
      <c r="Q156" s="75"/>
      <c r="R156" s="75"/>
      <c r="S156" s="75"/>
      <c r="T156" s="75"/>
    </row>
    <row r="157" spans="1:20" x14ac:dyDescent="0.35">
      <c r="A157" s="75"/>
      <c r="B157" s="75"/>
      <c r="C157" s="75"/>
      <c r="D157" s="75"/>
      <c r="E157" s="75"/>
      <c r="F157" s="75"/>
      <c r="G157" s="75"/>
      <c r="H157" s="75"/>
      <c r="I157" s="75"/>
      <c r="J157" s="75"/>
      <c r="K157" s="75"/>
      <c r="L157" s="75"/>
      <c r="M157" s="75"/>
      <c r="N157" s="75"/>
      <c r="O157" s="75"/>
      <c r="P157" s="75"/>
      <c r="Q157" s="75"/>
      <c r="R157" s="75"/>
      <c r="S157" s="75"/>
      <c r="T157" s="75"/>
    </row>
    <row r="158" spans="1:20" x14ac:dyDescent="0.35">
      <c r="A158" s="75"/>
      <c r="B158" s="75"/>
      <c r="C158" s="75"/>
      <c r="D158" s="75"/>
      <c r="E158" s="75"/>
      <c r="F158" s="75"/>
      <c r="G158" s="75"/>
      <c r="H158" s="75"/>
      <c r="I158" s="75"/>
      <c r="J158" s="75"/>
      <c r="K158" s="75"/>
      <c r="L158" s="75"/>
      <c r="M158" s="75"/>
      <c r="N158" s="75"/>
      <c r="O158" s="75"/>
      <c r="P158" s="75"/>
      <c r="Q158" s="75"/>
      <c r="R158" s="75"/>
      <c r="S158" s="75"/>
      <c r="T158" s="75"/>
    </row>
    <row r="159" spans="1:20" x14ac:dyDescent="0.35">
      <c r="A159" s="75"/>
      <c r="B159" s="75"/>
      <c r="C159" s="75"/>
      <c r="D159" s="75"/>
      <c r="E159" s="75"/>
      <c r="F159" s="75"/>
      <c r="G159" s="75"/>
      <c r="H159" s="75"/>
      <c r="I159" s="75"/>
      <c r="J159" s="75"/>
      <c r="K159" s="75"/>
      <c r="L159" s="75"/>
      <c r="M159" s="75"/>
      <c r="N159" s="75"/>
      <c r="O159" s="75"/>
      <c r="P159" s="75"/>
      <c r="Q159" s="75"/>
      <c r="R159" s="75"/>
      <c r="S159" s="75"/>
      <c r="T159" s="75"/>
    </row>
    <row r="160" spans="1:20" x14ac:dyDescent="0.35">
      <c r="A160" s="75"/>
      <c r="B160" s="75"/>
      <c r="C160" s="75"/>
      <c r="D160" s="75"/>
      <c r="E160" s="75"/>
      <c r="F160" s="75"/>
      <c r="G160" s="75"/>
      <c r="H160" s="75"/>
      <c r="I160" s="75"/>
      <c r="J160" s="75"/>
      <c r="K160" s="75"/>
      <c r="L160" s="75"/>
      <c r="M160" s="75"/>
      <c r="N160" s="75"/>
      <c r="O160" s="75"/>
      <c r="P160" s="75"/>
      <c r="Q160" s="75"/>
      <c r="R160" s="75"/>
      <c r="S160" s="75"/>
      <c r="T160" s="75"/>
    </row>
    <row r="161" spans="1:20" x14ac:dyDescent="0.35">
      <c r="A161" s="75"/>
      <c r="B161" s="75"/>
      <c r="C161" s="75"/>
      <c r="D161" s="75"/>
      <c r="E161" s="75"/>
      <c r="F161" s="75"/>
      <c r="G161" s="75"/>
      <c r="H161" s="75"/>
      <c r="I161" s="75"/>
      <c r="J161" s="75"/>
      <c r="K161" s="75"/>
      <c r="L161" s="75"/>
      <c r="M161" s="75"/>
      <c r="N161" s="75"/>
      <c r="O161" s="75"/>
      <c r="P161" s="75"/>
      <c r="Q161" s="75"/>
      <c r="R161" s="75"/>
      <c r="S161" s="75"/>
      <c r="T161" s="75"/>
    </row>
    <row r="162" spans="1:20" x14ac:dyDescent="0.35">
      <c r="A162" s="75"/>
      <c r="B162" s="75"/>
      <c r="C162" s="75"/>
      <c r="D162" s="75"/>
      <c r="E162" s="75"/>
      <c r="F162" s="75"/>
      <c r="G162" s="75"/>
      <c r="H162" s="75"/>
      <c r="I162" s="75"/>
      <c r="J162" s="75"/>
      <c r="K162" s="75"/>
      <c r="L162" s="75"/>
      <c r="M162" s="75"/>
      <c r="N162" s="75"/>
      <c r="O162" s="75"/>
      <c r="P162" s="75"/>
      <c r="Q162" s="75"/>
      <c r="R162" s="75"/>
      <c r="S162" s="75"/>
      <c r="T162" s="75"/>
    </row>
    <row r="163" spans="1:20" x14ac:dyDescent="0.35">
      <c r="A163" s="75"/>
      <c r="B163" s="75"/>
      <c r="C163" s="75"/>
      <c r="D163" s="75"/>
      <c r="E163" s="75"/>
      <c r="F163" s="75"/>
      <c r="G163" s="75"/>
      <c r="H163" s="75"/>
      <c r="I163" s="75"/>
      <c r="J163" s="75"/>
      <c r="K163" s="75"/>
      <c r="L163" s="75"/>
      <c r="M163" s="75"/>
      <c r="N163" s="75"/>
      <c r="O163" s="75"/>
      <c r="P163" s="75"/>
      <c r="Q163" s="75"/>
      <c r="R163" s="75"/>
      <c r="S163" s="75"/>
      <c r="T163" s="75"/>
    </row>
    <row r="164" spans="1:20" x14ac:dyDescent="0.35">
      <c r="A164" s="75"/>
      <c r="B164" s="75"/>
      <c r="C164" s="75"/>
      <c r="D164" s="75"/>
      <c r="E164" s="75"/>
      <c r="F164" s="75"/>
      <c r="G164" s="75"/>
      <c r="H164" s="75"/>
      <c r="I164" s="75"/>
      <c r="J164" s="75"/>
      <c r="K164" s="75"/>
      <c r="L164" s="75"/>
      <c r="M164" s="75"/>
      <c r="N164" s="75"/>
      <c r="O164" s="75"/>
      <c r="P164" s="75"/>
      <c r="Q164" s="75"/>
      <c r="R164" s="75"/>
      <c r="S164" s="75"/>
      <c r="T164" s="75"/>
    </row>
    <row r="165" spans="1:20" x14ac:dyDescent="0.35">
      <c r="A165" s="75"/>
      <c r="B165" s="75"/>
      <c r="C165" s="75"/>
      <c r="D165" s="75"/>
      <c r="E165" s="75"/>
      <c r="F165" s="75"/>
      <c r="G165" s="75"/>
      <c r="H165" s="75"/>
      <c r="I165" s="75"/>
      <c r="J165" s="75"/>
      <c r="K165" s="75"/>
      <c r="L165" s="75"/>
      <c r="M165" s="75"/>
      <c r="N165" s="75"/>
      <c r="O165" s="75"/>
      <c r="P165" s="75"/>
      <c r="Q165" s="75"/>
      <c r="R165" s="75"/>
      <c r="S165" s="75"/>
      <c r="T165" s="75"/>
    </row>
    <row r="166" spans="1:20" x14ac:dyDescent="0.35">
      <c r="A166" s="75"/>
      <c r="B166" s="75"/>
      <c r="C166" s="75"/>
      <c r="D166" s="75"/>
      <c r="E166" s="75"/>
      <c r="F166" s="75"/>
      <c r="G166" s="75"/>
      <c r="H166" s="75"/>
      <c r="I166" s="75"/>
      <c r="J166" s="75"/>
      <c r="K166" s="75"/>
      <c r="L166" s="75"/>
      <c r="M166" s="75"/>
      <c r="N166" s="75"/>
      <c r="O166" s="75"/>
      <c r="P166" s="75"/>
      <c r="Q166" s="75"/>
      <c r="R166" s="75"/>
      <c r="S166" s="75"/>
      <c r="T166" s="75"/>
    </row>
    <row r="167" spans="1:20" x14ac:dyDescent="0.35">
      <c r="A167" s="75"/>
      <c r="B167" s="75"/>
      <c r="C167" s="75"/>
      <c r="D167" s="75"/>
      <c r="E167" s="75"/>
      <c r="F167" s="75"/>
      <c r="G167" s="75"/>
      <c r="H167" s="75"/>
      <c r="I167" s="75"/>
      <c r="J167" s="75"/>
      <c r="K167" s="75"/>
      <c r="L167" s="75"/>
      <c r="M167" s="75"/>
      <c r="N167" s="75"/>
      <c r="O167" s="75"/>
      <c r="P167" s="75"/>
      <c r="Q167" s="75"/>
      <c r="R167" s="75"/>
      <c r="S167" s="75"/>
      <c r="T167" s="75"/>
    </row>
    <row r="168" spans="1:20" x14ac:dyDescent="0.35">
      <c r="A168" s="75"/>
      <c r="B168" s="75"/>
      <c r="C168" s="75"/>
      <c r="D168" s="75"/>
      <c r="E168" s="75"/>
      <c r="F168" s="75"/>
      <c r="G168" s="75"/>
      <c r="H168" s="75"/>
      <c r="I168" s="75"/>
      <c r="J168" s="75"/>
      <c r="K168" s="75"/>
      <c r="L168" s="75"/>
      <c r="M168" s="75"/>
      <c r="N168" s="75"/>
      <c r="O168" s="75"/>
      <c r="P168" s="75"/>
      <c r="Q168" s="75"/>
      <c r="R168" s="75"/>
      <c r="S168" s="75"/>
      <c r="T168" s="75"/>
    </row>
    <row r="169" spans="1:20" x14ac:dyDescent="0.35">
      <c r="A169" s="75"/>
      <c r="B169" s="75"/>
      <c r="C169" s="75"/>
      <c r="D169" s="75"/>
      <c r="E169" s="75"/>
      <c r="F169" s="75"/>
      <c r="G169" s="75"/>
      <c r="H169" s="75"/>
      <c r="I169" s="75"/>
      <c r="J169" s="75"/>
      <c r="K169" s="75"/>
      <c r="L169" s="75"/>
      <c r="M169" s="75"/>
      <c r="N169" s="75"/>
      <c r="O169" s="75"/>
      <c r="P169" s="75"/>
      <c r="Q169" s="75"/>
      <c r="R169" s="75"/>
      <c r="S169" s="75"/>
      <c r="T169" s="75"/>
    </row>
    <row r="170" spans="1:20" x14ac:dyDescent="0.35">
      <c r="A170" s="75"/>
      <c r="B170" s="75"/>
      <c r="C170" s="75"/>
      <c r="D170" s="75"/>
      <c r="E170" s="75"/>
      <c r="F170" s="75"/>
      <c r="G170" s="75"/>
      <c r="H170" s="75"/>
      <c r="I170" s="75"/>
      <c r="J170" s="75"/>
      <c r="K170" s="75"/>
      <c r="L170" s="75"/>
      <c r="M170" s="75"/>
      <c r="N170" s="75"/>
      <c r="O170" s="75"/>
      <c r="P170" s="75"/>
      <c r="Q170" s="75"/>
      <c r="R170" s="75"/>
      <c r="S170" s="75"/>
      <c r="T170" s="75"/>
    </row>
    <row r="171" spans="1:20" x14ac:dyDescent="0.35">
      <c r="A171" s="75"/>
      <c r="B171" s="75"/>
      <c r="C171" s="75"/>
      <c r="D171" s="75"/>
      <c r="E171" s="75"/>
      <c r="F171" s="75"/>
      <c r="G171" s="75"/>
      <c r="H171" s="75"/>
      <c r="I171" s="75"/>
      <c r="J171" s="75"/>
      <c r="K171" s="75"/>
      <c r="L171" s="75"/>
      <c r="M171" s="75"/>
      <c r="N171" s="75"/>
      <c r="O171" s="75"/>
      <c r="P171" s="75"/>
      <c r="Q171" s="75"/>
      <c r="R171" s="75"/>
      <c r="S171" s="75"/>
      <c r="T171" s="75"/>
    </row>
    <row r="172" spans="1:20" x14ac:dyDescent="0.35">
      <c r="A172" s="75"/>
      <c r="B172" s="75"/>
      <c r="C172" s="75"/>
      <c r="D172" s="75"/>
      <c r="E172" s="75"/>
      <c r="F172" s="75"/>
      <c r="G172" s="75"/>
      <c r="H172" s="75"/>
      <c r="I172" s="75"/>
      <c r="J172" s="75"/>
      <c r="K172" s="75"/>
      <c r="L172" s="75"/>
      <c r="M172" s="75"/>
      <c r="N172" s="75"/>
      <c r="O172" s="75"/>
      <c r="P172" s="75"/>
      <c r="Q172" s="75"/>
      <c r="R172" s="75"/>
      <c r="S172" s="75"/>
      <c r="T172" s="75"/>
    </row>
    <row r="173" spans="1:20" x14ac:dyDescent="0.35">
      <c r="A173" s="75"/>
      <c r="B173" s="75"/>
      <c r="C173" s="75"/>
      <c r="D173" s="75"/>
      <c r="E173" s="75"/>
      <c r="F173" s="75"/>
      <c r="G173" s="75"/>
      <c r="H173" s="75"/>
      <c r="I173" s="75"/>
      <c r="J173" s="75"/>
      <c r="K173" s="75"/>
      <c r="L173" s="75"/>
      <c r="M173" s="75"/>
      <c r="N173" s="75"/>
      <c r="O173" s="75"/>
      <c r="P173" s="75"/>
      <c r="Q173" s="75"/>
      <c r="R173" s="75"/>
      <c r="S173" s="75"/>
      <c r="T173" s="75"/>
    </row>
    <row r="174" spans="1:20" x14ac:dyDescent="0.35">
      <c r="A174" s="75"/>
      <c r="B174" s="75"/>
      <c r="C174" s="75"/>
      <c r="D174" s="75"/>
      <c r="E174" s="75"/>
      <c r="F174" s="75"/>
      <c r="G174" s="75"/>
      <c r="H174" s="75"/>
      <c r="I174" s="75"/>
      <c r="J174" s="75"/>
      <c r="K174" s="75"/>
      <c r="L174" s="75"/>
      <c r="M174" s="75"/>
      <c r="N174" s="75"/>
      <c r="O174" s="75"/>
      <c r="P174" s="75"/>
      <c r="Q174" s="75"/>
      <c r="R174" s="75"/>
      <c r="S174" s="75"/>
      <c r="T174" s="75"/>
    </row>
    <row r="175" spans="1:20" x14ac:dyDescent="0.35">
      <c r="A175" s="75"/>
      <c r="B175" s="75"/>
      <c r="C175" s="75"/>
      <c r="D175" s="75"/>
      <c r="E175" s="75"/>
      <c r="F175" s="75"/>
      <c r="G175" s="75"/>
      <c r="H175" s="75"/>
      <c r="I175" s="75"/>
      <c r="J175" s="75"/>
      <c r="K175" s="75"/>
      <c r="L175" s="75"/>
      <c r="M175" s="75"/>
      <c r="N175" s="75"/>
      <c r="O175" s="75"/>
      <c r="P175" s="75"/>
      <c r="Q175" s="75"/>
      <c r="R175" s="75"/>
      <c r="S175" s="75"/>
      <c r="T175" s="75"/>
    </row>
    <row r="176" spans="1:20" x14ac:dyDescent="0.35">
      <c r="A176" s="75"/>
      <c r="B176" s="75"/>
      <c r="C176" s="75"/>
      <c r="D176" s="75"/>
      <c r="E176" s="75"/>
      <c r="F176" s="75"/>
      <c r="G176" s="75"/>
      <c r="H176" s="75"/>
      <c r="I176" s="75"/>
      <c r="J176" s="75"/>
      <c r="K176" s="75"/>
      <c r="L176" s="75"/>
      <c r="M176" s="75"/>
      <c r="N176" s="75"/>
      <c r="O176" s="75"/>
      <c r="P176" s="75"/>
      <c r="Q176" s="75"/>
      <c r="R176" s="75"/>
      <c r="S176" s="75"/>
      <c r="T176" s="75"/>
    </row>
    <row r="177" spans="1:20" x14ac:dyDescent="0.35">
      <c r="A177" s="75"/>
      <c r="B177" s="75"/>
      <c r="C177" s="75"/>
      <c r="D177" s="75"/>
      <c r="E177" s="75"/>
      <c r="F177" s="75"/>
      <c r="G177" s="75"/>
      <c r="H177" s="75"/>
      <c r="I177" s="75"/>
      <c r="J177" s="75"/>
      <c r="K177" s="75"/>
      <c r="L177" s="75"/>
      <c r="M177" s="75"/>
      <c r="N177" s="75"/>
      <c r="O177" s="75"/>
      <c r="P177" s="75"/>
      <c r="Q177" s="75"/>
      <c r="R177" s="75"/>
      <c r="S177" s="75"/>
      <c r="T177" s="75"/>
    </row>
    <row r="178" spans="1:20" x14ac:dyDescent="0.35">
      <c r="A178" s="75"/>
      <c r="B178" s="75"/>
      <c r="C178" s="75"/>
      <c r="D178" s="75"/>
      <c r="E178" s="75"/>
      <c r="F178" s="75"/>
      <c r="G178" s="75"/>
      <c r="H178" s="75"/>
      <c r="I178" s="75"/>
      <c r="J178" s="75"/>
      <c r="K178" s="75"/>
      <c r="L178" s="75"/>
      <c r="M178" s="75"/>
      <c r="N178" s="75"/>
      <c r="O178" s="75"/>
      <c r="P178" s="75"/>
      <c r="Q178" s="75"/>
      <c r="R178" s="75"/>
      <c r="S178" s="75"/>
      <c r="T178" s="75"/>
    </row>
    <row r="179" spans="1:20" x14ac:dyDescent="0.35">
      <c r="A179" s="75"/>
      <c r="B179" s="75"/>
      <c r="C179" s="75"/>
      <c r="D179" s="75"/>
      <c r="E179" s="75"/>
      <c r="F179" s="75"/>
      <c r="G179" s="75"/>
      <c r="H179" s="75"/>
      <c r="I179" s="75"/>
      <c r="J179" s="75"/>
      <c r="K179" s="75"/>
      <c r="L179" s="75"/>
      <c r="M179" s="75"/>
      <c r="N179" s="75"/>
      <c r="O179" s="75"/>
      <c r="P179" s="75"/>
      <c r="Q179" s="75"/>
      <c r="R179" s="75"/>
      <c r="S179" s="75"/>
      <c r="T179" s="75"/>
    </row>
    <row r="180" spans="1:20" x14ac:dyDescent="0.35">
      <c r="A180" s="75"/>
      <c r="B180" s="75"/>
      <c r="C180" s="75"/>
      <c r="D180" s="75"/>
      <c r="E180" s="75"/>
      <c r="F180" s="75"/>
      <c r="G180" s="75"/>
      <c r="H180" s="75"/>
      <c r="I180" s="75"/>
      <c r="J180" s="75"/>
      <c r="K180" s="75"/>
      <c r="L180" s="75"/>
      <c r="M180" s="75"/>
      <c r="N180" s="75"/>
      <c r="O180" s="75"/>
      <c r="P180" s="75"/>
      <c r="Q180" s="75"/>
      <c r="R180" s="75"/>
      <c r="S180" s="75"/>
      <c r="T180" s="75"/>
    </row>
    <row r="181" spans="1:20" x14ac:dyDescent="0.35">
      <c r="A181" s="75"/>
      <c r="B181" s="75"/>
      <c r="C181" s="75"/>
      <c r="D181" s="75"/>
      <c r="E181" s="75"/>
      <c r="F181" s="75"/>
      <c r="G181" s="75"/>
      <c r="H181" s="75"/>
      <c r="I181" s="75"/>
      <c r="J181" s="75"/>
      <c r="K181" s="75"/>
      <c r="L181" s="75"/>
      <c r="M181" s="75"/>
      <c r="N181" s="75"/>
      <c r="O181" s="75"/>
      <c r="P181" s="75"/>
      <c r="Q181" s="75"/>
      <c r="R181" s="75"/>
      <c r="S181" s="75"/>
      <c r="T181" s="75"/>
    </row>
    <row r="182" spans="1:20" x14ac:dyDescent="0.35">
      <c r="A182" s="75"/>
      <c r="B182" s="75"/>
      <c r="C182" s="75"/>
      <c r="D182" s="75"/>
      <c r="E182" s="75"/>
      <c r="F182" s="75"/>
      <c r="G182" s="75"/>
      <c r="H182" s="75"/>
      <c r="I182" s="75"/>
      <c r="J182" s="75"/>
      <c r="K182" s="75"/>
      <c r="L182" s="75"/>
      <c r="M182" s="75"/>
      <c r="N182" s="75"/>
      <c r="O182" s="75"/>
      <c r="P182" s="75"/>
      <c r="Q182" s="75"/>
      <c r="R182" s="75"/>
      <c r="S182" s="75"/>
      <c r="T182" s="75"/>
    </row>
    <row r="183" spans="1:20" x14ac:dyDescent="0.35">
      <c r="A183" s="75"/>
      <c r="B183" s="75"/>
      <c r="C183" s="75"/>
      <c r="D183" s="75"/>
      <c r="E183" s="75"/>
      <c r="F183" s="75"/>
      <c r="G183" s="75"/>
      <c r="H183" s="75"/>
      <c r="I183" s="75"/>
      <c r="J183" s="75"/>
      <c r="K183" s="75"/>
      <c r="L183" s="75"/>
      <c r="M183" s="75"/>
      <c r="N183" s="75"/>
      <c r="O183" s="75"/>
      <c r="P183" s="75"/>
      <c r="Q183" s="75"/>
      <c r="R183" s="75"/>
      <c r="S183" s="75"/>
      <c r="T183" s="75"/>
    </row>
    <row r="184" spans="1:20" x14ac:dyDescent="0.35">
      <c r="A184" s="75"/>
      <c r="B184" s="75"/>
      <c r="C184" s="75"/>
      <c r="D184" s="75"/>
      <c r="E184" s="75"/>
      <c r="F184" s="75"/>
      <c r="G184" s="75"/>
      <c r="H184" s="75"/>
      <c r="I184" s="75"/>
      <c r="J184" s="75"/>
      <c r="K184" s="75"/>
      <c r="L184" s="75"/>
      <c r="M184" s="75"/>
      <c r="N184" s="75"/>
      <c r="O184" s="75"/>
      <c r="P184" s="75"/>
      <c r="Q184" s="75"/>
      <c r="R184" s="75"/>
      <c r="S184" s="75"/>
      <c r="T184" s="75"/>
    </row>
    <row r="185" spans="1:20" x14ac:dyDescent="0.35">
      <c r="A185" s="75"/>
      <c r="B185" s="75"/>
      <c r="C185" s="75"/>
      <c r="D185" s="75"/>
      <c r="E185" s="75"/>
      <c r="F185" s="75"/>
      <c r="G185" s="75"/>
      <c r="H185" s="75"/>
      <c r="I185" s="75"/>
      <c r="J185" s="75"/>
      <c r="K185" s="75"/>
      <c r="L185" s="75"/>
      <c r="M185" s="75"/>
      <c r="N185" s="75"/>
      <c r="O185" s="75"/>
      <c r="P185" s="75"/>
      <c r="Q185" s="75"/>
      <c r="R185" s="75"/>
      <c r="S185" s="75"/>
      <c r="T185" s="75"/>
    </row>
    <row r="186" spans="1:20" x14ac:dyDescent="0.35">
      <c r="A186" s="75"/>
      <c r="B186" s="75"/>
      <c r="C186" s="75"/>
      <c r="D186" s="75"/>
      <c r="E186" s="75"/>
      <c r="F186" s="75"/>
      <c r="G186" s="75"/>
      <c r="H186" s="75"/>
      <c r="I186" s="75"/>
      <c r="J186" s="75"/>
      <c r="K186" s="75"/>
      <c r="L186" s="75"/>
      <c r="M186" s="75"/>
      <c r="N186" s="75"/>
      <c r="O186" s="75"/>
      <c r="P186" s="75"/>
      <c r="Q186" s="75"/>
      <c r="R186" s="75"/>
      <c r="S186" s="75"/>
      <c r="T186" s="75"/>
    </row>
    <row r="187" spans="1:20" x14ac:dyDescent="0.35">
      <c r="A187" s="75"/>
      <c r="B187" s="75"/>
      <c r="C187" s="75"/>
      <c r="D187" s="75"/>
      <c r="E187" s="75"/>
      <c r="F187" s="75"/>
      <c r="G187" s="75"/>
      <c r="H187" s="75"/>
      <c r="I187" s="75"/>
      <c r="J187" s="75"/>
      <c r="K187" s="75"/>
      <c r="L187" s="75"/>
      <c r="M187" s="75"/>
      <c r="N187" s="75"/>
      <c r="O187" s="75"/>
      <c r="P187" s="75"/>
      <c r="Q187" s="75"/>
      <c r="R187" s="75"/>
      <c r="S187" s="75"/>
      <c r="T187" s="75"/>
    </row>
    <row r="188" spans="1:20" x14ac:dyDescent="0.35">
      <c r="A188" s="75"/>
      <c r="B188" s="75"/>
      <c r="C188" s="75"/>
      <c r="D188" s="75"/>
      <c r="E188" s="75"/>
      <c r="F188" s="75"/>
      <c r="G188" s="75"/>
      <c r="H188" s="75"/>
      <c r="I188" s="75"/>
      <c r="J188" s="75"/>
      <c r="K188" s="75"/>
      <c r="L188" s="75"/>
      <c r="M188" s="75"/>
      <c r="N188" s="75"/>
      <c r="O188" s="75"/>
      <c r="P188" s="75"/>
      <c r="Q188" s="75"/>
      <c r="R188" s="75"/>
      <c r="S188" s="75"/>
      <c r="T188" s="75"/>
    </row>
    <row r="189" spans="1:20" x14ac:dyDescent="0.35">
      <c r="A189" s="75"/>
      <c r="B189" s="75"/>
      <c r="C189" s="75"/>
      <c r="D189" s="75"/>
      <c r="E189" s="75"/>
      <c r="F189" s="75"/>
      <c r="G189" s="75"/>
      <c r="H189" s="75"/>
      <c r="I189" s="75"/>
      <c r="J189" s="75"/>
    </row>
    <row r="190" spans="1:20" x14ac:dyDescent="0.35">
      <c r="A190" s="75"/>
      <c r="B190" s="75"/>
      <c r="C190" s="75"/>
      <c r="D190" s="75"/>
      <c r="E190" s="75"/>
      <c r="F190" s="75"/>
      <c r="G190" s="75"/>
      <c r="H190" s="75"/>
      <c r="I190" s="75"/>
      <c r="J190" s="75"/>
    </row>
    <row r="191" spans="1:20" x14ac:dyDescent="0.35">
      <c r="A191" s="75"/>
      <c r="B191" s="75"/>
      <c r="C191" s="75"/>
      <c r="D191" s="75"/>
      <c r="E191" s="75"/>
      <c r="F191" s="75"/>
      <c r="G191" s="75"/>
      <c r="H191" s="75"/>
      <c r="I191" s="75"/>
      <c r="J191" s="75"/>
    </row>
    <row r="192" spans="1:20" x14ac:dyDescent="0.35">
      <c r="A192" s="75"/>
      <c r="B192" s="75"/>
      <c r="C192" s="75"/>
      <c r="D192" s="75"/>
      <c r="E192" s="75"/>
      <c r="F192" s="75"/>
      <c r="G192" s="75"/>
      <c r="H192" s="75"/>
      <c r="I192" s="75"/>
      <c r="J192" s="75"/>
    </row>
    <row r="193" spans="1:10" x14ac:dyDescent="0.35">
      <c r="A193" s="75"/>
      <c r="B193" s="75"/>
      <c r="C193" s="75"/>
      <c r="D193" s="75"/>
      <c r="E193" s="75"/>
      <c r="F193" s="75"/>
      <c r="G193" s="75"/>
      <c r="H193" s="75"/>
      <c r="I193" s="75"/>
      <c r="J193" s="75"/>
    </row>
    <row r="194" spans="1:10" x14ac:dyDescent="0.35">
      <c r="A194" s="75"/>
      <c r="B194" s="75"/>
      <c r="C194" s="75"/>
      <c r="D194" s="75"/>
      <c r="E194" s="75"/>
      <c r="F194" s="75"/>
      <c r="G194" s="75"/>
      <c r="H194" s="75"/>
      <c r="I194" s="75"/>
      <c r="J194" s="75"/>
    </row>
    <row r="195" spans="1:10" x14ac:dyDescent="0.35">
      <c r="A195" s="75"/>
      <c r="B195" s="75"/>
      <c r="C195" s="75"/>
      <c r="D195" s="75"/>
      <c r="E195" s="75"/>
      <c r="F195" s="75"/>
      <c r="G195" s="75"/>
      <c r="H195" s="75"/>
      <c r="I195" s="75"/>
      <c r="J195" s="75"/>
    </row>
    <row r="196" spans="1:10" x14ac:dyDescent="0.35">
      <c r="A196" s="75"/>
      <c r="B196" s="75"/>
      <c r="C196" s="75"/>
      <c r="D196" s="75"/>
      <c r="E196" s="75"/>
      <c r="F196" s="75"/>
      <c r="G196" s="75"/>
      <c r="H196" s="75"/>
      <c r="I196" s="75"/>
      <c r="J196" s="75"/>
    </row>
    <row r="197" spans="1:10" x14ac:dyDescent="0.35">
      <c r="A197" s="75"/>
      <c r="B197" s="75"/>
      <c r="C197" s="75"/>
      <c r="D197" s="75"/>
      <c r="E197" s="75"/>
      <c r="F197" s="75"/>
      <c r="G197" s="75"/>
      <c r="H197" s="75"/>
      <c r="I197" s="75"/>
      <c r="J197" s="75"/>
    </row>
    <row r="198" spans="1:10" x14ac:dyDescent="0.35">
      <c r="A198" s="75"/>
      <c r="B198" s="75"/>
      <c r="C198" s="75"/>
      <c r="D198" s="75"/>
      <c r="E198" s="75"/>
      <c r="F198" s="75"/>
      <c r="G198" s="75"/>
      <c r="H198" s="75"/>
      <c r="I198" s="75"/>
      <c r="J198" s="75"/>
    </row>
    <row r="199" spans="1:10" x14ac:dyDescent="0.35">
      <c r="A199" s="75"/>
      <c r="B199" s="75"/>
      <c r="C199" s="75"/>
      <c r="D199" s="75"/>
      <c r="E199" s="75"/>
      <c r="F199" s="75"/>
      <c r="G199" s="75"/>
      <c r="H199" s="75"/>
      <c r="I199" s="75"/>
      <c r="J199" s="75"/>
    </row>
    <row r="200" spans="1:10" x14ac:dyDescent="0.35">
      <c r="A200" s="75"/>
      <c r="B200" s="75"/>
      <c r="C200" s="75"/>
      <c r="D200" s="75"/>
      <c r="E200" s="75"/>
      <c r="F200" s="75"/>
      <c r="G200" s="75"/>
      <c r="H200" s="75"/>
      <c r="I200" s="75"/>
      <c r="J200" s="75"/>
    </row>
    <row r="201" spans="1:10" x14ac:dyDescent="0.35">
      <c r="A201" s="75"/>
      <c r="B201" s="75"/>
      <c r="C201" s="75"/>
      <c r="D201" s="75"/>
      <c r="E201" s="75"/>
      <c r="F201" s="75"/>
      <c r="G201" s="75"/>
      <c r="H201" s="75"/>
      <c r="I201" s="75"/>
      <c r="J201" s="75"/>
    </row>
    <row r="202" spans="1:10" x14ac:dyDescent="0.35">
      <c r="A202" s="75"/>
      <c r="B202" s="75"/>
      <c r="C202" s="75"/>
      <c r="D202" s="75"/>
      <c r="E202" s="75"/>
      <c r="F202" s="75"/>
      <c r="G202" s="75"/>
      <c r="H202" s="75"/>
      <c r="I202" s="75"/>
      <c r="J202" s="75"/>
    </row>
    <row r="203" spans="1:10" x14ac:dyDescent="0.35">
      <c r="A203" s="75"/>
      <c r="B203" s="75"/>
      <c r="C203" s="75"/>
      <c r="D203" s="75"/>
      <c r="E203" s="75"/>
      <c r="F203" s="75"/>
      <c r="G203" s="75"/>
      <c r="H203" s="75"/>
      <c r="I203" s="75"/>
      <c r="J203" s="75"/>
    </row>
    <row r="204" spans="1:10" x14ac:dyDescent="0.35">
      <c r="A204" s="75"/>
      <c r="B204" s="75"/>
      <c r="C204" s="75"/>
      <c r="D204" s="75"/>
      <c r="E204" s="75"/>
      <c r="F204" s="75"/>
      <c r="G204" s="75"/>
      <c r="H204" s="75"/>
      <c r="I204" s="75"/>
      <c r="J204" s="75"/>
    </row>
    <row r="205" spans="1:10" x14ac:dyDescent="0.35">
      <c r="A205" s="75"/>
      <c r="B205" s="75"/>
      <c r="C205" s="75"/>
      <c r="D205" s="75"/>
      <c r="E205" s="75"/>
      <c r="F205" s="75"/>
      <c r="G205" s="75"/>
      <c r="H205" s="75"/>
      <c r="I205" s="75"/>
      <c r="J205" s="75"/>
    </row>
    <row r="206" spans="1:10" x14ac:dyDescent="0.35">
      <c r="A206" s="75"/>
      <c r="B206" s="75"/>
      <c r="C206" s="75"/>
      <c r="D206" s="75"/>
      <c r="E206" s="75"/>
      <c r="F206" s="75"/>
      <c r="G206" s="75"/>
      <c r="H206" s="75"/>
      <c r="I206" s="75"/>
      <c r="J206" s="75"/>
    </row>
    <row r="207" spans="1:10" x14ac:dyDescent="0.35">
      <c r="A207" s="75"/>
      <c r="B207" s="75"/>
      <c r="C207" s="75"/>
      <c r="D207" s="75"/>
      <c r="E207" s="75"/>
      <c r="F207" s="75"/>
      <c r="G207" s="75"/>
      <c r="H207" s="75"/>
      <c r="I207" s="75"/>
      <c r="J207" s="75"/>
    </row>
    <row r="208" spans="1:10" x14ac:dyDescent="0.35">
      <c r="A208" s="75"/>
      <c r="B208" s="75"/>
      <c r="C208" s="75"/>
      <c r="D208" s="75"/>
      <c r="E208" s="75"/>
      <c r="F208" s="75"/>
      <c r="G208" s="75"/>
      <c r="H208" s="75"/>
      <c r="I208" s="75"/>
      <c r="J208" s="75"/>
    </row>
    <row r="209" spans="1:10" x14ac:dyDescent="0.35">
      <c r="A209" s="75"/>
      <c r="B209" s="75"/>
      <c r="C209" s="75"/>
      <c r="D209" s="75"/>
      <c r="E209" s="75"/>
      <c r="F209" s="75"/>
      <c r="G209" s="75"/>
      <c r="H209" s="75"/>
      <c r="I209" s="75"/>
      <c r="J209" s="75"/>
    </row>
    <row r="210" spans="1:10" x14ac:dyDescent="0.35">
      <c r="A210" s="75"/>
      <c r="B210" s="75"/>
      <c r="C210" s="75"/>
      <c r="D210" s="75"/>
      <c r="E210" s="75"/>
      <c r="F210" s="75"/>
      <c r="G210" s="75"/>
      <c r="H210" s="75"/>
      <c r="I210" s="75"/>
      <c r="J210" s="75"/>
    </row>
    <row r="211" spans="1:10" x14ac:dyDescent="0.35">
      <c r="A211" s="75"/>
      <c r="B211" s="75"/>
      <c r="C211" s="75"/>
      <c r="D211" s="75"/>
      <c r="E211" s="75"/>
      <c r="F211" s="75"/>
      <c r="G211" s="75"/>
      <c r="H211" s="75"/>
      <c r="I211" s="75"/>
      <c r="J211" s="75"/>
    </row>
    <row r="212" spans="1:10" x14ac:dyDescent="0.35">
      <c r="A212" s="75"/>
      <c r="B212" s="75"/>
      <c r="C212" s="75"/>
      <c r="D212" s="75"/>
      <c r="E212" s="75"/>
      <c r="F212" s="75"/>
      <c r="G212" s="75"/>
      <c r="H212" s="75"/>
      <c r="I212" s="75"/>
      <c r="J212" s="75"/>
    </row>
    <row r="213" spans="1:10" x14ac:dyDescent="0.35">
      <c r="A213" s="75"/>
      <c r="B213" s="75"/>
      <c r="C213" s="75"/>
      <c r="D213" s="75"/>
      <c r="E213" s="75"/>
      <c r="F213" s="75"/>
      <c r="G213" s="75"/>
      <c r="H213" s="75"/>
      <c r="I213" s="75"/>
      <c r="J213" s="75"/>
    </row>
    <row r="214" spans="1:10" x14ac:dyDescent="0.35">
      <c r="A214" s="75"/>
      <c r="B214" s="75"/>
      <c r="C214" s="75"/>
      <c r="D214" s="75"/>
      <c r="E214" s="75"/>
      <c r="F214" s="75"/>
      <c r="G214" s="75"/>
      <c r="H214" s="75"/>
      <c r="I214" s="75"/>
      <c r="J214" s="75"/>
    </row>
    <row r="215" spans="1:10" x14ac:dyDescent="0.35">
      <c r="A215" s="75"/>
      <c r="B215" s="75"/>
      <c r="C215" s="75"/>
      <c r="D215" s="75"/>
      <c r="E215" s="75"/>
      <c r="F215" s="75"/>
      <c r="G215" s="75"/>
      <c r="H215" s="75"/>
      <c r="I215" s="75"/>
      <c r="J215" s="75"/>
    </row>
    <row r="216" spans="1:10" x14ac:dyDescent="0.35">
      <c r="A216" s="75"/>
      <c r="B216" s="75"/>
      <c r="C216" s="75"/>
      <c r="D216" s="75"/>
      <c r="E216" s="75"/>
      <c r="F216" s="75"/>
      <c r="G216" s="75"/>
      <c r="H216" s="75"/>
      <c r="I216" s="75"/>
      <c r="J216" s="75"/>
    </row>
    <row r="217" spans="1:10" x14ac:dyDescent="0.35">
      <c r="A217" s="75"/>
      <c r="B217" s="75"/>
      <c r="C217" s="75"/>
      <c r="D217" s="75"/>
      <c r="E217" s="75"/>
      <c r="F217" s="75"/>
      <c r="G217" s="75"/>
      <c r="H217" s="75"/>
      <c r="I217" s="75"/>
      <c r="J217" s="75"/>
    </row>
    <row r="218" spans="1:10" x14ac:dyDescent="0.35">
      <c r="A218" s="75"/>
      <c r="B218" s="75"/>
      <c r="C218" s="75"/>
      <c r="D218" s="75"/>
      <c r="E218" s="75"/>
      <c r="F218" s="75"/>
      <c r="G218" s="75"/>
      <c r="H218" s="75"/>
      <c r="I218" s="75"/>
      <c r="J218" s="75"/>
    </row>
    <row r="219" spans="1:10" x14ac:dyDescent="0.35">
      <c r="A219" s="75"/>
      <c r="B219" s="75"/>
      <c r="C219" s="75"/>
      <c r="D219" s="75"/>
      <c r="E219" s="75"/>
      <c r="F219" s="75"/>
      <c r="G219" s="75"/>
      <c r="H219" s="75"/>
      <c r="I219" s="75"/>
      <c r="J219" s="75"/>
    </row>
    <row r="220" spans="1:10" x14ac:dyDescent="0.35">
      <c r="A220" s="75"/>
      <c r="B220" s="75"/>
      <c r="C220" s="75"/>
      <c r="D220" s="75"/>
      <c r="E220" s="75"/>
      <c r="F220" s="75"/>
      <c r="G220" s="75"/>
      <c r="H220" s="75"/>
      <c r="I220" s="75"/>
      <c r="J220" s="75"/>
    </row>
    <row r="221" spans="1:10" x14ac:dyDescent="0.35">
      <c r="A221" s="75"/>
      <c r="B221" s="75"/>
      <c r="C221" s="75"/>
      <c r="D221" s="75"/>
      <c r="E221" s="75"/>
      <c r="F221" s="75"/>
      <c r="G221" s="75"/>
      <c r="H221" s="75"/>
      <c r="I221" s="75"/>
      <c r="J221" s="75"/>
    </row>
    <row r="222" spans="1:10" x14ac:dyDescent="0.35">
      <c r="A222" s="75"/>
      <c r="B222" s="75"/>
      <c r="C222" s="75"/>
      <c r="D222" s="75"/>
      <c r="E222" s="75"/>
      <c r="F222" s="75"/>
      <c r="G222" s="75"/>
      <c r="H222" s="75"/>
      <c r="I222" s="75"/>
      <c r="J222" s="75"/>
    </row>
    <row r="223" spans="1:10" x14ac:dyDescent="0.35">
      <c r="A223" s="75"/>
      <c r="B223" s="75"/>
      <c r="C223" s="75"/>
      <c r="D223" s="75"/>
      <c r="E223" s="75"/>
      <c r="F223" s="75"/>
      <c r="G223" s="75"/>
      <c r="H223" s="75"/>
      <c r="I223" s="75"/>
      <c r="J223" s="75"/>
    </row>
    <row r="224" spans="1:10" x14ac:dyDescent="0.35">
      <c r="A224" s="75"/>
      <c r="B224" s="75"/>
      <c r="C224" s="75"/>
      <c r="D224" s="75"/>
      <c r="E224" s="75"/>
      <c r="F224" s="75"/>
      <c r="G224" s="75"/>
      <c r="H224" s="75"/>
      <c r="I224" s="75"/>
      <c r="J224" s="75"/>
    </row>
    <row r="225" spans="1:10" x14ac:dyDescent="0.35">
      <c r="A225" s="75"/>
      <c r="B225" s="75"/>
      <c r="C225" s="75"/>
      <c r="D225" s="75"/>
      <c r="E225" s="75"/>
      <c r="F225" s="75"/>
      <c r="G225" s="75"/>
      <c r="H225" s="75"/>
      <c r="I225" s="75"/>
      <c r="J225" s="75"/>
    </row>
    <row r="226" spans="1:10" x14ac:dyDescent="0.35">
      <c r="A226" s="75"/>
      <c r="B226" s="75"/>
      <c r="C226" s="75"/>
      <c r="D226" s="75"/>
      <c r="E226" s="75"/>
      <c r="F226" s="75"/>
      <c r="G226" s="75"/>
      <c r="H226" s="75"/>
      <c r="I226" s="75"/>
      <c r="J226" s="75"/>
    </row>
    <row r="227" spans="1:10" x14ac:dyDescent="0.35">
      <c r="A227" s="75"/>
      <c r="B227" s="75"/>
      <c r="C227" s="75"/>
      <c r="D227" s="75"/>
      <c r="E227" s="75"/>
      <c r="F227" s="75"/>
      <c r="G227" s="75"/>
      <c r="H227" s="75"/>
      <c r="I227" s="75"/>
      <c r="J227" s="75"/>
    </row>
    <row r="228" spans="1:10" x14ac:dyDescent="0.35">
      <c r="A228" s="75"/>
      <c r="B228" s="75"/>
      <c r="C228" s="75"/>
      <c r="D228" s="75"/>
      <c r="E228" s="75"/>
      <c r="F228" s="75"/>
      <c r="G228" s="75"/>
      <c r="H228" s="75"/>
      <c r="I228" s="75"/>
      <c r="J228" s="75"/>
    </row>
    <row r="229" spans="1:10" x14ac:dyDescent="0.35">
      <c r="A229" s="75"/>
      <c r="B229" s="75"/>
      <c r="C229" s="75"/>
      <c r="D229" s="75"/>
      <c r="E229" s="75"/>
      <c r="F229" s="75"/>
      <c r="G229" s="75"/>
      <c r="H229" s="75"/>
      <c r="I229" s="75"/>
      <c r="J229" s="75"/>
    </row>
    <row r="230" spans="1:10" x14ac:dyDescent="0.35">
      <c r="A230" s="75"/>
      <c r="B230" s="75"/>
      <c r="C230" s="75"/>
      <c r="D230" s="75"/>
      <c r="E230" s="75"/>
      <c r="F230" s="75"/>
      <c r="G230" s="75"/>
      <c r="H230" s="75"/>
      <c r="I230" s="75"/>
      <c r="J230" s="75"/>
    </row>
    <row r="231" spans="1:10" x14ac:dyDescent="0.35">
      <c r="A231" s="75"/>
      <c r="B231" s="75"/>
      <c r="C231" s="75"/>
      <c r="D231" s="75"/>
      <c r="E231" s="75"/>
      <c r="F231" s="75"/>
      <c r="G231" s="75"/>
      <c r="H231" s="75"/>
      <c r="I231" s="75"/>
      <c r="J231" s="75"/>
    </row>
    <row r="232" spans="1:10" x14ac:dyDescent="0.35">
      <c r="A232" s="75"/>
      <c r="B232" s="75"/>
      <c r="C232" s="75"/>
      <c r="D232" s="75"/>
      <c r="E232" s="75"/>
      <c r="F232" s="75"/>
      <c r="G232" s="75"/>
      <c r="H232" s="75"/>
      <c r="I232" s="75"/>
      <c r="J232" s="75"/>
    </row>
    <row r="233" spans="1:10" x14ac:dyDescent="0.35">
      <c r="A233" s="75"/>
      <c r="B233" s="75"/>
      <c r="C233" s="75"/>
      <c r="D233" s="75"/>
      <c r="E233" s="75"/>
      <c r="F233" s="75"/>
      <c r="G233" s="75"/>
      <c r="H233" s="75"/>
      <c r="I233" s="75"/>
      <c r="J233" s="75"/>
    </row>
    <row r="234" spans="1:10" x14ac:dyDescent="0.35">
      <c r="A234" s="75"/>
      <c r="B234" s="75"/>
      <c r="C234" s="75"/>
      <c r="D234" s="75"/>
      <c r="E234" s="75"/>
      <c r="F234" s="75"/>
      <c r="G234" s="75"/>
      <c r="H234" s="75"/>
      <c r="I234" s="75"/>
      <c r="J234" s="75"/>
    </row>
    <row r="235" spans="1:10" x14ac:dyDescent="0.35">
      <c r="A235" s="75"/>
      <c r="B235" s="75"/>
      <c r="C235" s="75"/>
      <c r="D235" s="75"/>
      <c r="E235" s="75"/>
      <c r="F235" s="75"/>
      <c r="G235" s="75"/>
      <c r="H235" s="75"/>
      <c r="I235" s="75"/>
      <c r="J235" s="75"/>
    </row>
  </sheetData>
  <sheetProtection algorithmName="SHA-512" hashValue="CmNpvsUmwsk3KWPMRwoUUOF0tbf+0tbM88ZNYfCXUOmkDXrOfVK0HiDpnbGT08oINHNeOxw7MB/ZP/NxBA8bHw==" saltValue="8eYTKQO7l4Uhb+nv1ApB5g==" spinCount="100000" sheet="1" selectLockedCells="1"/>
  <mergeCells count="9">
    <mergeCell ref="A189:J235"/>
    <mergeCell ref="K48:T94"/>
    <mergeCell ref="K1:T47"/>
    <mergeCell ref="K95:T141"/>
    <mergeCell ref="K142:T188"/>
    <mergeCell ref="A1:J47"/>
    <mergeCell ref="A95:J141"/>
    <mergeCell ref="A48:J94"/>
    <mergeCell ref="A142:J188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138"/>
  <sheetViews>
    <sheetView workbookViewId="0">
      <selection sqref="A1:XFD1048576"/>
    </sheetView>
  </sheetViews>
  <sheetFormatPr defaultRowHeight="14.5" x14ac:dyDescent="0.35"/>
  <sheetData>
    <row r="1" spans="1:10" ht="18.5" x14ac:dyDescent="0.45">
      <c r="A1" s="82" t="s">
        <v>13</v>
      </c>
      <c r="B1" s="83"/>
      <c r="C1" s="83"/>
      <c r="D1" s="83"/>
      <c r="E1" s="4"/>
      <c r="J1" s="2"/>
    </row>
    <row r="2" spans="1:10" ht="15.5" x14ac:dyDescent="0.35">
      <c r="A2" s="3"/>
      <c r="B2" s="5"/>
      <c r="C2" s="5"/>
      <c r="D2" s="5"/>
      <c r="E2" s="1"/>
    </row>
    <row r="3" spans="1:10" ht="14.5" customHeight="1" x14ac:dyDescent="0.35">
      <c r="A3" s="84" t="s">
        <v>14</v>
      </c>
      <c r="B3" s="81"/>
      <c r="C3" s="84" t="s">
        <v>15</v>
      </c>
      <c r="D3" s="85"/>
      <c r="E3" s="1"/>
    </row>
    <row r="4" spans="1:10" x14ac:dyDescent="0.35">
      <c r="A4" s="78">
        <v>-24</v>
      </c>
      <c r="B4" s="78"/>
      <c r="C4" s="79">
        <f t="shared" ref="C4:C16" si="0">C5-0.014</f>
        <v>5.3999999999999909E-2</v>
      </c>
      <c r="D4" s="81"/>
      <c r="E4" s="1"/>
    </row>
    <row r="5" spans="1:10" x14ac:dyDescent="0.35">
      <c r="A5" s="78">
        <v>-23</v>
      </c>
      <c r="B5" s="78"/>
      <c r="C5" s="79">
        <f t="shared" si="0"/>
        <v>6.7999999999999908E-2</v>
      </c>
      <c r="D5" s="81"/>
      <c r="E5" s="1"/>
    </row>
    <row r="6" spans="1:10" x14ac:dyDescent="0.35">
      <c r="A6" s="78">
        <v>-22</v>
      </c>
      <c r="B6" s="78"/>
      <c r="C6" s="79">
        <f t="shared" si="0"/>
        <v>8.1999999999999906E-2</v>
      </c>
      <c r="D6" s="81"/>
      <c r="E6" s="1"/>
    </row>
    <row r="7" spans="1:10" x14ac:dyDescent="0.35">
      <c r="A7" s="78">
        <v>-21</v>
      </c>
      <c r="B7" s="78"/>
      <c r="C7" s="79">
        <f t="shared" si="0"/>
        <v>9.5999999999999905E-2</v>
      </c>
      <c r="D7" s="81"/>
      <c r="E7" s="1"/>
    </row>
    <row r="8" spans="1:10" x14ac:dyDescent="0.35">
      <c r="A8" s="78">
        <v>-20</v>
      </c>
      <c r="B8" s="78"/>
      <c r="C8" s="79">
        <f t="shared" si="0"/>
        <v>0.1099999999999999</v>
      </c>
      <c r="D8" s="81"/>
      <c r="E8" s="1"/>
    </row>
    <row r="9" spans="1:10" x14ac:dyDescent="0.35">
      <c r="A9" s="78">
        <v>-19</v>
      </c>
      <c r="B9" s="78"/>
      <c r="C9" s="79">
        <f t="shared" si="0"/>
        <v>0.1239999999999999</v>
      </c>
      <c r="D9" s="81"/>
      <c r="E9" s="1"/>
    </row>
    <row r="10" spans="1:10" x14ac:dyDescent="0.35">
      <c r="A10" s="78">
        <v>-18</v>
      </c>
      <c r="B10" s="78"/>
      <c r="C10" s="79">
        <f t="shared" si="0"/>
        <v>0.1379999999999999</v>
      </c>
      <c r="D10" s="81"/>
      <c r="E10" s="1"/>
    </row>
    <row r="11" spans="1:10" x14ac:dyDescent="0.35">
      <c r="A11" s="78">
        <v>-17</v>
      </c>
      <c r="B11" s="78"/>
      <c r="C11" s="79">
        <f t="shared" si="0"/>
        <v>0.15199999999999991</v>
      </c>
      <c r="D11" s="81"/>
      <c r="E11" s="1"/>
    </row>
    <row r="12" spans="1:10" x14ac:dyDescent="0.35">
      <c r="A12" s="78">
        <v>-16</v>
      </c>
      <c r="B12" s="78"/>
      <c r="C12" s="79">
        <f t="shared" si="0"/>
        <v>0.16599999999999993</v>
      </c>
      <c r="D12" s="81"/>
      <c r="E12" s="1"/>
    </row>
    <row r="13" spans="1:10" x14ac:dyDescent="0.35">
      <c r="A13" s="78">
        <v>-15</v>
      </c>
      <c r="B13" s="78"/>
      <c r="C13" s="79">
        <f t="shared" si="0"/>
        <v>0.17999999999999994</v>
      </c>
      <c r="D13" s="81"/>
      <c r="E13" s="1"/>
    </row>
    <row r="14" spans="1:10" x14ac:dyDescent="0.35">
      <c r="A14" s="78">
        <v>-14</v>
      </c>
      <c r="B14" s="78"/>
      <c r="C14" s="79">
        <f t="shared" si="0"/>
        <v>0.19399999999999995</v>
      </c>
      <c r="D14" s="81"/>
      <c r="E14" s="1"/>
    </row>
    <row r="15" spans="1:10" x14ac:dyDescent="0.35">
      <c r="A15" s="78">
        <v>-13</v>
      </c>
      <c r="B15" s="78"/>
      <c r="C15" s="79">
        <f t="shared" si="0"/>
        <v>0.20799999999999996</v>
      </c>
      <c r="D15" s="81"/>
      <c r="E15" s="1"/>
    </row>
    <row r="16" spans="1:10" x14ac:dyDescent="0.35">
      <c r="A16" s="78">
        <v>-12</v>
      </c>
      <c r="B16" s="78"/>
      <c r="C16" s="79">
        <f t="shared" si="0"/>
        <v>0.22199999999999998</v>
      </c>
      <c r="D16" s="81"/>
      <c r="E16" s="1"/>
    </row>
    <row r="17" spans="1:5" x14ac:dyDescent="0.35">
      <c r="A17" s="78">
        <v>-11</v>
      </c>
      <c r="B17" s="78"/>
      <c r="C17" s="79">
        <f>C18-0.014</f>
        <v>0.23599999999999999</v>
      </c>
      <c r="D17" s="81"/>
      <c r="E17" s="1"/>
    </row>
    <row r="18" spans="1:5" x14ac:dyDescent="0.35">
      <c r="A18" s="78">
        <v>-10</v>
      </c>
      <c r="B18" s="78"/>
      <c r="C18" s="79">
        <v>0.25</v>
      </c>
      <c r="D18" s="81"/>
      <c r="E18" s="1"/>
    </row>
    <row r="19" spans="1:5" x14ac:dyDescent="0.35">
      <c r="A19" s="78">
        <v>-9</v>
      </c>
      <c r="B19" s="78"/>
      <c r="C19" s="79">
        <f>C18+0.014</f>
        <v>0.26400000000000001</v>
      </c>
      <c r="D19" s="80"/>
      <c r="E19" s="1"/>
    </row>
    <row r="20" spans="1:5" x14ac:dyDescent="0.35">
      <c r="A20" s="78">
        <v>-8</v>
      </c>
      <c r="B20" s="78"/>
      <c r="C20" s="79">
        <f>C19+0.014</f>
        <v>0.27800000000000002</v>
      </c>
      <c r="D20" s="80"/>
      <c r="E20" s="1"/>
    </row>
    <row r="21" spans="1:5" x14ac:dyDescent="0.35">
      <c r="A21" s="78">
        <v>-7</v>
      </c>
      <c r="B21" s="78"/>
      <c r="C21" s="79">
        <f>C20+0.014</f>
        <v>0.29200000000000004</v>
      </c>
      <c r="D21" s="80"/>
      <c r="E21" s="1"/>
    </row>
    <row r="22" spans="1:5" x14ac:dyDescent="0.35">
      <c r="A22" s="78">
        <v>-6</v>
      </c>
      <c r="B22" s="78"/>
      <c r="C22" s="79">
        <f>C21+0.014</f>
        <v>0.30600000000000005</v>
      </c>
      <c r="D22" s="80"/>
      <c r="E22" s="1"/>
    </row>
    <row r="23" spans="1:5" x14ac:dyDescent="0.35">
      <c r="A23" s="78">
        <v>-5</v>
      </c>
      <c r="B23" s="78"/>
      <c r="C23" s="79">
        <v>0.32</v>
      </c>
      <c r="D23" s="80"/>
      <c r="E23" s="1"/>
    </row>
    <row r="24" spans="1:5" x14ac:dyDescent="0.35">
      <c r="A24" s="78">
        <v>-4</v>
      </c>
      <c r="B24" s="78"/>
      <c r="C24" s="79">
        <f>C23+0.016</f>
        <v>0.33600000000000002</v>
      </c>
      <c r="D24" s="80"/>
      <c r="E24" s="1"/>
    </row>
    <row r="25" spans="1:5" x14ac:dyDescent="0.35">
      <c r="A25" s="78">
        <v>-3</v>
      </c>
      <c r="B25" s="78"/>
      <c r="C25" s="79">
        <f>C24+0.016</f>
        <v>0.35200000000000004</v>
      </c>
      <c r="D25" s="80"/>
      <c r="E25" s="1"/>
    </row>
    <row r="26" spans="1:5" x14ac:dyDescent="0.35">
      <c r="A26" s="78">
        <v>-2</v>
      </c>
      <c r="B26" s="78"/>
      <c r="C26" s="79">
        <f>C25+0.016</f>
        <v>0.36800000000000005</v>
      </c>
      <c r="D26" s="80"/>
      <c r="E26" s="1"/>
    </row>
    <row r="27" spans="1:5" x14ac:dyDescent="0.35">
      <c r="A27" s="78">
        <v>-1</v>
      </c>
      <c r="B27" s="78"/>
      <c r="C27" s="79">
        <f>C26+0.016</f>
        <v>0.38400000000000006</v>
      </c>
      <c r="D27" s="80"/>
      <c r="E27" s="1"/>
    </row>
    <row r="28" spans="1:5" x14ac:dyDescent="0.35">
      <c r="A28" s="78">
        <v>0</v>
      </c>
      <c r="B28" s="78"/>
      <c r="C28" s="79">
        <v>0.4</v>
      </c>
      <c r="D28" s="80"/>
      <c r="E28" s="1"/>
    </row>
    <row r="29" spans="1:5" x14ac:dyDescent="0.35">
      <c r="A29" s="78">
        <v>1</v>
      </c>
      <c r="B29" s="78"/>
      <c r="C29" s="79">
        <v>0.42</v>
      </c>
      <c r="D29" s="80"/>
      <c r="E29" s="1"/>
    </row>
    <row r="30" spans="1:5" x14ac:dyDescent="0.35">
      <c r="A30" s="78">
        <v>2</v>
      </c>
      <c r="B30" s="78"/>
      <c r="C30" s="79">
        <v>0.44</v>
      </c>
      <c r="D30" s="80"/>
      <c r="E30" s="1"/>
    </row>
    <row r="31" spans="1:5" x14ac:dyDescent="0.35">
      <c r="A31" s="78">
        <v>3</v>
      </c>
      <c r="B31" s="78"/>
      <c r="C31" s="79">
        <v>0.46</v>
      </c>
      <c r="D31" s="80"/>
      <c r="E31" s="1"/>
    </row>
    <row r="32" spans="1:5" x14ac:dyDescent="0.35">
      <c r="A32" s="78">
        <v>4</v>
      </c>
      <c r="B32" s="78"/>
      <c r="C32" s="79">
        <v>0.48</v>
      </c>
      <c r="D32" s="80"/>
      <c r="E32" s="1"/>
    </row>
    <row r="33" spans="1:5" x14ac:dyDescent="0.35">
      <c r="A33" s="78">
        <v>5</v>
      </c>
      <c r="B33" s="78"/>
      <c r="C33" s="79">
        <v>0.5</v>
      </c>
      <c r="D33" s="80"/>
      <c r="E33" s="1"/>
    </row>
    <row r="34" spans="1:5" x14ac:dyDescent="0.35">
      <c r="A34" s="78">
        <v>6</v>
      </c>
      <c r="B34" s="78"/>
      <c r="C34" s="79">
        <v>0.52600000000000002</v>
      </c>
      <c r="D34" s="80"/>
      <c r="E34" s="1"/>
    </row>
    <row r="35" spans="1:5" x14ac:dyDescent="0.35">
      <c r="A35" s="78">
        <v>7</v>
      </c>
      <c r="B35" s="78"/>
      <c r="C35" s="79">
        <f>C34+0.026</f>
        <v>0.55200000000000005</v>
      </c>
      <c r="D35" s="80"/>
      <c r="E35" s="1"/>
    </row>
    <row r="36" spans="1:5" x14ac:dyDescent="0.35">
      <c r="A36" s="78">
        <v>8</v>
      </c>
      <c r="B36" s="78"/>
      <c r="C36" s="79">
        <f>C35+0.026</f>
        <v>0.57800000000000007</v>
      </c>
      <c r="D36" s="80"/>
      <c r="E36" s="1"/>
    </row>
    <row r="37" spans="1:5" x14ac:dyDescent="0.35">
      <c r="A37" s="78">
        <v>9</v>
      </c>
      <c r="B37" s="78"/>
      <c r="C37" s="79">
        <f>C36+0.026</f>
        <v>0.60400000000000009</v>
      </c>
      <c r="D37" s="80"/>
      <c r="E37" s="1"/>
    </row>
    <row r="38" spans="1:5" x14ac:dyDescent="0.35">
      <c r="A38" s="78">
        <v>10</v>
      </c>
      <c r="B38" s="78"/>
      <c r="C38" s="79">
        <v>0.63</v>
      </c>
      <c r="D38" s="80"/>
      <c r="E38" s="1"/>
    </row>
    <row r="39" spans="1:5" x14ac:dyDescent="0.35">
      <c r="A39" s="78">
        <v>11</v>
      </c>
      <c r="B39" s="78"/>
      <c r="C39" s="79">
        <f>C38+0.036</f>
        <v>0.66600000000000004</v>
      </c>
      <c r="D39" s="80"/>
      <c r="E39" s="1"/>
    </row>
    <row r="40" spans="1:5" x14ac:dyDescent="0.35">
      <c r="A40" s="78">
        <v>12</v>
      </c>
      <c r="B40" s="78"/>
      <c r="C40" s="79">
        <f>C39+0.036</f>
        <v>0.70200000000000007</v>
      </c>
      <c r="D40" s="80"/>
      <c r="E40" s="1"/>
    </row>
    <row r="41" spans="1:5" x14ac:dyDescent="0.35">
      <c r="A41" s="78">
        <v>13</v>
      </c>
      <c r="B41" s="78"/>
      <c r="C41" s="79">
        <f>C40+0.036</f>
        <v>0.7380000000000001</v>
      </c>
      <c r="D41" s="80"/>
      <c r="E41" s="1"/>
    </row>
    <row r="42" spans="1:5" x14ac:dyDescent="0.35">
      <c r="A42" s="78">
        <v>14</v>
      </c>
      <c r="B42" s="78"/>
      <c r="C42" s="79">
        <f>C41+0.036</f>
        <v>0.77400000000000013</v>
      </c>
      <c r="D42" s="80"/>
      <c r="E42" s="1"/>
    </row>
    <row r="43" spans="1:5" x14ac:dyDescent="0.35">
      <c r="A43" s="78">
        <v>15</v>
      </c>
      <c r="B43" s="78"/>
      <c r="C43" s="79">
        <v>0.81</v>
      </c>
      <c r="D43" s="80"/>
      <c r="E43" s="1"/>
    </row>
    <row r="44" spans="1:5" x14ac:dyDescent="0.35">
      <c r="A44" s="78">
        <v>16</v>
      </c>
      <c r="B44" s="78"/>
      <c r="C44" s="79">
        <f>C43+0.038</f>
        <v>0.84800000000000009</v>
      </c>
      <c r="D44" s="80"/>
      <c r="E44" s="1"/>
    </row>
    <row r="45" spans="1:5" x14ac:dyDescent="0.35">
      <c r="A45" s="78">
        <v>17</v>
      </c>
      <c r="B45" s="78"/>
      <c r="C45" s="79">
        <f>C44+0.038</f>
        <v>0.88600000000000012</v>
      </c>
      <c r="D45" s="80"/>
      <c r="E45" s="1"/>
    </row>
    <row r="46" spans="1:5" x14ac:dyDescent="0.35">
      <c r="A46" s="78">
        <v>18</v>
      </c>
      <c r="B46" s="78"/>
      <c r="C46" s="79">
        <f>C45+0.038</f>
        <v>0.92400000000000015</v>
      </c>
      <c r="D46" s="80"/>
      <c r="E46" s="1"/>
    </row>
    <row r="47" spans="1:5" x14ac:dyDescent="0.35">
      <c r="A47" s="78">
        <v>19</v>
      </c>
      <c r="B47" s="78"/>
      <c r="C47" s="79">
        <f>C46+0.038</f>
        <v>0.96200000000000019</v>
      </c>
      <c r="D47" s="80"/>
      <c r="E47" s="1"/>
    </row>
    <row r="48" spans="1:5" x14ac:dyDescent="0.35">
      <c r="A48" s="78">
        <v>20</v>
      </c>
      <c r="B48" s="78"/>
      <c r="C48" s="79">
        <v>1</v>
      </c>
      <c r="D48" s="80"/>
      <c r="E48" s="1"/>
    </row>
    <row r="49" spans="1:5" x14ac:dyDescent="0.35">
      <c r="A49" s="78">
        <v>21</v>
      </c>
      <c r="B49" s="78"/>
      <c r="C49" s="79">
        <v>1.05</v>
      </c>
      <c r="D49" s="80"/>
      <c r="E49" s="1"/>
    </row>
    <row r="50" spans="1:5" x14ac:dyDescent="0.35">
      <c r="A50" s="78">
        <v>22</v>
      </c>
      <c r="B50" s="78"/>
      <c r="C50" s="79">
        <v>1.1000000000000001</v>
      </c>
      <c r="D50" s="80"/>
      <c r="E50" s="1"/>
    </row>
    <row r="51" spans="1:5" x14ac:dyDescent="0.35">
      <c r="A51" s="78">
        <v>23</v>
      </c>
      <c r="B51" s="78"/>
      <c r="C51" s="79">
        <v>1.1499999999999999</v>
      </c>
      <c r="D51" s="80"/>
      <c r="E51" s="1"/>
    </row>
    <row r="52" spans="1:5" x14ac:dyDescent="0.35">
      <c r="A52" s="78">
        <v>24</v>
      </c>
      <c r="B52" s="78"/>
      <c r="C52" s="79">
        <v>1.2</v>
      </c>
      <c r="D52" s="80"/>
      <c r="E52" s="1"/>
    </row>
    <row r="53" spans="1:5" x14ac:dyDescent="0.35">
      <c r="A53" s="78">
        <v>25</v>
      </c>
      <c r="B53" s="78"/>
      <c r="C53" s="79">
        <v>1.25</v>
      </c>
      <c r="D53" s="80"/>
      <c r="E53" s="1"/>
    </row>
    <row r="54" spans="1:5" x14ac:dyDescent="0.35">
      <c r="A54" s="78">
        <v>26</v>
      </c>
      <c r="B54" s="78"/>
      <c r="C54" s="79">
        <f>C53+0.066</f>
        <v>1.3160000000000001</v>
      </c>
      <c r="D54" s="80"/>
      <c r="E54" s="1"/>
    </row>
    <row r="55" spans="1:5" x14ac:dyDescent="0.35">
      <c r="A55" s="78">
        <v>27</v>
      </c>
      <c r="B55" s="78"/>
      <c r="C55" s="79">
        <f>C54+0.066</f>
        <v>1.3820000000000001</v>
      </c>
      <c r="D55" s="80"/>
      <c r="E55" s="1"/>
    </row>
    <row r="56" spans="1:5" x14ac:dyDescent="0.35">
      <c r="A56" s="78">
        <v>28</v>
      </c>
      <c r="B56" s="78"/>
      <c r="C56" s="79">
        <f>C55+0.066</f>
        <v>1.4480000000000002</v>
      </c>
      <c r="D56" s="80"/>
      <c r="E56" s="1"/>
    </row>
    <row r="57" spans="1:5" x14ac:dyDescent="0.35">
      <c r="A57" s="78">
        <v>29</v>
      </c>
      <c r="B57" s="78"/>
      <c r="C57" s="79">
        <f>C56+0.066</f>
        <v>1.5140000000000002</v>
      </c>
      <c r="D57" s="80"/>
      <c r="E57" s="1"/>
    </row>
    <row r="58" spans="1:5" x14ac:dyDescent="0.35">
      <c r="A58" s="78">
        <v>30</v>
      </c>
      <c r="B58" s="78"/>
      <c r="C58" s="79">
        <v>1.58</v>
      </c>
      <c r="D58" s="80"/>
      <c r="E58" s="1"/>
    </row>
    <row r="59" spans="1:5" x14ac:dyDescent="0.35">
      <c r="A59" s="78">
        <v>31</v>
      </c>
      <c r="B59" s="78"/>
      <c r="C59" s="79">
        <f>C58+0.084</f>
        <v>1.6640000000000001</v>
      </c>
      <c r="D59" s="80"/>
      <c r="E59" s="1"/>
    </row>
    <row r="60" spans="1:5" x14ac:dyDescent="0.35">
      <c r="A60" s="78">
        <v>32</v>
      </c>
      <c r="B60" s="78"/>
      <c r="C60" s="79">
        <f>C59+0.084</f>
        <v>1.7480000000000002</v>
      </c>
      <c r="D60" s="80"/>
      <c r="E60" s="1"/>
    </row>
    <row r="61" spans="1:5" x14ac:dyDescent="0.35">
      <c r="A61" s="78">
        <v>33</v>
      </c>
      <c r="B61" s="78"/>
      <c r="C61" s="79">
        <f>C60+0.084</f>
        <v>1.8320000000000003</v>
      </c>
      <c r="D61" s="80"/>
      <c r="E61" s="1"/>
    </row>
    <row r="62" spans="1:5" x14ac:dyDescent="0.35">
      <c r="A62" s="78">
        <v>34</v>
      </c>
      <c r="B62" s="78"/>
      <c r="C62" s="79">
        <f>C61+0.04</f>
        <v>1.8720000000000003</v>
      </c>
      <c r="D62" s="80"/>
      <c r="E62" s="1"/>
    </row>
    <row r="63" spans="1:5" x14ac:dyDescent="0.35">
      <c r="A63" s="78">
        <v>35</v>
      </c>
      <c r="B63" s="78"/>
      <c r="C63" s="79">
        <v>2</v>
      </c>
      <c r="D63" s="80"/>
      <c r="E63" s="1"/>
    </row>
    <row r="64" spans="1:5" x14ac:dyDescent="0.35">
      <c r="A64" s="78">
        <v>36</v>
      </c>
      <c r="B64" s="78"/>
      <c r="C64" s="79">
        <v>2.1</v>
      </c>
      <c r="D64" s="80"/>
      <c r="E64" s="1"/>
    </row>
    <row r="65" spans="1:5" x14ac:dyDescent="0.35">
      <c r="A65" s="78">
        <v>37</v>
      </c>
      <c r="B65" s="78"/>
      <c r="C65" s="79">
        <v>2.2000000000000002</v>
      </c>
      <c r="D65" s="80"/>
      <c r="E65" s="1"/>
    </row>
    <row r="66" spans="1:5" x14ac:dyDescent="0.35">
      <c r="A66" s="78">
        <v>38</v>
      </c>
      <c r="B66" s="78"/>
      <c r="C66" s="79">
        <v>2.2999999999999998</v>
      </c>
      <c r="D66" s="80"/>
      <c r="E66" s="1"/>
    </row>
    <row r="67" spans="1:5" x14ac:dyDescent="0.35">
      <c r="A67" s="78">
        <v>39</v>
      </c>
      <c r="B67" s="78"/>
      <c r="C67" s="79">
        <v>2.4</v>
      </c>
      <c r="D67" s="80"/>
      <c r="E67" s="1"/>
    </row>
    <row r="68" spans="1:5" x14ac:dyDescent="0.35">
      <c r="A68" s="78">
        <v>40</v>
      </c>
      <c r="B68" s="78"/>
      <c r="C68" s="79">
        <v>2.5</v>
      </c>
      <c r="D68" s="80"/>
      <c r="E68" s="1"/>
    </row>
    <row r="69" spans="1:5" x14ac:dyDescent="0.35">
      <c r="A69" s="78">
        <v>41</v>
      </c>
      <c r="B69" s="78"/>
      <c r="C69" s="79">
        <f>C68+0.128</f>
        <v>2.6280000000000001</v>
      </c>
      <c r="D69" s="80"/>
      <c r="E69" s="1"/>
    </row>
    <row r="70" spans="1:5" x14ac:dyDescent="0.35">
      <c r="A70" s="78">
        <v>42</v>
      </c>
      <c r="B70" s="78"/>
      <c r="C70" s="79">
        <f>C69+0.128</f>
        <v>2.7560000000000002</v>
      </c>
      <c r="D70" s="80"/>
      <c r="E70" s="1"/>
    </row>
    <row r="71" spans="1:5" x14ac:dyDescent="0.35">
      <c r="A71" s="78">
        <v>43</v>
      </c>
      <c r="B71" s="78"/>
      <c r="C71" s="79">
        <f>C70+0.128</f>
        <v>2.8840000000000003</v>
      </c>
      <c r="D71" s="80"/>
      <c r="E71" s="1"/>
    </row>
    <row r="72" spans="1:5" x14ac:dyDescent="0.35">
      <c r="A72" s="78">
        <v>44</v>
      </c>
      <c r="B72" s="78"/>
      <c r="C72" s="79">
        <f>C71+0.128</f>
        <v>3.0120000000000005</v>
      </c>
      <c r="D72" s="80"/>
      <c r="E72" s="1"/>
    </row>
    <row r="73" spans="1:5" x14ac:dyDescent="0.35">
      <c r="A73" s="78">
        <v>45</v>
      </c>
      <c r="B73" s="78"/>
      <c r="C73" s="79">
        <v>3.15</v>
      </c>
      <c r="D73" s="80"/>
      <c r="E73" s="1"/>
    </row>
    <row r="74" spans="1:5" x14ac:dyDescent="0.35">
      <c r="A74" s="78">
        <v>46</v>
      </c>
      <c r="B74" s="78"/>
      <c r="C74" s="79">
        <f>C73+0.166</f>
        <v>3.3159999999999998</v>
      </c>
      <c r="D74" s="80"/>
      <c r="E74" s="1"/>
    </row>
    <row r="75" spans="1:5" x14ac:dyDescent="0.35">
      <c r="A75" s="78">
        <v>47</v>
      </c>
      <c r="B75" s="78"/>
      <c r="C75" s="79">
        <f>C74+0.166</f>
        <v>3.4819999999999998</v>
      </c>
      <c r="D75" s="80"/>
      <c r="E75" s="1"/>
    </row>
    <row r="76" spans="1:5" x14ac:dyDescent="0.35">
      <c r="A76" s="78">
        <v>48</v>
      </c>
      <c r="B76" s="78"/>
      <c r="C76" s="79">
        <f>C75+0.166</f>
        <v>3.6479999999999997</v>
      </c>
      <c r="D76" s="80"/>
      <c r="E76" s="1"/>
    </row>
    <row r="77" spans="1:5" x14ac:dyDescent="0.35">
      <c r="A77" s="78">
        <v>49</v>
      </c>
      <c r="B77" s="78"/>
      <c r="C77" s="79">
        <f>C76+0.166</f>
        <v>3.8139999999999996</v>
      </c>
      <c r="D77" s="80"/>
      <c r="E77" s="1"/>
    </row>
    <row r="78" spans="1:5" x14ac:dyDescent="0.35">
      <c r="A78" s="78">
        <v>50</v>
      </c>
      <c r="B78" s="78"/>
      <c r="C78" s="79">
        <v>3.98</v>
      </c>
      <c r="D78" s="80"/>
      <c r="E78" s="1"/>
    </row>
    <row r="79" spans="1:5" x14ac:dyDescent="0.35">
      <c r="A79" s="78">
        <v>51</v>
      </c>
      <c r="B79" s="78"/>
      <c r="C79" s="79">
        <f>C78+0.204</f>
        <v>4.1840000000000002</v>
      </c>
      <c r="D79" s="80"/>
      <c r="E79" s="1"/>
    </row>
    <row r="80" spans="1:5" x14ac:dyDescent="0.35">
      <c r="A80" s="78">
        <v>52</v>
      </c>
      <c r="B80" s="78"/>
      <c r="C80" s="79">
        <f>C79+0.204</f>
        <v>4.3879999999999999</v>
      </c>
      <c r="D80" s="80"/>
      <c r="E80" s="1"/>
    </row>
    <row r="81" spans="1:5" x14ac:dyDescent="0.35">
      <c r="A81" s="78">
        <v>53</v>
      </c>
      <c r="B81" s="78"/>
      <c r="C81" s="79">
        <f>C80+0.204</f>
        <v>4.5919999999999996</v>
      </c>
      <c r="D81" s="80"/>
      <c r="E81" s="1"/>
    </row>
    <row r="82" spans="1:5" x14ac:dyDescent="0.35">
      <c r="A82" s="78">
        <v>54</v>
      </c>
      <c r="B82" s="78"/>
      <c r="C82" s="79">
        <f>C81+0.204</f>
        <v>4.7959999999999994</v>
      </c>
      <c r="D82" s="80"/>
      <c r="E82" s="1"/>
    </row>
    <row r="83" spans="1:5" x14ac:dyDescent="0.35">
      <c r="A83" s="78">
        <v>55</v>
      </c>
      <c r="B83" s="78"/>
      <c r="C83" s="79">
        <v>5</v>
      </c>
      <c r="D83" s="80"/>
      <c r="E83" s="1"/>
    </row>
    <row r="84" spans="1:5" x14ac:dyDescent="0.35">
      <c r="A84" s="78">
        <v>56</v>
      </c>
      <c r="B84" s="78"/>
      <c r="C84" s="79">
        <v>5.26</v>
      </c>
      <c r="D84" s="80"/>
      <c r="E84" s="1"/>
    </row>
    <row r="85" spans="1:5" x14ac:dyDescent="0.35">
      <c r="A85" s="78">
        <v>57</v>
      </c>
      <c r="B85" s="78"/>
      <c r="C85" s="79">
        <f>C84+0.26</f>
        <v>5.52</v>
      </c>
      <c r="D85" s="80"/>
      <c r="E85" s="1"/>
    </row>
    <row r="86" spans="1:5" x14ac:dyDescent="0.35">
      <c r="A86" s="78">
        <v>58</v>
      </c>
      <c r="B86" s="78"/>
      <c r="C86" s="79">
        <f>C85+0.26</f>
        <v>5.7799999999999994</v>
      </c>
      <c r="D86" s="80"/>
      <c r="E86" s="1"/>
    </row>
    <row r="87" spans="1:5" x14ac:dyDescent="0.35">
      <c r="A87" s="78">
        <v>59</v>
      </c>
      <c r="B87" s="78"/>
      <c r="C87" s="79">
        <f>C86+0.26</f>
        <v>6.0399999999999991</v>
      </c>
      <c r="D87" s="80"/>
      <c r="E87" s="1"/>
    </row>
    <row r="88" spans="1:5" x14ac:dyDescent="0.35">
      <c r="A88" s="78">
        <v>60</v>
      </c>
      <c r="B88" s="78"/>
      <c r="C88" s="79">
        <v>6.3</v>
      </c>
      <c r="D88" s="80"/>
      <c r="E88" s="1"/>
    </row>
    <row r="89" spans="1:5" x14ac:dyDescent="0.35">
      <c r="A89" s="78">
        <v>61</v>
      </c>
      <c r="B89" s="78"/>
      <c r="C89" s="79">
        <v>6.62</v>
      </c>
      <c r="D89" s="80"/>
      <c r="E89" s="1"/>
    </row>
    <row r="90" spans="1:5" x14ac:dyDescent="0.35">
      <c r="A90" s="78">
        <v>62</v>
      </c>
      <c r="B90" s="78"/>
      <c r="C90" s="79">
        <f>C89+0.32</f>
        <v>6.94</v>
      </c>
      <c r="D90" s="80"/>
      <c r="E90" s="1"/>
    </row>
    <row r="91" spans="1:5" x14ac:dyDescent="0.35">
      <c r="A91" s="78">
        <v>63</v>
      </c>
      <c r="B91" s="78"/>
      <c r="C91" s="79">
        <f>C90+0.32</f>
        <v>7.2600000000000007</v>
      </c>
      <c r="D91" s="80"/>
      <c r="E91" s="1"/>
    </row>
    <row r="92" spans="1:5" x14ac:dyDescent="0.35">
      <c r="A92" s="78">
        <v>64</v>
      </c>
      <c r="B92" s="78"/>
      <c r="C92" s="79">
        <f>C91+0.32</f>
        <v>7.580000000000001</v>
      </c>
      <c r="D92" s="80"/>
      <c r="E92" s="1"/>
    </row>
    <row r="93" spans="1:5" x14ac:dyDescent="0.35">
      <c r="A93" s="78">
        <v>65</v>
      </c>
      <c r="B93" s="78"/>
      <c r="C93" s="79">
        <v>7.9</v>
      </c>
      <c r="D93" s="80"/>
      <c r="E93" s="1"/>
    </row>
    <row r="94" spans="1:5" x14ac:dyDescent="0.35">
      <c r="A94" s="78">
        <v>66</v>
      </c>
      <c r="B94" s="78"/>
      <c r="C94" s="79">
        <f>C93+0.42</f>
        <v>8.32</v>
      </c>
      <c r="D94" s="80"/>
      <c r="E94" s="1"/>
    </row>
    <row r="95" spans="1:5" x14ac:dyDescent="0.35">
      <c r="A95" s="78">
        <v>67</v>
      </c>
      <c r="B95" s="78"/>
      <c r="C95" s="79">
        <f>C94+0.42</f>
        <v>8.74</v>
      </c>
      <c r="D95" s="80"/>
      <c r="E95" s="1"/>
    </row>
    <row r="96" spans="1:5" x14ac:dyDescent="0.35">
      <c r="A96" s="78">
        <v>68</v>
      </c>
      <c r="B96" s="78"/>
      <c r="C96" s="79">
        <f>C95+0.42</f>
        <v>9.16</v>
      </c>
      <c r="D96" s="80"/>
      <c r="E96" s="1"/>
    </row>
    <row r="97" spans="1:5" x14ac:dyDescent="0.35">
      <c r="A97" s="78">
        <v>69</v>
      </c>
      <c r="B97" s="78"/>
      <c r="C97" s="79">
        <f>C96+0.42</f>
        <v>9.58</v>
      </c>
      <c r="D97" s="80"/>
      <c r="E97" s="1"/>
    </row>
    <row r="98" spans="1:5" x14ac:dyDescent="0.35">
      <c r="A98" s="78">
        <v>70</v>
      </c>
      <c r="B98" s="78"/>
      <c r="C98" s="79">
        <v>10</v>
      </c>
      <c r="D98" s="80"/>
      <c r="E98" s="1"/>
    </row>
    <row r="99" spans="1:5" x14ac:dyDescent="0.35">
      <c r="A99" s="78">
        <v>71</v>
      </c>
      <c r="B99" s="78"/>
      <c r="C99" s="79">
        <v>10.52</v>
      </c>
      <c r="D99" s="80"/>
      <c r="E99" s="1"/>
    </row>
    <row r="100" spans="1:5" x14ac:dyDescent="0.35">
      <c r="A100" s="78">
        <v>72</v>
      </c>
      <c r="B100" s="78"/>
      <c r="C100" s="79">
        <v>11.04</v>
      </c>
      <c r="D100" s="80"/>
      <c r="E100" s="1"/>
    </row>
    <row r="101" spans="1:5" x14ac:dyDescent="0.35">
      <c r="A101" s="78">
        <v>73</v>
      </c>
      <c r="B101" s="78"/>
      <c r="C101" s="79">
        <v>11.56</v>
      </c>
      <c r="D101" s="80"/>
      <c r="E101" s="1"/>
    </row>
    <row r="102" spans="1:5" x14ac:dyDescent="0.35">
      <c r="A102" s="78">
        <v>74</v>
      </c>
      <c r="B102" s="78"/>
      <c r="C102" s="79">
        <v>12.08</v>
      </c>
      <c r="D102" s="80"/>
      <c r="E102" s="1"/>
    </row>
    <row r="103" spans="1:5" x14ac:dyDescent="0.35">
      <c r="A103" s="78">
        <v>75</v>
      </c>
      <c r="B103" s="78"/>
      <c r="C103" s="79">
        <v>12.6</v>
      </c>
      <c r="D103" s="80"/>
      <c r="E103" s="1"/>
    </row>
    <row r="104" spans="1:5" x14ac:dyDescent="0.35">
      <c r="A104" s="78">
        <v>76</v>
      </c>
      <c r="B104" s="78"/>
      <c r="C104" s="79">
        <f>C103+0.64</f>
        <v>13.24</v>
      </c>
      <c r="D104" s="80"/>
      <c r="E104" s="1"/>
    </row>
    <row r="105" spans="1:5" x14ac:dyDescent="0.35">
      <c r="A105" s="78">
        <v>77</v>
      </c>
      <c r="B105" s="78"/>
      <c r="C105" s="79">
        <f>C104+0.64</f>
        <v>13.88</v>
      </c>
      <c r="D105" s="80"/>
      <c r="E105" s="1"/>
    </row>
    <row r="106" spans="1:5" x14ac:dyDescent="0.35">
      <c r="A106" s="78">
        <v>78</v>
      </c>
      <c r="B106" s="78"/>
      <c r="C106" s="79">
        <f>C105+0.64</f>
        <v>14.520000000000001</v>
      </c>
      <c r="D106" s="80"/>
      <c r="E106" s="1"/>
    </row>
    <row r="107" spans="1:5" x14ac:dyDescent="0.35">
      <c r="A107" s="78">
        <v>79</v>
      </c>
      <c r="B107" s="78"/>
      <c r="C107" s="79">
        <f>C106+0.64</f>
        <v>15.160000000000002</v>
      </c>
      <c r="D107" s="80"/>
      <c r="E107" s="1"/>
    </row>
    <row r="108" spans="1:5" x14ac:dyDescent="0.35">
      <c r="A108" s="78">
        <v>80</v>
      </c>
      <c r="B108" s="78"/>
      <c r="C108" s="79">
        <v>15.8</v>
      </c>
      <c r="D108" s="80"/>
      <c r="E108" s="1"/>
    </row>
    <row r="109" spans="1:5" x14ac:dyDescent="0.35">
      <c r="A109" s="78">
        <v>81</v>
      </c>
      <c r="B109" s="78"/>
      <c r="C109" s="79">
        <f>C108+0.84</f>
        <v>16.64</v>
      </c>
      <c r="D109" s="80"/>
      <c r="E109" s="1"/>
    </row>
    <row r="110" spans="1:5" x14ac:dyDescent="0.35">
      <c r="A110" s="78">
        <v>82</v>
      </c>
      <c r="B110" s="78"/>
      <c r="C110" s="79">
        <f>C109+0.84</f>
        <v>17.48</v>
      </c>
      <c r="D110" s="80"/>
      <c r="E110" s="1"/>
    </row>
    <row r="111" spans="1:5" x14ac:dyDescent="0.35">
      <c r="A111" s="78">
        <v>83</v>
      </c>
      <c r="B111" s="78"/>
      <c r="C111" s="79">
        <f>C110+0.84</f>
        <v>18.32</v>
      </c>
      <c r="D111" s="80"/>
      <c r="E111" s="1"/>
    </row>
    <row r="112" spans="1:5" x14ac:dyDescent="0.35">
      <c r="A112" s="78">
        <v>84</v>
      </c>
      <c r="B112" s="78"/>
      <c r="C112" s="79">
        <f>C111+0.84</f>
        <v>19.16</v>
      </c>
      <c r="D112" s="80"/>
      <c r="E112" s="1"/>
    </row>
    <row r="113" spans="1:5" x14ac:dyDescent="0.35">
      <c r="A113" s="78">
        <v>85</v>
      </c>
      <c r="B113" s="78"/>
      <c r="C113" s="79">
        <v>20</v>
      </c>
      <c r="D113" s="80"/>
      <c r="E113" s="1"/>
    </row>
    <row r="114" spans="1:5" x14ac:dyDescent="0.35">
      <c r="A114" s="78">
        <v>86</v>
      </c>
      <c r="B114" s="78"/>
      <c r="C114" s="79">
        <f>C113+1.04</f>
        <v>21.04</v>
      </c>
      <c r="D114" s="80"/>
      <c r="E114" s="1"/>
    </row>
    <row r="115" spans="1:5" x14ac:dyDescent="0.35">
      <c r="A115" s="78">
        <v>87</v>
      </c>
      <c r="B115" s="78"/>
      <c r="C115" s="79">
        <f>C114+1.04</f>
        <v>22.08</v>
      </c>
      <c r="D115" s="80"/>
      <c r="E115" s="1"/>
    </row>
    <row r="116" spans="1:5" x14ac:dyDescent="0.35">
      <c r="A116" s="78">
        <v>88</v>
      </c>
      <c r="B116" s="78"/>
      <c r="C116" s="79">
        <f>C115+1.04</f>
        <v>23.119999999999997</v>
      </c>
      <c r="D116" s="80"/>
      <c r="E116" s="1"/>
    </row>
    <row r="117" spans="1:5" x14ac:dyDescent="0.35">
      <c r="A117" s="78">
        <v>89</v>
      </c>
      <c r="B117" s="78"/>
      <c r="C117" s="79">
        <f>C116+1.04</f>
        <v>24.159999999999997</v>
      </c>
      <c r="D117" s="80"/>
      <c r="E117" s="1"/>
    </row>
    <row r="118" spans="1:5" x14ac:dyDescent="0.35">
      <c r="A118" s="78">
        <v>90</v>
      </c>
      <c r="B118" s="78"/>
      <c r="C118" s="79">
        <v>25.2</v>
      </c>
      <c r="D118" s="80"/>
      <c r="E118" s="1"/>
    </row>
    <row r="119" spans="1:5" x14ac:dyDescent="0.35">
      <c r="A119" s="78">
        <v>91</v>
      </c>
      <c r="B119" s="78"/>
      <c r="C119" s="79">
        <f>C118+1.25</f>
        <v>26.45</v>
      </c>
      <c r="D119" s="80"/>
      <c r="E119" s="1"/>
    </row>
    <row r="120" spans="1:5" x14ac:dyDescent="0.35">
      <c r="A120" s="78">
        <v>92</v>
      </c>
      <c r="B120" s="78"/>
      <c r="C120" s="79">
        <f>C119+1.25</f>
        <v>27.7</v>
      </c>
      <c r="D120" s="80"/>
      <c r="E120" s="1"/>
    </row>
    <row r="121" spans="1:5" x14ac:dyDescent="0.35">
      <c r="A121" s="78">
        <v>93</v>
      </c>
      <c r="B121" s="78"/>
      <c r="C121" s="79">
        <f>C120+1.25</f>
        <v>28.95</v>
      </c>
      <c r="D121" s="80"/>
      <c r="E121" s="1"/>
    </row>
    <row r="122" spans="1:5" x14ac:dyDescent="0.35">
      <c r="A122" s="78">
        <v>94</v>
      </c>
      <c r="B122" s="78"/>
      <c r="C122" s="79">
        <f>C121+1.25</f>
        <v>30.2</v>
      </c>
      <c r="D122" s="80"/>
      <c r="E122" s="1"/>
    </row>
    <row r="123" spans="1:5" x14ac:dyDescent="0.35">
      <c r="A123" s="78">
        <v>95</v>
      </c>
      <c r="B123" s="78"/>
      <c r="C123" s="79">
        <v>31.6</v>
      </c>
      <c r="D123" s="80"/>
      <c r="E123" s="1"/>
    </row>
    <row r="124" spans="1:5" x14ac:dyDescent="0.35">
      <c r="A124" s="78">
        <v>96</v>
      </c>
      <c r="B124" s="78"/>
      <c r="C124" s="79">
        <f>C123+1.68</f>
        <v>33.28</v>
      </c>
      <c r="D124" s="80"/>
    </row>
    <row r="125" spans="1:5" x14ac:dyDescent="0.35">
      <c r="A125" s="78">
        <v>97</v>
      </c>
      <c r="B125" s="78"/>
      <c r="C125" s="79">
        <f>C124+1.68</f>
        <v>34.96</v>
      </c>
      <c r="D125" s="80"/>
    </row>
    <row r="126" spans="1:5" x14ac:dyDescent="0.35">
      <c r="A126" s="78">
        <v>98</v>
      </c>
      <c r="B126" s="78"/>
      <c r="C126" s="79">
        <f>C125+1.68</f>
        <v>36.64</v>
      </c>
      <c r="D126" s="80"/>
    </row>
    <row r="127" spans="1:5" x14ac:dyDescent="0.35">
      <c r="A127" s="78">
        <v>99</v>
      </c>
      <c r="B127" s="78"/>
      <c r="C127" s="79">
        <f>C126+1.68</f>
        <v>38.32</v>
      </c>
      <c r="D127" s="80"/>
    </row>
    <row r="128" spans="1:5" x14ac:dyDescent="0.35">
      <c r="A128" s="78">
        <v>100</v>
      </c>
      <c r="B128" s="78"/>
      <c r="C128" s="79">
        <v>40</v>
      </c>
      <c r="D128" s="80"/>
    </row>
    <row r="129" spans="1:4" x14ac:dyDescent="0.35">
      <c r="A129" s="78">
        <v>101</v>
      </c>
      <c r="B129" s="78"/>
      <c r="C129" s="79">
        <f>C128+2.08</f>
        <v>42.08</v>
      </c>
      <c r="D129" s="80"/>
    </row>
    <row r="130" spans="1:4" x14ac:dyDescent="0.35">
      <c r="A130" s="78">
        <v>102</v>
      </c>
      <c r="B130" s="78"/>
      <c r="C130" s="79">
        <f>C129+2.08</f>
        <v>44.16</v>
      </c>
      <c r="D130" s="80"/>
    </row>
    <row r="131" spans="1:4" x14ac:dyDescent="0.35">
      <c r="A131" s="78">
        <v>103</v>
      </c>
      <c r="B131" s="78"/>
      <c r="C131" s="79">
        <f>C130+2.08</f>
        <v>46.239999999999995</v>
      </c>
      <c r="D131" s="80"/>
    </row>
    <row r="132" spans="1:4" x14ac:dyDescent="0.35">
      <c r="A132" s="78">
        <v>104</v>
      </c>
      <c r="B132" s="78"/>
      <c r="C132" s="79">
        <f>C131+2.08</f>
        <v>48.319999999999993</v>
      </c>
      <c r="D132" s="80"/>
    </row>
    <row r="133" spans="1:4" x14ac:dyDescent="0.35">
      <c r="A133" s="78">
        <v>105</v>
      </c>
      <c r="B133" s="78"/>
      <c r="C133" s="79">
        <v>50.4</v>
      </c>
      <c r="D133" s="80"/>
    </row>
    <row r="134" spans="1:4" x14ac:dyDescent="0.35">
      <c r="A134" s="78">
        <v>106</v>
      </c>
      <c r="B134" s="78"/>
      <c r="C134" s="79">
        <f>C133+2.56</f>
        <v>52.96</v>
      </c>
      <c r="D134" s="80"/>
    </row>
    <row r="135" spans="1:4" x14ac:dyDescent="0.35">
      <c r="A135" s="78">
        <v>107</v>
      </c>
      <c r="B135" s="78"/>
      <c r="C135" s="79">
        <f>C134+2.56</f>
        <v>55.52</v>
      </c>
      <c r="D135" s="80"/>
    </row>
    <row r="136" spans="1:4" x14ac:dyDescent="0.35">
      <c r="A136" s="78">
        <v>108</v>
      </c>
      <c r="B136" s="78"/>
      <c r="C136" s="79">
        <f>C135+2.56</f>
        <v>58.080000000000005</v>
      </c>
      <c r="D136" s="80"/>
    </row>
    <row r="137" spans="1:4" x14ac:dyDescent="0.35">
      <c r="A137" s="78">
        <v>109</v>
      </c>
      <c r="B137" s="78"/>
      <c r="C137" s="79">
        <f>C136+2.56</f>
        <v>60.640000000000008</v>
      </c>
      <c r="D137" s="80"/>
    </row>
    <row r="138" spans="1:4" x14ac:dyDescent="0.35">
      <c r="A138" s="78">
        <v>110</v>
      </c>
      <c r="B138" s="78"/>
      <c r="C138" s="79">
        <v>63.2</v>
      </c>
      <c r="D138" s="81"/>
    </row>
  </sheetData>
  <sheetProtection sheet="1" selectLockedCells="1"/>
  <mergeCells count="273">
    <mergeCell ref="C13:D13"/>
    <mergeCell ref="C14:D14"/>
    <mergeCell ref="C15:D15"/>
    <mergeCell ref="C16:D16"/>
    <mergeCell ref="C17:D17"/>
    <mergeCell ref="A18:B18"/>
    <mergeCell ref="C20:D20"/>
    <mergeCell ref="A13:B13"/>
    <mergeCell ref="A14:B14"/>
    <mergeCell ref="A15:B15"/>
    <mergeCell ref="A16:B16"/>
    <mergeCell ref="A17:B17"/>
    <mergeCell ref="C18:D18"/>
    <mergeCell ref="A1:D1"/>
    <mergeCell ref="A5:B5"/>
    <mergeCell ref="A6:B6"/>
    <mergeCell ref="A7:B7"/>
    <mergeCell ref="A8:B8"/>
    <mergeCell ref="A9:B9"/>
    <mergeCell ref="A10:B10"/>
    <mergeCell ref="A11:B11"/>
    <mergeCell ref="A12:B12"/>
    <mergeCell ref="A4:B4"/>
    <mergeCell ref="C4:D4"/>
    <mergeCell ref="C5:D5"/>
    <mergeCell ref="C6:D6"/>
    <mergeCell ref="C7:D7"/>
    <mergeCell ref="C8:D8"/>
    <mergeCell ref="C9:D9"/>
    <mergeCell ref="C10:D10"/>
    <mergeCell ref="A3:B3"/>
    <mergeCell ref="C3:D3"/>
    <mergeCell ref="C11:D11"/>
    <mergeCell ref="C12:D12"/>
    <mergeCell ref="A126:B126"/>
    <mergeCell ref="C128:D128"/>
    <mergeCell ref="A124:B124"/>
    <mergeCell ref="C126:D126"/>
    <mergeCell ref="A122:B122"/>
    <mergeCell ref="C124:D124"/>
    <mergeCell ref="A120:B120"/>
    <mergeCell ref="C122:D122"/>
    <mergeCell ref="A118:B118"/>
    <mergeCell ref="C120:D120"/>
    <mergeCell ref="C118:D118"/>
    <mergeCell ref="A127:B127"/>
    <mergeCell ref="A125:B125"/>
    <mergeCell ref="C127:D127"/>
    <mergeCell ref="A123:B123"/>
    <mergeCell ref="C125:D125"/>
    <mergeCell ref="A121:B121"/>
    <mergeCell ref="C123:D123"/>
    <mergeCell ref="C121:D121"/>
    <mergeCell ref="A136:B136"/>
    <mergeCell ref="C138:D138"/>
    <mergeCell ref="A134:B134"/>
    <mergeCell ref="C136:D136"/>
    <mergeCell ref="A132:B132"/>
    <mergeCell ref="C134:D134"/>
    <mergeCell ref="A130:B130"/>
    <mergeCell ref="C132:D132"/>
    <mergeCell ref="A128:B128"/>
    <mergeCell ref="C130:D130"/>
    <mergeCell ref="A138:B138"/>
    <mergeCell ref="A137:B137"/>
    <mergeCell ref="A135:B135"/>
    <mergeCell ref="C137:D137"/>
    <mergeCell ref="A133:B133"/>
    <mergeCell ref="C135:D135"/>
    <mergeCell ref="A131:B131"/>
    <mergeCell ref="C133:D133"/>
    <mergeCell ref="A129:B129"/>
    <mergeCell ref="C131:D131"/>
    <mergeCell ref="C129:D129"/>
    <mergeCell ref="A27:B27"/>
    <mergeCell ref="C29:D29"/>
    <mergeCell ref="A25:B25"/>
    <mergeCell ref="C27:D27"/>
    <mergeCell ref="A23:B23"/>
    <mergeCell ref="C25:D25"/>
    <mergeCell ref="A21:B21"/>
    <mergeCell ref="C23:D23"/>
    <mergeCell ref="A19:B19"/>
    <mergeCell ref="C21:D21"/>
    <mergeCell ref="A28:B28"/>
    <mergeCell ref="A26:B26"/>
    <mergeCell ref="C28:D28"/>
    <mergeCell ref="A24:B24"/>
    <mergeCell ref="C26:D26"/>
    <mergeCell ref="A22:B22"/>
    <mergeCell ref="C24:D24"/>
    <mergeCell ref="A20:B20"/>
    <mergeCell ref="C22:D22"/>
    <mergeCell ref="C19:D19"/>
    <mergeCell ref="A37:B37"/>
    <mergeCell ref="C39:D39"/>
    <mergeCell ref="A35:B35"/>
    <mergeCell ref="C37:D37"/>
    <mergeCell ref="A33:B33"/>
    <mergeCell ref="C35:D35"/>
    <mergeCell ref="A31:B31"/>
    <mergeCell ref="C33:D33"/>
    <mergeCell ref="A29:B29"/>
    <mergeCell ref="C31:D31"/>
    <mergeCell ref="A38:B38"/>
    <mergeCell ref="A36:B36"/>
    <mergeCell ref="C38:D38"/>
    <mergeCell ref="A34:B34"/>
    <mergeCell ref="C36:D36"/>
    <mergeCell ref="A32:B32"/>
    <mergeCell ref="C34:D34"/>
    <mergeCell ref="A30:B30"/>
    <mergeCell ref="C32:D32"/>
    <mergeCell ref="C30:D30"/>
    <mergeCell ref="A47:B47"/>
    <mergeCell ref="C49:D49"/>
    <mergeCell ref="A45:B45"/>
    <mergeCell ref="C47:D47"/>
    <mergeCell ref="A43:B43"/>
    <mergeCell ref="C45:D45"/>
    <mergeCell ref="A41:B41"/>
    <mergeCell ref="C43:D43"/>
    <mergeCell ref="A39:B39"/>
    <mergeCell ref="C41:D41"/>
    <mergeCell ref="A48:B48"/>
    <mergeCell ref="A46:B46"/>
    <mergeCell ref="C48:D48"/>
    <mergeCell ref="A44:B44"/>
    <mergeCell ref="C46:D46"/>
    <mergeCell ref="A42:B42"/>
    <mergeCell ref="C44:D44"/>
    <mergeCell ref="A40:B40"/>
    <mergeCell ref="C42:D42"/>
    <mergeCell ref="C40:D40"/>
    <mergeCell ref="A57:B57"/>
    <mergeCell ref="C59:D59"/>
    <mergeCell ref="A55:B55"/>
    <mergeCell ref="C57:D57"/>
    <mergeCell ref="A53:B53"/>
    <mergeCell ref="C55:D55"/>
    <mergeCell ref="A51:B51"/>
    <mergeCell ref="C53:D53"/>
    <mergeCell ref="A49:B49"/>
    <mergeCell ref="C51:D51"/>
    <mergeCell ref="A58:B58"/>
    <mergeCell ref="A56:B56"/>
    <mergeCell ref="C58:D58"/>
    <mergeCell ref="A54:B54"/>
    <mergeCell ref="C56:D56"/>
    <mergeCell ref="A52:B52"/>
    <mergeCell ref="C54:D54"/>
    <mergeCell ref="A50:B50"/>
    <mergeCell ref="C52:D52"/>
    <mergeCell ref="C50:D50"/>
    <mergeCell ref="A67:B67"/>
    <mergeCell ref="C69:D69"/>
    <mergeCell ref="A65:B65"/>
    <mergeCell ref="C67:D67"/>
    <mergeCell ref="A63:B63"/>
    <mergeCell ref="C65:D65"/>
    <mergeCell ref="A61:B61"/>
    <mergeCell ref="C63:D63"/>
    <mergeCell ref="A59:B59"/>
    <mergeCell ref="C61:D61"/>
    <mergeCell ref="A68:B68"/>
    <mergeCell ref="A66:B66"/>
    <mergeCell ref="C68:D68"/>
    <mergeCell ref="A64:B64"/>
    <mergeCell ref="C66:D66"/>
    <mergeCell ref="A62:B62"/>
    <mergeCell ref="C64:D64"/>
    <mergeCell ref="A60:B60"/>
    <mergeCell ref="C62:D62"/>
    <mergeCell ref="C60:D60"/>
    <mergeCell ref="A77:B77"/>
    <mergeCell ref="C79:D79"/>
    <mergeCell ref="A75:B75"/>
    <mergeCell ref="C77:D77"/>
    <mergeCell ref="A73:B73"/>
    <mergeCell ref="C75:D75"/>
    <mergeCell ref="A71:B71"/>
    <mergeCell ref="C73:D73"/>
    <mergeCell ref="A69:B69"/>
    <mergeCell ref="C71:D71"/>
    <mergeCell ref="A78:B78"/>
    <mergeCell ref="A76:B76"/>
    <mergeCell ref="C78:D78"/>
    <mergeCell ref="A74:B74"/>
    <mergeCell ref="C76:D76"/>
    <mergeCell ref="A72:B72"/>
    <mergeCell ref="C74:D74"/>
    <mergeCell ref="A70:B70"/>
    <mergeCell ref="C72:D72"/>
    <mergeCell ref="C70:D70"/>
    <mergeCell ref="A87:B87"/>
    <mergeCell ref="C89:D89"/>
    <mergeCell ref="A85:B85"/>
    <mergeCell ref="C87:D87"/>
    <mergeCell ref="A83:B83"/>
    <mergeCell ref="C85:D85"/>
    <mergeCell ref="A81:B81"/>
    <mergeCell ref="C83:D83"/>
    <mergeCell ref="A79:B79"/>
    <mergeCell ref="C81:D81"/>
    <mergeCell ref="A88:B88"/>
    <mergeCell ref="A86:B86"/>
    <mergeCell ref="C88:D88"/>
    <mergeCell ref="A84:B84"/>
    <mergeCell ref="C86:D86"/>
    <mergeCell ref="A82:B82"/>
    <mergeCell ref="C84:D84"/>
    <mergeCell ref="A80:B80"/>
    <mergeCell ref="C82:D82"/>
    <mergeCell ref="C80:D80"/>
    <mergeCell ref="A97:B97"/>
    <mergeCell ref="C99:D99"/>
    <mergeCell ref="A95:B95"/>
    <mergeCell ref="C97:D97"/>
    <mergeCell ref="A93:B93"/>
    <mergeCell ref="C95:D95"/>
    <mergeCell ref="A91:B91"/>
    <mergeCell ref="C93:D93"/>
    <mergeCell ref="A89:B89"/>
    <mergeCell ref="C91:D91"/>
    <mergeCell ref="A98:B98"/>
    <mergeCell ref="A96:B96"/>
    <mergeCell ref="C98:D98"/>
    <mergeCell ref="A94:B94"/>
    <mergeCell ref="C96:D96"/>
    <mergeCell ref="A92:B92"/>
    <mergeCell ref="C94:D94"/>
    <mergeCell ref="A90:B90"/>
    <mergeCell ref="C92:D92"/>
    <mergeCell ref="C90:D90"/>
    <mergeCell ref="A107:B107"/>
    <mergeCell ref="C109:D109"/>
    <mergeCell ref="A105:B105"/>
    <mergeCell ref="C107:D107"/>
    <mergeCell ref="A103:B103"/>
    <mergeCell ref="C105:D105"/>
    <mergeCell ref="A101:B101"/>
    <mergeCell ref="C103:D103"/>
    <mergeCell ref="A99:B99"/>
    <mergeCell ref="C101:D101"/>
    <mergeCell ref="A108:B108"/>
    <mergeCell ref="A106:B106"/>
    <mergeCell ref="C108:D108"/>
    <mergeCell ref="A104:B104"/>
    <mergeCell ref="C106:D106"/>
    <mergeCell ref="A102:B102"/>
    <mergeCell ref="C104:D104"/>
    <mergeCell ref="A100:B100"/>
    <mergeCell ref="C102:D102"/>
    <mergeCell ref="C100:D100"/>
    <mergeCell ref="A117:B117"/>
    <mergeCell ref="C119:D119"/>
    <mergeCell ref="A115:B115"/>
    <mergeCell ref="C117:D117"/>
    <mergeCell ref="A113:B113"/>
    <mergeCell ref="C115:D115"/>
    <mergeCell ref="A111:B111"/>
    <mergeCell ref="C113:D113"/>
    <mergeCell ref="A109:B109"/>
    <mergeCell ref="C111:D111"/>
    <mergeCell ref="A116:B116"/>
    <mergeCell ref="A114:B114"/>
    <mergeCell ref="C116:D116"/>
    <mergeCell ref="A112:B112"/>
    <mergeCell ref="C114:D114"/>
    <mergeCell ref="A110:B110"/>
    <mergeCell ref="C112:D112"/>
    <mergeCell ref="C110:D110"/>
    <mergeCell ref="A119:B119"/>
  </mergeCells>
  <pageMargins left="0.7" right="0.7" top="0.75" bottom="0.75" header="0.3" footer="0.3"/>
  <pageSetup orientation="portrait" horizontalDpi="300" verticalDpi="3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138"/>
  <sheetViews>
    <sheetView topLeftCell="A28" workbookViewId="0">
      <selection activeCell="A28" sqref="A1:XFD1048576"/>
    </sheetView>
  </sheetViews>
  <sheetFormatPr defaultRowHeight="14.5" x14ac:dyDescent="0.35"/>
  <sheetData>
    <row r="1" spans="1:4" ht="18.5" x14ac:dyDescent="0.45">
      <c r="A1" s="86" t="s">
        <v>18</v>
      </c>
      <c r="B1" s="87"/>
      <c r="C1" s="87"/>
      <c r="D1" s="88"/>
    </row>
    <row r="2" spans="1:4" x14ac:dyDescent="0.35">
      <c r="A2" s="8"/>
      <c r="B2" s="9"/>
      <c r="C2" s="9"/>
      <c r="D2" s="10"/>
    </row>
    <row r="3" spans="1:4" x14ac:dyDescent="0.35">
      <c r="A3" s="84" t="s">
        <v>17</v>
      </c>
      <c r="B3" s="81"/>
      <c r="C3" s="84" t="s">
        <v>6</v>
      </c>
      <c r="D3" s="81"/>
    </row>
    <row r="4" spans="1:4" x14ac:dyDescent="0.35">
      <c r="A4" s="79">
        <f t="shared" ref="A4:A18" si="0">(C4*(9/5))+32</f>
        <v>-11.200000000000003</v>
      </c>
      <c r="B4" s="81"/>
      <c r="C4" s="79">
        <v>-24</v>
      </c>
      <c r="D4" s="81"/>
    </row>
    <row r="5" spans="1:4" x14ac:dyDescent="0.35">
      <c r="A5" s="79">
        <f t="shared" si="0"/>
        <v>-9.3999999999999986</v>
      </c>
      <c r="B5" s="81"/>
      <c r="C5" s="79">
        <v>-23</v>
      </c>
      <c r="D5" s="81"/>
    </row>
    <row r="6" spans="1:4" x14ac:dyDescent="0.35">
      <c r="A6" s="79">
        <f t="shared" si="0"/>
        <v>-7.6000000000000014</v>
      </c>
      <c r="B6" s="81"/>
      <c r="C6" s="79">
        <v>-22</v>
      </c>
      <c r="D6" s="81"/>
    </row>
    <row r="7" spans="1:4" x14ac:dyDescent="0.35">
      <c r="A7" s="79">
        <f t="shared" si="0"/>
        <v>-5.8000000000000043</v>
      </c>
      <c r="B7" s="81"/>
      <c r="C7" s="79">
        <v>-21</v>
      </c>
      <c r="D7" s="81"/>
    </row>
    <row r="8" spans="1:4" x14ac:dyDescent="0.35">
      <c r="A8" s="79">
        <f t="shared" si="0"/>
        <v>-4</v>
      </c>
      <c r="B8" s="81"/>
      <c r="C8" s="79">
        <v>-20</v>
      </c>
      <c r="D8" s="81"/>
    </row>
    <row r="9" spans="1:4" x14ac:dyDescent="0.35">
      <c r="A9" s="79">
        <f t="shared" si="0"/>
        <v>-2.2000000000000028</v>
      </c>
      <c r="B9" s="81"/>
      <c r="C9" s="79">
        <v>-19</v>
      </c>
      <c r="D9" s="81"/>
    </row>
    <row r="10" spans="1:4" x14ac:dyDescent="0.35">
      <c r="A10" s="79">
        <f t="shared" si="0"/>
        <v>-0.39999999999999858</v>
      </c>
      <c r="B10" s="81"/>
      <c r="C10" s="79">
        <v>-18</v>
      </c>
      <c r="D10" s="81"/>
    </row>
    <row r="11" spans="1:4" x14ac:dyDescent="0.35">
      <c r="A11" s="79">
        <f t="shared" si="0"/>
        <v>1.3999999999999986</v>
      </c>
      <c r="B11" s="81"/>
      <c r="C11" s="79">
        <v>-17</v>
      </c>
      <c r="D11" s="81"/>
    </row>
    <row r="12" spans="1:4" x14ac:dyDescent="0.35">
      <c r="A12" s="79">
        <f t="shared" si="0"/>
        <v>3.1999999999999993</v>
      </c>
      <c r="B12" s="81"/>
      <c r="C12" s="79">
        <v>-16</v>
      </c>
      <c r="D12" s="81"/>
    </row>
    <row r="13" spans="1:4" x14ac:dyDescent="0.35">
      <c r="A13" s="79">
        <f t="shared" si="0"/>
        <v>5</v>
      </c>
      <c r="B13" s="81"/>
      <c r="C13" s="79">
        <v>-15</v>
      </c>
      <c r="D13" s="81"/>
    </row>
    <row r="14" spans="1:4" x14ac:dyDescent="0.35">
      <c r="A14" s="79">
        <f t="shared" si="0"/>
        <v>6.8000000000000007</v>
      </c>
      <c r="B14" s="81"/>
      <c r="C14" s="79">
        <v>-14</v>
      </c>
      <c r="D14" s="81"/>
    </row>
    <row r="15" spans="1:4" x14ac:dyDescent="0.35">
      <c r="A15" s="79">
        <f t="shared" si="0"/>
        <v>8.5999999999999979</v>
      </c>
      <c r="B15" s="81"/>
      <c r="C15" s="79">
        <v>-13</v>
      </c>
      <c r="D15" s="81"/>
    </row>
    <row r="16" spans="1:4" x14ac:dyDescent="0.35">
      <c r="A16" s="79">
        <f t="shared" si="0"/>
        <v>10.399999999999999</v>
      </c>
      <c r="B16" s="81"/>
      <c r="C16" s="79">
        <v>-12</v>
      </c>
      <c r="D16" s="81"/>
    </row>
    <row r="17" spans="1:4" x14ac:dyDescent="0.35">
      <c r="A17" s="79">
        <f t="shared" si="0"/>
        <v>12.2</v>
      </c>
      <c r="B17" s="81"/>
      <c r="C17" s="79">
        <v>-11</v>
      </c>
      <c r="D17" s="81"/>
    </row>
    <row r="18" spans="1:4" x14ac:dyDescent="0.35">
      <c r="A18" s="79">
        <f t="shared" si="0"/>
        <v>14</v>
      </c>
      <c r="B18" s="81"/>
      <c r="C18" s="79">
        <v>-10</v>
      </c>
      <c r="D18" s="81"/>
    </row>
    <row r="19" spans="1:4" x14ac:dyDescent="0.35">
      <c r="A19" s="79">
        <f>(C19*(9/5))+32</f>
        <v>15.8</v>
      </c>
      <c r="B19" s="81"/>
      <c r="C19" s="79">
        <v>-9</v>
      </c>
      <c r="D19" s="81"/>
    </row>
    <row r="20" spans="1:4" x14ac:dyDescent="0.35">
      <c r="A20" s="79">
        <f t="shared" ref="A20:A83" si="1">(C20*(9/5))+32</f>
        <v>17.600000000000001</v>
      </c>
      <c r="B20" s="81"/>
      <c r="C20" s="79">
        <v>-8</v>
      </c>
      <c r="D20" s="81"/>
    </row>
    <row r="21" spans="1:4" x14ac:dyDescent="0.35">
      <c r="A21" s="79">
        <f t="shared" si="1"/>
        <v>19.399999999999999</v>
      </c>
      <c r="B21" s="81"/>
      <c r="C21" s="79">
        <v>-7</v>
      </c>
      <c r="D21" s="81"/>
    </row>
    <row r="22" spans="1:4" x14ac:dyDescent="0.35">
      <c r="A22" s="79">
        <f t="shared" si="1"/>
        <v>21.2</v>
      </c>
      <c r="B22" s="81"/>
      <c r="C22" s="79">
        <v>-6</v>
      </c>
      <c r="D22" s="81"/>
    </row>
    <row r="23" spans="1:4" x14ac:dyDescent="0.35">
      <c r="A23" s="79">
        <f t="shared" si="1"/>
        <v>23</v>
      </c>
      <c r="B23" s="81"/>
      <c r="C23" s="79">
        <v>-5</v>
      </c>
      <c r="D23" s="81"/>
    </row>
    <row r="24" spans="1:4" x14ac:dyDescent="0.35">
      <c r="A24" s="79">
        <f t="shared" si="1"/>
        <v>24.8</v>
      </c>
      <c r="B24" s="81"/>
      <c r="C24" s="79">
        <v>-4</v>
      </c>
      <c r="D24" s="81"/>
    </row>
    <row r="25" spans="1:4" x14ac:dyDescent="0.35">
      <c r="A25" s="79">
        <f t="shared" si="1"/>
        <v>26.6</v>
      </c>
      <c r="B25" s="81"/>
      <c r="C25" s="79">
        <v>-3</v>
      </c>
      <c r="D25" s="81"/>
    </row>
    <row r="26" spans="1:4" x14ac:dyDescent="0.35">
      <c r="A26" s="79">
        <f t="shared" si="1"/>
        <v>28.4</v>
      </c>
      <c r="B26" s="81"/>
      <c r="C26" s="79">
        <v>-2</v>
      </c>
      <c r="D26" s="81"/>
    </row>
    <row r="27" spans="1:4" x14ac:dyDescent="0.35">
      <c r="A27" s="79">
        <f t="shared" si="1"/>
        <v>30.2</v>
      </c>
      <c r="B27" s="81"/>
      <c r="C27" s="79">
        <v>-1</v>
      </c>
      <c r="D27" s="81"/>
    </row>
    <row r="28" spans="1:4" x14ac:dyDescent="0.35">
      <c r="A28" s="79">
        <f t="shared" si="1"/>
        <v>32</v>
      </c>
      <c r="B28" s="81"/>
      <c r="C28" s="79">
        <v>0</v>
      </c>
      <c r="D28" s="81"/>
    </row>
    <row r="29" spans="1:4" x14ac:dyDescent="0.35">
      <c r="A29" s="79">
        <f t="shared" si="1"/>
        <v>33.799999999999997</v>
      </c>
      <c r="B29" s="81"/>
      <c r="C29" s="79">
        <v>1</v>
      </c>
      <c r="D29" s="81"/>
    </row>
    <row r="30" spans="1:4" x14ac:dyDescent="0.35">
      <c r="A30" s="79">
        <f t="shared" si="1"/>
        <v>35.6</v>
      </c>
      <c r="B30" s="81"/>
      <c r="C30" s="79">
        <v>2</v>
      </c>
      <c r="D30" s="81"/>
    </row>
    <row r="31" spans="1:4" x14ac:dyDescent="0.35">
      <c r="A31" s="79">
        <f t="shared" si="1"/>
        <v>37.4</v>
      </c>
      <c r="B31" s="81"/>
      <c r="C31" s="79">
        <v>3</v>
      </c>
      <c r="D31" s="81"/>
    </row>
    <row r="32" spans="1:4" x14ac:dyDescent="0.35">
      <c r="A32" s="79">
        <f t="shared" si="1"/>
        <v>39.200000000000003</v>
      </c>
      <c r="B32" s="81"/>
      <c r="C32" s="79">
        <v>4</v>
      </c>
      <c r="D32" s="81"/>
    </row>
    <row r="33" spans="1:4" x14ac:dyDescent="0.35">
      <c r="A33" s="79">
        <f t="shared" si="1"/>
        <v>41</v>
      </c>
      <c r="B33" s="81"/>
      <c r="C33" s="79">
        <v>5</v>
      </c>
      <c r="D33" s="81"/>
    </row>
    <row r="34" spans="1:4" x14ac:dyDescent="0.35">
      <c r="A34" s="79">
        <f t="shared" si="1"/>
        <v>42.8</v>
      </c>
      <c r="B34" s="81"/>
      <c r="C34" s="79">
        <v>6</v>
      </c>
      <c r="D34" s="81"/>
    </row>
    <row r="35" spans="1:4" x14ac:dyDescent="0.35">
      <c r="A35" s="79">
        <f t="shared" si="1"/>
        <v>44.6</v>
      </c>
      <c r="B35" s="81"/>
      <c r="C35" s="79">
        <v>7</v>
      </c>
      <c r="D35" s="81"/>
    </row>
    <row r="36" spans="1:4" x14ac:dyDescent="0.35">
      <c r="A36" s="79">
        <f t="shared" si="1"/>
        <v>46.4</v>
      </c>
      <c r="B36" s="81"/>
      <c r="C36" s="79">
        <v>8</v>
      </c>
      <c r="D36" s="81"/>
    </row>
    <row r="37" spans="1:4" x14ac:dyDescent="0.35">
      <c r="A37" s="79">
        <f t="shared" si="1"/>
        <v>48.2</v>
      </c>
      <c r="B37" s="81"/>
      <c r="C37" s="79">
        <v>9</v>
      </c>
      <c r="D37" s="81"/>
    </row>
    <row r="38" spans="1:4" x14ac:dyDescent="0.35">
      <c r="A38" s="79">
        <f t="shared" si="1"/>
        <v>50</v>
      </c>
      <c r="B38" s="81"/>
      <c r="C38" s="79">
        <v>10</v>
      </c>
      <c r="D38" s="81"/>
    </row>
    <row r="39" spans="1:4" x14ac:dyDescent="0.35">
      <c r="A39" s="79">
        <f t="shared" si="1"/>
        <v>51.8</v>
      </c>
      <c r="B39" s="81"/>
      <c r="C39" s="79">
        <v>11</v>
      </c>
      <c r="D39" s="81"/>
    </row>
    <row r="40" spans="1:4" x14ac:dyDescent="0.35">
      <c r="A40" s="79">
        <f t="shared" si="1"/>
        <v>53.6</v>
      </c>
      <c r="B40" s="81"/>
      <c r="C40" s="79">
        <v>12</v>
      </c>
      <c r="D40" s="81"/>
    </row>
    <row r="41" spans="1:4" x14ac:dyDescent="0.35">
      <c r="A41" s="79">
        <f t="shared" si="1"/>
        <v>55.400000000000006</v>
      </c>
      <c r="B41" s="81"/>
      <c r="C41" s="79">
        <v>13</v>
      </c>
      <c r="D41" s="81"/>
    </row>
    <row r="42" spans="1:4" x14ac:dyDescent="0.35">
      <c r="A42" s="79">
        <f t="shared" si="1"/>
        <v>57.2</v>
      </c>
      <c r="B42" s="81"/>
      <c r="C42" s="79">
        <v>14</v>
      </c>
      <c r="D42" s="81"/>
    </row>
    <row r="43" spans="1:4" x14ac:dyDescent="0.35">
      <c r="A43" s="79">
        <f t="shared" si="1"/>
        <v>59</v>
      </c>
      <c r="B43" s="81"/>
      <c r="C43" s="79">
        <v>15</v>
      </c>
      <c r="D43" s="81"/>
    </row>
    <row r="44" spans="1:4" x14ac:dyDescent="0.35">
      <c r="A44" s="79">
        <f t="shared" si="1"/>
        <v>60.8</v>
      </c>
      <c r="B44" s="81"/>
      <c r="C44" s="79">
        <v>16</v>
      </c>
      <c r="D44" s="81"/>
    </row>
    <row r="45" spans="1:4" x14ac:dyDescent="0.35">
      <c r="A45" s="79">
        <f t="shared" si="1"/>
        <v>62.6</v>
      </c>
      <c r="B45" s="81"/>
      <c r="C45" s="79">
        <v>17</v>
      </c>
      <c r="D45" s="81"/>
    </row>
    <row r="46" spans="1:4" x14ac:dyDescent="0.35">
      <c r="A46" s="79">
        <f t="shared" si="1"/>
        <v>64.400000000000006</v>
      </c>
      <c r="B46" s="81"/>
      <c r="C46" s="79">
        <v>18</v>
      </c>
      <c r="D46" s="81"/>
    </row>
    <row r="47" spans="1:4" x14ac:dyDescent="0.35">
      <c r="A47" s="79">
        <f t="shared" si="1"/>
        <v>66.2</v>
      </c>
      <c r="B47" s="81"/>
      <c r="C47" s="79">
        <v>19</v>
      </c>
      <c r="D47" s="81"/>
    </row>
    <row r="48" spans="1:4" x14ac:dyDescent="0.35">
      <c r="A48" s="79">
        <f t="shared" si="1"/>
        <v>68</v>
      </c>
      <c r="B48" s="81"/>
      <c r="C48" s="79">
        <v>20</v>
      </c>
      <c r="D48" s="81"/>
    </row>
    <row r="49" spans="1:4" x14ac:dyDescent="0.35">
      <c r="A49" s="79">
        <f t="shared" si="1"/>
        <v>69.800000000000011</v>
      </c>
      <c r="B49" s="81"/>
      <c r="C49" s="79">
        <v>21</v>
      </c>
      <c r="D49" s="81"/>
    </row>
    <row r="50" spans="1:4" x14ac:dyDescent="0.35">
      <c r="A50" s="79">
        <f t="shared" si="1"/>
        <v>71.599999999999994</v>
      </c>
      <c r="B50" s="81"/>
      <c r="C50" s="79">
        <v>22</v>
      </c>
      <c r="D50" s="81"/>
    </row>
    <row r="51" spans="1:4" x14ac:dyDescent="0.35">
      <c r="A51" s="79">
        <f t="shared" si="1"/>
        <v>73.400000000000006</v>
      </c>
      <c r="B51" s="81"/>
      <c r="C51" s="79">
        <v>23</v>
      </c>
      <c r="D51" s="81"/>
    </row>
    <row r="52" spans="1:4" x14ac:dyDescent="0.35">
      <c r="A52" s="79">
        <f t="shared" si="1"/>
        <v>75.2</v>
      </c>
      <c r="B52" s="81"/>
      <c r="C52" s="79">
        <v>24</v>
      </c>
      <c r="D52" s="81"/>
    </row>
    <row r="53" spans="1:4" x14ac:dyDescent="0.35">
      <c r="A53" s="79">
        <f t="shared" si="1"/>
        <v>77</v>
      </c>
      <c r="B53" s="81"/>
      <c r="C53" s="79">
        <v>25</v>
      </c>
      <c r="D53" s="81"/>
    </row>
    <row r="54" spans="1:4" x14ac:dyDescent="0.35">
      <c r="A54" s="79">
        <f t="shared" si="1"/>
        <v>78.800000000000011</v>
      </c>
      <c r="B54" s="81"/>
      <c r="C54" s="79">
        <v>26</v>
      </c>
      <c r="D54" s="81"/>
    </row>
    <row r="55" spans="1:4" x14ac:dyDescent="0.35">
      <c r="A55" s="79">
        <f t="shared" si="1"/>
        <v>80.599999999999994</v>
      </c>
      <c r="B55" s="81"/>
      <c r="C55" s="79">
        <v>27</v>
      </c>
      <c r="D55" s="81"/>
    </row>
    <row r="56" spans="1:4" x14ac:dyDescent="0.35">
      <c r="A56" s="79">
        <f t="shared" si="1"/>
        <v>82.4</v>
      </c>
      <c r="B56" s="81"/>
      <c r="C56" s="79">
        <v>28</v>
      </c>
      <c r="D56" s="81"/>
    </row>
    <row r="57" spans="1:4" x14ac:dyDescent="0.35">
      <c r="A57" s="79">
        <f t="shared" si="1"/>
        <v>84.2</v>
      </c>
      <c r="B57" s="81"/>
      <c r="C57" s="79">
        <v>29</v>
      </c>
      <c r="D57" s="81"/>
    </row>
    <row r="58" spans="1:4" x14ac:dyDescent="0.35">
      <c r="A58" s="79">
        <f t="shared" si="1"/>
        <v>86</v>
      </c>
      <c r="B58" s="81"/>
      <c r="C58" s="79">
        <v>30</v>
      </c>
      <c r="D58" s="81"/>
    </row>
    <row r="59" spans="1:4" x14ac:dyDescent="0.35">
      <c r="A59" s="79">
        <f t="shared" si="1"/>
        <v>87.800000000000011</v>
      </c>
      <c r="B59" s="81"/>
      <c r="C59" s="79">
        <v>31</v>
      </c>
      <c r="D59" s="81"/>
    </row>
    <row r="60" spans="1:4" x14ac:dyDescent="0.35">
      <c r="A60" s="79">
        <f t="shared" si="1"/>
        <v>89.6</v>
      </c>
      <c r="B60" s="81"/>
      <c r="C60" s="79">
        <v>32</v>
      </c>
      <c r="D60" s="81"/>
    </row>
    <row r="61" spans="1:4" x14ac:dyDescent="0.35">
      <c r="A61" s="79">
        <f t="shared" si="1"/>
        <v>91.4</v>
      </c>
      <c r="B61" s="81"/>
      <c r="C61" s="79">
        <v>33</v>
      </c>
      <c r="D61" s="81"/>
    </row>
    <row r="62" spans="1:4" x14ac:dyDescent="0.35">
      <c r="A62" s="79">
        <f t="shared" si="1"/>
        <v>93.2</v>
      </c>
      <c r="B62" s="81"/>
      <c r="C62" s="79">
        <v>34</v>
      </c>
      <c r="D62" s="81"/>
    </row>
    <row r="63" spans="1:4" x14ac:dyDescent="0.35">
      <c r="A63" s="79">
        <f t="shared" si="1"/>
        <v>95</v>
      </c>
      <c r="B63" s="81"/>
      <c r="C63" s="79">
        <v>35</v>
      </c>
      <c r="D63" s="81"/>
    </row>
    <row r="64" spans="1:4" x14ac:dyDescent="0.35">
      <c r="A64" s="79">
        <f t="shared" si="1"/>
        <v>96.8</v>
      </c>
      <c r="B64" s="81"/>
      <c r="C64" s="79">
        <v>36</v>
      </c>
      <c r="D64" s="81"/>
    </row>
    <row r="65" spans="1:4" x14ac:dyDescent="0.35">
      <c r="A65" s="79">
        <f t="shared" si="1"/>
        <v>98.600000000000009</v>
      </c>
      <c r="B65" s="81"/>
      <c r="C65" s="79">
        <v>37</v>
      </c>
      <c r="D65" s="81"/>
    </row>
    <row r="66" spans="1:4" x14ac:dyDescent="0.35">
      <c r="A66" s="79">
        <f t="shared" si="1"/>
        <v>100.4</v>
      </c>
      <c r="B66" s="81"/>
      <c r="C66" s="79">
        <v>38</v>
      </c>
      <c r="D66" s="81"/>
    </row>
    <row r="67" spans="1:4" x14ac:dyDescent="0.35">
      <c r="A67" s="79">
        <f t="shared" si="1"/>
        <v>102.2</v>
      </c>
      <c r="B67" s="81"/>
      <c r="C67" s="79">
        <v>39</v>
      </c>
      <c r="D67" s="81"/>
    </row>
    <row r="68" spans="1:4" x14ac:dyDescent="0.35">
      <c r="A68" s="79">
        <f t="shared" si="1"/>
        <v>104</v>
      </c>
      <c r="B68" s="81"/>
      <c r="C68" s="79">
        <v>40</v>
      </c>
      <c r="D68" s="81"/>
    </row>
    <row r="69" spans="1:4" x14ac:dyDescent="0.35">
      <c r="A69" s="79">
        <f t="shared" si="1"/>
        <v>105.8</v>
      </c>
      <c r="B69" s="81"/>
      <c r="C69" s="79">
        <v>41</v>
      </c>
      <c r="D69" s="81"/>
    </row>
    <row r="70" spans="1:4" x14ac:dyDescent="0.35">
      <c r="A70" s="79">
        <f t="shared" si="1"/>
        <v>107.60000000000001</v>
      </c>
      <c r="B70" s="81"/>
      <c r="C70" s="79">
        <v>42</v>
      </c>
      <c r="D70" s="81"/>
    </row>
    <row r="71" spans="1:4" x14ac:dyDescent="0.35">
      <c r="A71" s="79">
        <f t="shared" si="1"/>
        <v>109.4</v>
      </c>
      <c r="B71" s="81"/>
      <c r="C71" s="79">
        <v>43</v>
      </c>
      <c r="D71" s="81"/>
    </row>
    <row r="72" spans="1:4" x14ac:dyDescent="0.35">
      <c r="A72" s="79">
        <f t="shared" si="1"/>
        <v>111.2</v>
      </c>
      <c r="B72" s="81"/>
      <c r="C72" s="79">
        <v>44</v>
      </c>
      <c r="D72" s="81"/>
    </row>
    <row r="73" spans="1:4" x14ac:dyDescent="0.35">
      <c r="A73" s="79">
        <f t="shared" si="1"/>
        <v>113</v>
      </c>
      <c r="B73" s="81"/>
      <c r="C73" s="79">
        <v>45</v>
      </c>
      <c r="D73" s="81"/>
    </row>
    <row r="74" spans="1:4" x14ac:dyDescent="0.35">
      <c r="A74" s="79">
        <f t="shared" si="1"/>
        <v>114.8</v>
      </c>
      <c r="B74" s="81"/>
      <c r="C74" s="79">
        <v>46</v>
      </c>
      <c r="D74" s="81"/>
    </row>
    <row r="75" spans="1:4" x14ac:dyDescent="0.35">
      <c r="A75" s="79">
        <f t="shared" si="1"/>
        <v>116.60000000000001</v>
      </c>
      <c r="B75" s="81"/>
      <c r="C75" s="79">
        <v>47</v>
      </c>
      <c r="D75" s="81"/>
    </row>
    <row r="76" spans="1:4" x14ac:dyDescent="0.35">
      <c r="A76" s="79">
        <f t="shared" si="1"/>
        <v>118.4</v>
      </c>
      <c r="B76" s="81"/>
      <c r="C76" s="79">
        <v>48</v>
      </c>
      <c r="D76" s="81"/>
    </row>
    <row r="77" spans="1:4" x14ac:dyDescent="0.35">
      <c r="A77" s="79">
        <f t="shared" si="1"/>
        <v>120.2</v>
      </c>
      <c r="B77" s="81"/>
      <c r="C77" s="79">
        <v>49</v>
      </c>
      <c r="D77" s="81"/>
    </row>
    <row r="78" spans="1:4" x14ac:dyDescent="0.35">
      <c r="A78" s="79">
        <f t="shared" si="1"/>
        <v>122</v>
      </c>
      <c r="B78" s="81"/>
      <c r="C78" s="79">
        <v>50</v>
      </c>
      <c r="D78" s="81"/>
    </row>
    <row r="79" spans="1:4" x14ac:dyDescent="0.35">
      <c r="A79" s="79">
        <f t="shared" si="1"/>
        <v>123.8</v>
      </c>
      <c r="B79" s="81"/>
      <c r="C79" s="79">
        <v>51</v>
      </c>
      <c r="D79" s="81"/>
    </row>
    <row r="80" spans="1:4" x14ac:dyDescent="0.35">
      <c r="A80" s="79">
        <f t="shared" si="1"/>
        <v>125.60000000000001</v>
      </c>
      <c r="B80" s="81"/>
      <c r="C80" s="79">
        <v>52</v>
      </c>
      <c r="D80" s="81"/>
    </row>
    <row r="81" spans="1:4" x14ac:dyDescent="0.35">
      <c r="A81" s="79">
        <f t="shared" si="1"/>
        <v>127.4</v>
      </c>
      <c r="B81" s="81"/>
      <c r="C81" s="79">
        <v>53</v>
      </c>
      <c r="D81" s="81"/>
    </row>
    <row r="82" spans="1:4" x14ac:dyDescent="0.35">
      <c r="A82" s="79">
        <f t="shared" si="1"/>
        <v>129.19999999999999</v>
      </c>
      <c r="B82" s="81"/>
      <c r="C82" s="79">
        <v>54</v>
      </c>
      <c r="D82" s="81"/>
    </row>
    <row r="83" spans="1:4" x14ac:dyDescent="0.35">
      <c r="A83" s="79">
        <f t="shared" si="1"/>
        <v>131</v>
      </c>
      <c r="B83" s="81"/>
      <c r="C83" s="79">
        <v>55</v>
      </c>
      <c r="D83" s="81"/>
    </row>
    <row r="84" spans="1:4" x14ac:dyDescent="0.35">
      <c r="A84" s="79">
        <f t="shared" ref="A84:A138" si="2">(C84*(9/5))+32</f>
        <v>132.80000000000001</v>
      </c>
      <c r="B84" s="81"/>
      <c r="C84" s="79">
        <v>56</v>
      </c>
      <c r="D84" s="81"/>
    </row>
    <row r="85" spans="1:4" x14ac:dyDescent="0.35">
      <c r="A85" s="79">
        <f t="shared" si="2"/>
        <v>134.60000000000002</v>
      </c>
      <c r="B85" s="81"/>
      <c r="C85" s="79">
        <v>57</v>
      </c>
      <c r="D85" s="81"/>
    </row>
    <row r="86" spans="1:4" x14ac:dyDescent="0.35">
      <c r="A86" s="79">
        <f t="shared" si="2"/>
        <v>136.4</v>
      </c>
      <c r="B86" s="81"/>
      <c r="C86" s="79">
        <v>58</v>
      </c>
      <c r="D86" s="81"/>
    </row>
    <row r="87" spans="1:4" x14ac:dyDescent="0.35">
      <c r="A87" s="79">
        <f t="shared" si="2"/>
        <v>138.19999999999999</v>
      </c>
      <c r="B87" s="81"/>
      <c r="C87" s="79">
        <v>59</v>
      </c>
      <c r="D87" s="81"/>
    </row>
    <row r="88" spans="1:4" x14ac:dyDescent="0.35">
      <c r="A88" s="79">
        <f t="shared" si="2"/>
        <v>140</v>
      </c>
      <c r="B88" s="81"/>
      <c r="C88" s="79">
        <v>60</v>
      </c>
      <c r="D88" s="81"/>
    </row>
    <row r="89" spans="1:4" x14ac:dyDescent="0.35">
      <c r="A89" s="79">
        <f t="shared" si="2"/>
        <v>141.80000000000001</v>
      </c>
      <c r="B89" s="81"/>
      <c r="C89" s="79">
        <v>61</v>
      </c>
      <c r="D89" s="81"/>
    </row>
    <row r="90" spans="1:4" x14ac:dyDescent="0.35">
      <c r="A90" s="79">
        <f t="shared" si="2"/>
        <v>143.60000000000002</v>
      </c>
      <c r="B90" s="81"/>
      <c r="C90" s="79">
        <v>62</v>
      </c>
      <c r="D90" s="81"/>
    </row>
    <row r="91" spans="1:4" x14ac:dyDescent="0.35">
      <c r="A91" s="79">
        <f t="shared" si="2"/>
        <v>145.4</v>
      </c>
      <c r="B91" s="81"/>
      <c r="C91" s="79">
        <v>63</v>
      </c>
      <c r="D91" s="81"/>
    </row>
    <row r="92" spans="1:4" x14ac:dyDescent="0.35">
      <c r="A92" s="79">
        <f t="shared" si="2"/>
        <v>147.19999999999999</v>
      </c>
      <c r="B92" s="81"/>
      <c r="C92" s="79">
        <v>64</v>
      </c>
      <c r="D92" s="81"/>
    </row>
    <row r="93" spans="1:4" x14ac:dyDescent="0.35">
      <c r="A93" s="79">
        <f t="shared" si="2"/>
        <v>149</v>
      </c>
      <c r="B93" s="81"/>
      <c r="C93" s="79">
        <v>65</v>
      </c>
      <c r="D93" s="81"/>
    </row>
    <row r="94" spans="1:4" x14ac:dyDescent="0.35">
      <c r="A94" s="79">
        <f t="shared" si="2"/>
        <v>150.80000000000001</v>
      </c>
      <c r="B94" s="81"/>
      <c r="C94" s="79">
        <v>66</v>
      </c>
      <c r="D94" s="81"/>
    </row>
    <row r="95" spans="1:4" x14ac:dyDescent="0.35">
      <c r="A95" s="79">
        <f t="shared" si="2"/>
        <v>152.60000000000002</v>
      </c>
      <c r="B95" s="81"/>
      <c r="C95" s="79">
        <v>67</v>
      </c>
      <c r="D95" s="81"/>
    </row>
    <row r="96" spans="1:4" x14ac:dyDescent="0.35">
      <c r="A96" s="79">
        <f t="shared" si="2"/>
        <v>154.4</v>
      </c>
      <c r="B96" s="81"/>
      <c r="C96" s="79">
        <v>68</v>
      </c>
      <c r="D96" s="81"/>
    </row>
    <row r="97" spans="1:4" x14ac:dyDescent="0.35">
      <c r="A97" s="79">
        <f t="shared" si="2"/>
        <v>156.19999999999999</v>
      </c>
      <c r="B97" s="81"/>
      <c r="C97" s="79">
        <v>69</v>
      </c>
      <c r="D97" s="81"/>
    </row>
    <row r="98" spans="1:4" x14ac:dyDescent="0.35">
      <c r="A98" s="79">
        <f t="shared" si="2"/>
        <v>158</v>
      </c>
      <c r="B98" s="81"/>
      <c r="C98" s="79">
        <v>70</v>
      </c>
      <c r="D98" s="81"/>
    </row>
    <row r="99" spans="1:4" x14ac:dyDescent="0.35">
      <c r="A99" s="79">
        <f t="shared" si="2"/>
        <v>159.80000000000001</v>
      </c>
      <c r="B99" s="81"/>
      <c r="C99" s="79">
        <v>71</v>
      </c>
      <c r="D99" s="81"/>
    </row>
    <row r="100" spans="1:4" x14ac:dyDescent="0.35">
      <c r="A100" s="79">
        <f t="shared" si="2"/>
        <v>161.6</v>
      </c>
      <c r="B100" s="81"/>
      <c r="C100" s="79">
        <v>72</v>
      </c>
      <c r="D100" s="81"/>
    </row>
    <row r="101" spans="1:4" x14ac:dyDescent="0.35">
      <c r="A101" s="79">
        <f t="shared" si="2"/>
        <v>163.4</v>
      </c>
      <c r="B101" s="81"/>
      <c r="C101" s="79">
        <v>73</v>
      </c>
      <c r="D101" s="81"/>
    </row>
    <row r="102" spans="1:4" x14ac:dyDescent="0.35">
      <c r="A102" s="79">
        <f t="shared" si="2"/>
        <v>165.20000000000002</v>
      </c>
      <c r="B102" s="81"/>
      <c r="C102" s="79">
        <v>74</v>
      </c>
      <c r="D102" s="81"/>
    </row>
    <row r="103" spans="1:4" x14ac:dyDescent="0.35">
      <c r="A103" s="79">
        <f t="shared" si="2"/>
        <v>167</v>
      </c>
      <c r="B103" s="81"/>
      <c r="C103" s="79">
        <v>75</v>
      </c>
      <c r="D103" s="81"/>
    </row>
    <row r="104" spans="1:4" x14ac:dyDescent="0.35">
      <c r="A104" s="79">
        <f t="shared" si="2"/>
        <v>168.8</v>
      </c>
      <c r="B104" s="81"/>
      <c r="C104" s="79">
        <v>76</v>
      </c>
      <c r="D104" s="81"/>
    </row>
    <row r="105" spans="1:4" x14ac:dyDescent="0.35">
      <c r="A105" s="79">
        <f t="shared" si="2"/>
        <v>170.6</v>
      </c>
      <c r="B105" s="81"/>
      <c r="C105" s="79">
        <v>77</v>
      </c>
      <c r="D105" s="81"/>
    </row>
    <row r="106" spans="1:4" x14ac:dyDescent="0.35">
      <c r="A106" s="79">
        <f t="shared" si="2"/>
        <v>172.4</v>
      </c>
      <c r="B106" s="81"/>
      <c r="C106" s="79">
        <v>78</v>
      </c>
      <c r="D106" s="81"/>
    </row>
    <row r="107" spans="1:4" x14ac:dyDescent="0.35">
      <c r="A107" s="79">
        <f t="shared" si="2"/>
        <v>174.20000000000002</v>
      </c>
      <c r="B107" s="81"/>
      <c r="C107" s="79">
        <v>79</v>
      </c>
      <c r="D107" s="81"/>
    </row>
    <row r="108" spans="1:4" x14ac:dyDescent="0.35">
      <c r="A108" s="79">
        <f t="shared" si="2"/>
        <v>176</v>
      </c>
      <c r="B108" s="81"/>
      <c r="C108" s="79">
        <v>80</v>
      </c>
      <c r="D108" s="81"/>
    </row>
    <row r="109" spans="1:4" x14ac:dyDescent="0.35">
      <c r="A109" s="79">
        <f t="shared" si="2"/>
        <v>177.8</v>
      </c>
      <c r="B109" s="81"/>
      <c r="C109" s="79">
        <v>81</v>
      </c>
      <c r="D109" s="81"/>
    </row>
    <row r="110" spans="1:4" x14ac:dyDescent="0.35">
      <c r="A110" s="79">
        <f t="shared" si="2"/>
        <v>179.6</v>
      </c>
      <c r="B110" s="81"/>
      <c r="C110" s="79">
        <v>82</v>
      </c>
      <c r="D110" s="81"/>
    </row>
    <row r="111" spans="1:4" x14ac:dyDescent="0.35">
      <c r="A111" s="79">
        <f t="shared" si="2"/>
        <v>181.4</v>
      </c>
      <c r="B111" s="81"/>
      <c r="C111" s="79">
        <v>83</v>
      </c>
      <c r="D111" s="81"/>
    </row>
    <row r="112" spans="1:4" x14ac:dyDescent="0.35">
      <c r="A112" s="79">
        <f t="shared" si="2"/>
        <v>183.20000000000002</v>
      </c>
      <c r="B112" s="81"/>
      <c r="C112" s="79">
        <v>84</v>
      </c>
      <c r="D112" s="81"/>
    </row>
    <row r="113" spans="1:4" x14ac:dyDescent="0.35">
      <c r="A113" s="79">
        <f t="shared" si="2"/>
        <v>185</v>
      </c>
      <c r="B113" s="81"/>
      <c r="C113" s="79">
        <v>85</v>
      </c>
      <c r="D113" s="81"/>
    </row>
    <row r="114" spans="1:4" x14ac:dyDescent="0.35">
      <c r="A114" s="79">
        <f t="shared" si="2"/>
        <v>186.8</v>
      </c>
      <c r="B114" s="81"/>
      <c r="C114" s="79">
        <v>86</v>
      </c>
      <c r="D114" s="81"/>
    </row>
    <row r="115" spans="1:4" x14ac:dyDescent="0.35">
      <c r="A115" s="79">
        <f t="shared" si="2"/>
        <v>188.6</v>
      </c>
      <c r="B115" s="81"/>
      <c r="C115" s="79">
        <v>87</v>
      </c>
      <c r="D115" s="81"/>
    </row>
    <row r="116" spans="1:4" x14ac:dyDescent="0.35">
      <c r="A116" s="79">
        <f t="shared" si="2"/>
        <v>190.4</v>
      </c>
      <c r="B116" s="81"/>
      <c r="C116" s="79">
        <v>88</v>
      </c>
      <c r="D116" s="81"/>
    </row>
    <row r="117" spans="1:4" x14ac:dyDescent="0.35">
      <c r="A117" s="79">
        <f t="shared" si="2"/>
        <v>192.20000000000002</v>
      </c>
      <c r="B117" s="81"/>
      <c r="C117" s="79">
        <v>89</v>
      </c>
      <c r="D117" s="81"/>
    </row>
    <row r="118" spans="1:4" x14ac:dyDescent="0.35">
      <c r="A118" s="79">
        <f t="shared" si="2"/>
        <v>194</v>
      </c>
      <c r="B118" s="81"/>
      <c r="C118" s="79">
        <v>90</v>
      </c>
      <c r="D118" s="81"/>
    </row>
    <row r="119" spans="1:4" x14ac:dyDescent="0.35">
      <c r="A119" s="79">
        <f t="shared" si="2"/>
        <v>195.8</v>
      </c>
      <c r="B119" s="81"/>
      <c r="C119" s="79">
        <v>91</v>
      </c>
      <c r="D119" s="81"/>
    </row>
    <row r="120" spans="1:4" x14ac:dyDescent="0.35">
      <c r="A120" s="79">
        <f t="shared" si="2"/>
        <v>197.6</v>
      </c>
      <c r="B120" s="81"/>
      <c r="C120" s="79">
        <v>92</v>
      </c>
      <c r="D120" s="81"/>
    </row>
    <row r="121" spans="1:4" x14ac:dyDescent="0.35">
      <c r="A121" s="79">
        <f t="shared" si="2"/>
        <v>199.4</v>
      </c>
      <c r="B121" s="81"/>
      <c r="C121" s="79">
        <v>93</v>
      </c>
      <c r="D121" s="81"/>
    </row>
    <row r="122" spans="1:4" x14ac:dyDescent="0.35">
      <c r="A122" s="79">
        <f t="shared" si="2"/>
        <v>201.20000000000002</v>
      </c>
      <c r="B122" s="81"/>
      <c r="C122" s="79">
        <v>94</v>
      </c>
      <c r="D122" s="81"/>
    </row>
    <row r="123" spans="1:4" x14ac:dyDescent="0.35">
      <c r="A123" s="79">
        <f t="shared" si="2"/>
        <v>203</v>
      </c>
      <c r="B123" s="81"/>
      <c r="C123" s="79">
        <v>95</v>
      </c>
      <c r="D123" s="81"/>
    </row>
    <row r="124" spans="1:4" x14ac:dyDescent="0.35">
      <c r="A124" s="79">
        <f t="shared" si="2"/>
        <v>204.8</v>
      </c>
      <c r="B124" s="81"/>
      <c r="C124" s="79">
        <v>96</v>
      </c>
      <c r="D124" s="81"/>
    </row>
    <row r="125" spans="1:4" x14ac:dyDescent="0.35">
      <c r="A125" s="79">
        <f t="shared" si="2"/>
        <v>206.6</v>
      </c>
      <c r="B125" s="81"/>
      <c r="C125" s="79">
        <v>97</v>
      </c>
      <c r="D125" s="81"/>
    </row>
    <row r="126" spans="1:4" x14ac:dyDescent="0.35">
      <c r="A126" s="79">
        <f t="shared" si="2"/>
        <v>208.4</v>
      </c>
      <c r="B126" s="81"/>
      <c r="C126" s="79">
        <v>98</v>
      </c>
      <c r="D126" s="81"/>
    </row>
    <row r="127" spans="1:4" x14ac:dyDescent="0.35">
      <c r="A127" s="79">
        <f t="shared" si="2"/>
        <v>210.20000000000002</v>
      </c>
      <c r="B127" s="81"/>
      <c r="C127" s="79">
        <v>99</v>
      </c>
      <c r="D127" s="81"/>
    </row>
    <row r="128" spans="1:4" x14ac:dyDescent="0.35">
      <c r="A128" s="79">
        <f t="shared" si="2"/>
        <v>212</v>
      </c>
      <c r="B128" s="81"/>
      <c r="C128" s="79">
        <v>100</v>
      </c>
      <c r="D128" s="81"/>
    </row>
    <row r="129" spans="1:4" x14ac:dyDescent="0.35">
      <c r="A129" s="79">
        <f t="shared" si="2"/>
        <v>213.8</v>
      </c>
      <c r="B129" s="81"/>
      <c r="C129" s="79">
        <v>101</v>
      </c>
      <c r="D129" s="81"/>
    </row>
    <row r="130" spans="1:4" x14ac:dyDescent="0.35">
      <c r="A130" s="79">
        <f t="shared" si="2"/>
        <v>215.6</v>
      </c>
      <c r="B130" s="81"/>
      <c r="C130" s="79">
        <v>102</v>
      </c>
      <c r="D130" s="81"/>
    </row>
    <row r="131" spans="1:4" x14ac:dyDescent="0.35">
      <c r="A131" s="79">
        <f t="shared" si="2"/>
        <v>217.4</v>
      </c>
      <c r="B131" s="81"/>
      <c r="C131" s="79">
        <v>103</v>
      </c>
      <c r="D131" s="81"/>
    </row>
    <row r="132" spans="1:4" x14ac:dyDescent="0.35">
      <c r="A132" s="79">
        <f t="shared" si="2"/>
        <v>219.20000000000002</v>
      </c>
      <c r="B132" s="81"/>
      <c r="C132" s="79">
        <v>104</v>
      </c>
      <c r="D132" s="81"/>
    </row>
    <row r="133" spans="1:4" x14ac:dyDescent="0.35">
      <c r="A133" s="79">
        <f t="shared" si="2"/>
        <v>221</v>
      </c>
      <c r="B133" s="81"/>
      <c r="C133" s="79">
        <v>105</v>
      </c>
      <c r="D133" s="81"/>
    </row>
    <row r="134" spans="1:4" x14ac:dyDescent="0.35">
      <c r="A134" s="79">
        <f t="shared" si="2"/>
        <v>222.8</v>
      </c>
      <c r="B134" s="81"/>
      <c r="C134" s="79">
        <v>106</v>
      </c>
      <c r="D134" s="81"/>
    </row>
    <row r="135" spans="1:4" x14ac:dyDescent="0.35">
      <c r="A135" s="79">
        <f t="shared" si="2"/>
        <v>224.6</v>
      </c>
      <c r="B135" s="81"/>
      <c r="C135" s="79">
        <v>107</v>
      </c>
      <c r="D135" s="81"/>
    </row>
    <row r="136" spans="1:4" x14ac:dyDescent="0.35">
      <c r="A136" s="79">
        <f t="shared" si="2"/>
        <v>226.4</v>
      </c>
      <c r="B136" s="81"/>
      <c r="C136" s="79">
        <v>108</v>
      </c>
      <c r="D136" s="81"/>
    </row>
    <row r="137" spans="1:4" x14ac:dyDescent="0.35">
      <c r="A137" s="79">
        <f t="shared" si="2"/>
        <v>228.20000000000002</v>
      </c>
      <c r="B137" s="81"/>
      <c r="C137" s="79">
        <v>109</v>
      </c>
      <c r="D137" s="81"/>
    </row>
    <row r="138" spans="1:4" x14ac:dyDescent="0.35">
      <c r="A138" s="79">
        <f t="shared" si="2"/>
        <v>230</v>
      </c>
      <c r="B138" s="81"/>
      <c r="C138" s="79">
        <v>110</v>
      </c>
      <c r="D138" s="81"/>
    </row>
  </sheetData>
  <sheetProtection sheet="1" selectLockedCells="1"/>
  <mergeCells count="273">
    <mergeCell ref="C5:D5"/>
    <mergeCell ref="C6:D6"/>
    <mergeCell ref="C4:D4"/>
    <mergeCell ref="C9:D9"/>
    <mergeCell ref="C10:D10"/>
    <mergeCell ref="C11:D11"/>
    <mergeCell ref="C12:D12"/>
    <mergeCell ref="C13:D13"/>
    <mergeCell ref="C14:D14"/>
    <mergeCell ref="C7:D7"/>
    <mergeCell ref="C8:D8"/>
    <mergeCell ref="C15:D15"/>
    <mergeCell ref="C16:D16"/>
    <mergeCell ref="C17:D17"/>
    <mergeCell ref="A1:D1"/>
    <mergeCell ref="A3:B3"/>
    <mergeCell ref="C3:D3"/>
    <mergeCell ref="A18:B18"/>
    <mergeCell ref="C18:D18"/>
    <mergeCell ref="A19:B19"/>
    <mergeCell ref="C19:D19"/>
    <mergeCell ref="A5:B5"/>
    <mergeCell ref="A6:B6"/>
    <mergeCell ref="A7:B7"/>
    <mergeCell ref="A8:B8"/>
    <mergeCell ref="A9:B9"/>
    <mergeCell ref="A10:B10"/>
    <mergeCell ref="A11:B11"/>
    <mergeCell ref="A12:B12"/>
    <mergeCell ref="A13:B13"/>
    <mergeCell ref="A14:B14"/>
    <mergeCell ref="A15:B15"/>
    <mergeCell ref="A16:B16"/>
    <mergeCell ref="A17:B17"/>
    <mergeCell ref="A4:B4"/>
    <mergeCell ref="A23:B23"/>
    <mergeCell ref="C23:D23"/>
    <mergeCell ref="A24:B24"/>
    <mergeCell ref="C24:D24"/>
    <mergeCell ref="A25:B25"/>
    <mergeCell ref="C25:D25"/>
    <mergeCell ref="A20:B20"/>
    <mergeCell ref="C20:D20"/>
    <mergeCell ref="A21:B21"/>
    <mergeCell ref="C21:D21"/>
    <mergeCell ref="A22:B22"/>
    <mergeCell ref="C22:D22"/>
    <mergeCell ref="A29:B29"/>
    <mergeCell ref="C29:D29"/>
    <mergeCell ref="A30:B30"/>
    <mergeCell ref="C30:D30"/>
    <mergeCell ref="A31:B31"/>
    <mergeCell ref="C31:D31"/>
    <mergeCell ref="A26:B26"/>
    <mergeCell ref="C26:D26"/>
    <mergeCell ref="A27:B27"/>
    <mergeCell ref="C27:D27"/>
    <mergeCell ref="A28:B28"/>
    <mergeCell ref="C28:D28"/>
    <mergeCell ref="A35:B35"/>
    <mergeCell ref="C35:D35"/>
    <mergeCell ref="A36:B36"/>
    <mergeCell ref="C36:D36"/>
    <mergeCell ref="A37:B37"/>
    <mergeCell ref="C37:D37"/>
    <mergeCell ref="A32:B32"/>
    <mergeCell ref="C32:D32"/>
    <mergeCell ref="A33:B33"/>
    <mergeCell ref="C33:D33"/>
    <mergeCell ref="A34:B34"/>
    <mergeCell ref="C34:D34"/>
    <mergeCell ref="A41:B41"/>
    <mergeCell ref="C41:D41"/>
    <mergeCell ref="A42:B42"/>
    <mergeCell ref="C42:D42"/>
    <mergeCell ref="A43:B43"/>
    <mergeCell ref="C43:D43"/>
    <mergeCell ref="A38:B38"/>
    <mergeCell ref="C38:D38"/>
    <mergeCell ref="A39:B39"/>
    <mergeCell ref="C39:D39"/>
    <mergeCell ref="A40:B40"/>
    <mergeCell ref="C40:D40"/>
    <mergeCell ref="A47:B47"/>
    <mergeCell ref="C47:D47"/>
    <mergeCell ref="A48:B48"/>
    <mergeCell ref="C48:D48"/>
    <mergeCell ref="A49:B49"/>
    <mergeCell ref="C49:D49"/>
    <mergeCell ref="A44:B44"/>
    <mergeCell ref="C44:D44"/>
    <mergeCell ref="A45:B45"/>
    <mergeCell ref="C45:D45"/>
    <mergeCell ref="A46:B46"/>
    <mergeCell ref="C46:D46"/>
    <mergeCell ref="A53:B53"/>
    <mergeCell ref="C53:D53"/>
    <mergeCell ref="A54:B54"/>
    <mergeCell ref="C54:D54"/>
    <mergeCell ref="A55:B55"/>
    <mergeCell ref="C55:D55"/>
    <mergeCell ref="A50:B50"/>
    <mergeCell ref="C50:D50"/>
    <mergeCell ref="A51:B51"/>
    <mergeCell ref="C51:D51"/>
    <mergeCell ref="A52:B52"/>
    <mergeCell ref="C52:D52"/>
    <mergeCell ref="A59:B59"/>
    <mergeCell ref="C59:D59"/>
    <mergeCell ref="A60:B60"/>
    <mergeCell ref="C60:D60"/>
    <mergeCell ref="A61:B61"/>
    <mergeCell ref="C61:D61"/>
    <mergeCell ref="A56:B56"/>
    <mergeCell ref="C56:D56"/>
    <mergeCell ref="A57:B57"/>
    <mergeCell ref="C57:D57"/>
    <mergeCell ref="A58:B58"/>
    <mergeCell ref="C58:D58"/>
    <mergeCell ref="A65:B65"/>
    <mergeCell ref="C65:D65"/>
    <mergeCell ref="A66:B66"/>
    <mergeCell ref="C66:D66"/>
    <mergeCell ref="A67:B67"/>
    <mergeCell ref="C67:D67"/>
    <mergeCell ref="A62:B62"/>
    <mergeCell ref="C62:D62"/>
    <mergeCell ref="A63:B63"/>
    <mergeCell ref="C63:D63"/>
    <mergeCell ref="A64:B64"/>
    <mergeCell ref="C64:D64"/>
    <mergeCell ref="A71:B71"/>
    <mergeCell ref="C71:D71"/>
    <mergeCell ref="A72:B72"/>
    <mergeCell ref="C72:D72"/>
    <mergeCell ref="A73:B73"/>
    <mergeCell ref="C73:D73"/>
    <mergeCell ref="A68:B68"/>
    <mergeCell ref="C68:D68"/>
    <mergeCell ref="A69:B69"/>
    <mergeCell ref="C69:D69"/>
    <mergeCell ref="A70:B70"/>
    <mergeCell ref="C70:D70"/>
    <mergeCell ref="A77:B77"/>
    <mergeCell ref="C77:D77"/>
    <mergeCell ref="A78:B78"/>
    <mergeCell ref="C78:D78"/>
    <mergeCell ref="A79:B79"/>
    <mergeCell ref="C79:D79"/>
    <mergeCell ref="A74:B74"/>
    <mergeCell ref="C74:D74"/>
    <mergeCell ref="A75:B75"/>
    <mergeCell ref="C75:D75"/>
    <mergeCell ref="A76:B76"/>
    <mergeCell ref="C76:D76"/>
    <mergeCell ref="A83:B83"/>
    <mergeCell ref="C83:D83"/>
    <mergeCell ref="A84:B84"/>
    <mergeCell ref="C84:D84"/>
    <mergeCell ref="A85:B85"/>
    <mergeCell ref="C85:D85"/>
    <mergeCell ref="A80:B80"/>
    <mergeCell ref="C80:D80"/>
    <mergeCell ref="A81:B81"/>
    <mergeCell ref="C81:D81"/>
    <mergeCell ref="A82:B82"/>
    <mergeCell ref="C82:D82"/>
    <mergeCell ref="A89:B89"/>
    <mergeCell ref="C89:D89"/>
    <mergeCell ref="A90:B90"/>
    <mergeCell ref="C90:D90"/>
    <mergeCell ref="A91:B91"/>
    <mergeCell ref="C91:D91"/>
    <mergeCell ref="A86:B86"/>
    <mergeCell ref="C86:D86"/>
    <mergeCell ref="A87:B87"/>
    <mergeCell ref="C87:D87"/>
    <mergeCell ref="A88:B88"/>
    <mergeCell ref="C88:D88"/>
    <mergeCell ref="A95:B95"/>
    <mergeCell ref="C95:D95"/>
    <mergeCell ref="A96:B96"/>
    <mergeCell ref="C96:D96"/>
    <mergeCell ref="A97:B97"/>
    <mergeCell ref="C97:D97"/>
    <mergeCell ref="A92:B92"/>
    <mergeCell ref="C92:D92"/>
    <mergeCell ref="A93:B93"/>
    <mergeCell ref="C93:D93"/>
    <mergeCell ref="A94:B94"/>
    <mergeCell ref="C94:D94"/>
    <mergeCell ref="A101:B101"/>
    <mergeCell ref="C101:D101"/>
    <mergeCell ref="A102:B102"/>
    <mergeCell ref="C102:D102"/>
    <mergeCell ref="A103:B103"/>
    <mergeCell ref="C103:D103"/>
    <mergeCell ref="A98:B98"/>
    <mergeCell ref="C98:D98"/>
    <mergeCell ref="A99:B99"/>
    <mergeCell ref="C99:D99"/>
    <mergeCell ref="A100:B100"/>
    <mergeCell ref="C100:D100"/>
    <mergeCell ref="A107:B107"/>
    <mergeCell ref="C107:D107"/>
    <mergeCell ref="A108:B108"/>
    <mergeCell ref="C108:D108"/>
    <mergeCell ref="A109:B109"/>
    <mergeCell ref="C109:D109"/>
    <mergeCell ref="A104:B104"/>
    <mergeCell ref="C104:D104"/>
    <mergeCell ref="A105:B105"/>
    <mergeCell ref="C105:D105"/>
    <mergeCell ref="A106:B106"/>
    <mergeCell ref="C106:D106"/>
    <mergeCell ref="A113:B113"/>
    <mergeCell ref="C113:D113"/>
    <mergeCell ref="A114:B114"/>
    <mergeCell ref="C114:D114"/>
    <mergeCell ref="A115:B115"/>
    <mergeCell ref="C115:D115"/>
    <mergeCell ref="A110:B110"/>
    <mergeCell ref="C110:D110"/>
    <mergeCell ref="A111:B111"/>
    <mergeCell ref="C111:D111"/>
    <mergeCell ref="A112:B112"/>
    <mergeCell ref="C112:D112"/>
    <mergeCell ref="A119:B119"/>
    <mergeCell ref="C119:D119"/>
    <mergeCell ref="A120:B120"/>
    <mergeCell ref="C120:D120"/>
    <mergeCell ref="A121:B121"/>
    <mergeCell ref="C121:D121"/>
    <mergeCell ref="A116:B116"/>
    <mergeCell ref="C116:D116"/>
    <mergeCell ref="A117:B117"/>
    <mergeCell ref="C117:D117"/>
    <mergeCell ref="A118:B118"/>
    <mergeCell ref="C118:D118"/>
    <mergeCell ref="A125:B125"/>
    <mergeCell ref="C125:D125"/>
    <mergeCell ref="A126:B126"/>
    <mergeCell ref="C126:D126"/>
    <mergeCell ref="A127:B127"/>
    <mergeCell ref="C127:D127"/>
    <mergeCell ref="A122:B122"/>
    <mergeCell ref="C122:D122"/>
    <mergeCell ref="A123:B123"/>
    <mergeCell ref="C123:D123"/>
    <mergeCell ref="A124:B124"/>
    <mergeCell ref="C124:D124"/>
    <mergeCell ref="A131:B131"/>
    <mergeCell ref="C131:D131"/>
    <mergeCell ref="A132:B132"/>
    <mergeCell ref="C132:D132"/>
    <mergeCell ref="A133:B133"/>
    <mergeCell ref="C133:D133"/>
    <mergeCell ref="A128:B128"/>
    <mergeCell ref="C128:D128"/>
    <mergeCell ref="A129:B129"/>
    <mergeCell ref="C129:D129"/>
    <mergeCell ref="A130:B130"/>
    <mergeCell ref="C130:D130"/>
    <mergeCell ref="A137:B137"/>
    <mergeCell ref="C137:D137"/>
    <mergeCell ref="A138:B138"/>
    <mergeCell ref="C138:D138"/>
    <mergeCell ref="A134:B134"/>
    <mergeCell ref="C134:D134"/>
    <mergeCell ref="A135:B135"/>
    <mergeCell ref="C135:D135"/>
    <mergeCell ref="A136:B136"/>
    <mergeCell ref="C136:D136"/>
  </mergeCells>
  <pageMargins left="0.7" right="0.7" top="0.75" bottom="0.75" header="0.3" footer="0.3"/>
  <pageSetup orientation="portrait" horizontalDpi="300" verticalDpi="30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061D3B-E1BA-4C4F-B78D-9DCF8F6E57C5}">
  <dimension ref="A1:B69"/>
  <sheetViews>
    <sheetView topLeftCell="A4" zoomScale="118" zoomScaleNormal="118" workbookViewId="0">
      <selection activeCell="A4" sqref="A4"/>
    </sheetView>
  </sheetViews>
  <sheetFormatPr defaultRowHeight="14.5" x14ac:dyDescent="0.35"/>
  <sheetData>
    <row r="1" spans="1:2" x14ac:dyDescent="0.35">
      <c r="A1" t="s">
        <v>63</v>
      </c>
    </row>
    <row r="2" spans="1:2" x14ac:dyDescent="0.35">
      <c r="A2" t="s">
        <v>62</v>
      </c>
    </row>
    <row r="3" spans="1:2" x14ac:dyDescent="0.35">
      <c r="A3" t="s">
        <v>59</v>
      </c>
    </row>
    <row r="4" spans="1:2" x14ac:dyDescent="0.35">
      <c r="A4" t="s">
        <v>60</v>
      </c>
    </row>
    <row r="5" spans="1:2" x14ac:dyDescent="0.35">
      <c r="A5" t="s">
        <v>64</v>
      </c>
    </row>
    <row r="6" spans="1:2" x14ac:dyDescent="0.35">
      <c r="A6" t="s">
        <v>65</v>
      </c>
    </row>
    <row r="7" spans="1:2" x14ac:dyDescent="0.35">
      <c r="A7" t="s">
        <v>66</v>
      </c>
    </row>
    <row r="9" spans="1:2" x14ac:dyDescent="0.35">
      <c r="A9" t="s">
        <v>22</v>
      </c>
    </row>
    <row r="10" spans="1:2" x14ac:dyDescent="0.35">
      <c r="A10" t="s">
        <v>24</v>
      </c>
      <c r="B10" t="s">
        <v>26</v>
      </c>
    </row>
    <row r="11" spans="1:2" x14ac:dyDescent="0.35">
      <c r="A11" t="s">
        <v>23</v>
      </c>
      <c r="B11" t="s">
        <v>27</v>
      </c>
    </row>
    <row r="12" spans="1:2" x14ac:dyDescent="0.35">
      <c r="A12" t="s">
        <v>25</v>
      </c>
      <c r="B12" t="s">
        <v>28</v>
      </c>
    </row>
    <row r="14" spans="1:2" x14ac:dyDescent="0.35">
      <c r="A14" t="s">
        <v>30</v>
      </c>
    </row>
    <row r="15" spans="1:2" x14ac:dyDescent="0.35">
      <c r="A15" t="s">
        <v>31</v>
      </c>
    </row>
    <row r="16" spans="1:2" x14ac:dyDescent="0.35">
      <c r="A16" t="s">
        <v>32</v>
      </c>
    </row>
    <row r="17" spans="1:2" x14ac:dyDescent="0.35">
      <c r="A17" t="s">
        <v>29</v>
      </c>
    </row>
    <row r="18" spans="1:2" x14ac:dyDescent="0.35">
      <c r="A18" t="s">
        <v>33</v>
      </c>
    </row>
    <row r="19" spans="1:2" x14ac:dyDescent="0.35">
      <c r="A19" t="s">
        <v>34</v>
      </c>
    </row>
    <row r="21" spans="1:2" x14ac:dyDescent="0.35">
      <c r="A21" t="s">
        <v>38</v>
      </c>
    </row>
    <row r="22" spans="1:2" x14ac:dyDescent="0.35">
      <c r="A22" t="s">
        <v>39</v>
      </c>
      <c r="B22" t="s">
        <v>42</v>
      </c>
    </row>
    <row r="23" spans="1:2" x14ac:dyDescent="0.35">
      <c r="A23" t="s">
        <v>40</v>
      </c>
      <c r="B23" t="s">
        <v>43</v>
      </c>
    </row>
    <row r="24" spans="1:2" x14ac:dyDescent="0.35">
      <c r="A24" t="s">
        <v>41</v>
      </c>
      <c r="B24" t="s">
        <v>44</v>
      </c>
    </row>
    <row r="26" spans="1:2" x14ac:dyDescent="0.35">
      <c r="A26" t="s">
        <v>55</v>
      </c>
    </row>
    <row r="27" spans="1:2" x14ac:dyDescent="0.35">
      <c r="A27" t="s">
        <v>52</v>
      </c>
      <c r="B27" t="s">
        <v>54</v>
      </c>
    </row>
    <row r="28" spans="1:2" x14ac:dyDescent="0.35">
      <c r="A28" t="s">
        <v>51</v>
      </c>
      <c r="B28" t="s">
        <v>53</v>
      </c>
    </row>
    <row r="30" spans="1:2" x14ac:dyDescent="0.35">
      <c r="A30" t="s">
        <v>56</v>
      </c>
    </row>
    <row r="31" spans="1:2" x14ac:dyDescent="0.35">
      <c r="A31" s="11" t="s">
        <v>57</v>
      </c>
      <c r="B31" s="11" t="s">
        <v>58</v>
      </c>
    </row>
    <row r="32" spans="1:2" x14ac:dyDescent="0.35">
      <c r="A32">
        <v>5</v>
      </c>
      <c r="B32">
        <v>10</v>
      </c>
    </row>
    <row r="33" spans="1:2" x14ac:dyDescent="0.35">
      <c r="A33">
        <v>8</v>
      </c>
      <c r="B33">
        <v>13</v>
      </c>
    </row>
    <row r="34" spans="1:2" x14ac:dyDescent="0.35">
      <c r="A34">
        <v>15</v>
      </c>
      <c r="B34">
        <v>21</v>
      </c>
    </row>
    <row r="35" spans="1:2" x14ac:dyDescent="0.35">
      <c r="A35">
        <v>20</v>
      </c>
      <c r="B35">
        <v>26</v>
      </c>
    </row>
    <row r="36" spans="1:2" x14ac:dyDescent="0.35">
      <c r="A36">
        <v>25</v>
      </c>
      <c r="B36">
        <v>32</v>
      </c>
    </row>
    <row r="37" spans="1:2" x14ac:dyDescent="0.35">
      <c r="A37">
        <v>28</v>
      </c>
      <c r="B37">
        <v>36</v>
      </c>
    </row>
    <row r="38" spans="1:2" x14ac:dyDescent="0.35">
      <c r="A38">
        <v>30</v>
      </c>
      <c r="B38">
        <v>38</v>
      </c>
    </row>
    <row r="39" spans="1:2" x14ac:dyDescent="0.35">
      <c r="A39">
        <v>35</v>
      </c>
      <c r="B39">
        <v>44</v>
      </c>
    </row>
    <row r="40" spans="1:2" x14ac:dyDescent="0.35">
      <c r="A40">
        <v>46</v>
      </c>
      <c r="B40">
        <v>57</v>
      </c>
    </row>
    <row r="41" spans="1:2" x14ac:dyDescent="0.35">
      <c r="A41">
        <v>69</v>
      </c>
      <c r="B41">
        <v>84</v>
      </c>
    </row>
    <row r="43" spans="1:2" x14ac:dyDescent="0.35">
      <c r="A43" t="s">
        <v>67</v>
      </c>
    </row>
    <row r="44" spans="1:2" x14ac:dyDescent="0.35">
      <c r="A44" t="s">
        <v>68</v>
      </c>
    </row>
    <row r="45" spans="1:2" x14ac:dyDescent="0.35">
      <c r="A45" t="s">
        <v>69</v>
      </c>
    </row>
    <row r="46" spans="1:2" x14ac:dyDescent="0.35">
      <c r="A46" t="s">
        <v>70</v>
      </c>
    </row>
    <row r="47" spans="1:2" x14ac:dyDescent="0.35">
      <c r="A47" t="s">
        <v>71</v>
      </c>
    </row>
    <row r="48" spans="1:2" x14ac:dyDescent="0.35">
      <c r="A48" t="s">
        <v>72</v>
      </c>
    </row>
    <row r="49" spans="1:1" x14ac:dyDescent="0.35">
      <c r="A49" t="s">
        <v>73</v>
      </c>
    </row>
    <row r="50" spans="1:1" x14ac:dyDescent="0.35">
      <c r="A50" t="s">
        <v>74</v>
      </c>
    </row>
    <row r="51" spans="1:1" x14ac:dyDescent="0.35">
      <c r="A51" t="s">
        <v>75</v>
      </c>
    </row>
    <row r="52" spans="1:1" x14ac:dyDescent="0.35">
      <c r="A52" t="s">
        <v>76</v>
      </c>
    </row>
    <row r="53" spans="1:1" x14ac:dyDescent="0.35">
      <c r="A53" s="12" t="s">
        <v>77</v>
      </c>
    </row>
    <row r="54" spans="1:1" x14ac:dyDescent="0.35">
      <c r="A54" s="12" t="s">
        <v>78</v>
      </c>
    </row>
    <row r="55" spans="1:1" x14ac:dyDescent="0.35">
      <c r="A55" s="12" t="s">
        <v>79</v>
      </c>
    </row>
    <row r="56" spans="1:1" x14ac:dyDescent="0.35">
      <c r="A56" s="12" t="s">
        <v>80</v>
      </c>
    </row>
    <row r="57" spans="1:1" x14ac:dyDescent="0.35">
      <c r="A57" s="12" t="s">
        <v>81</v>
      </c>
    </row>
    <row r="58" spans="1:1" x14ac:dyDescent="0.35">
      <c r="A58" s="12" t="s">
        <v>82</v>
      </c>
    </row>
    <row r="59" spans="1:1" x14ac:dyDescent="0.35">
      <c r="A59" s="12" t="s">
        <v>83</v>
      </c>
    </row>
    <row r="60" spans="1:1" x14ac:dyDescent="0.35">
      <c r="A60" s="12" t="s">
        <v>86</v>
      </c>
    </row>
    <row r="61" spans="1:1" x14ac:dyDescent="0.35">
      <c r="A61" s="12" t="s">
        <v>84</v>
      </c>
    </row>
    <row r="62" spans="1:1" x14ac:dyDescent="0.35">
      <c r="A62" s="12" t="s">
        <v>85</v>
      </c>
    </row>
    <row r="63" spans="1:1" x14ac:dyDescent="0.35">
      <c r="A63" s="12" t="s">
        <v>87</v>
      </c>
    </row>
    <row r="64" spans="1:1" x14ac:dyDescent="0.35">
      <c r="A64" s="12" t="s">
        <v>88</v>
      </c>
    </row>
    <row r="65" spans="1:1" x14ac:dyDescent="0.35">
      <c r="A65" s="12"/>
    </row>
    <row r="66" spans="1:1" x14ac:dyDescent="0.35">
      <c r="A66" t="s">
        <v>45</v>
      </c>
    </row>
    <row r="67" spans="1:1" x14ac:dyDescent="0.35">
      <c r="A67" t="s">
        <v>21</v>
      </c>
    </row>
    <row r="68" spans="1:1" x14ac:dyDescent="0.35">
      <c r="A68" t="s">
        <v>20</v>
      </c>
    </row>
    <row r="69" spans="1:1" x14ac:dyDescent="0.35">
      <c r="A69" t="s">
        <v>37</v>
      </c>
    </row>
  </sheetData>
  <sheetProtection algorithmName="SHA-512" hashValue="8ncPWo3FUIm8fHTtVE+dhcCp1v1ZDeSX72GsUO0VfgB2Phs2h2DMvYxwe6SQDGi9cW0zpn9yxI7msyKefwN7Bw==" saltValue="m3N1VGEDbDiDmvPhD9oFyg==" spinCount="100000" sheet="1" selectLockedCells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1</vt:i4>
      </vt:variant>
    </vt:vector>
  </HeadingPairs>
  <TitlesOfParts>
    <vt:vector size="6" baseType="lpstr">
      <vt:lpstr>Test Sheet</vt:lpstr>
      <vt:lpstr>NETA MTS 7.10.2</vt:lpstr>
      <vt:lpstr>TCF</vt:lpstr>
      <vt:lpstr>Temp Conv</vt:lpstr>
      <vt:lpstr>Dropdowns</vt:lpstr>
      <vt:lpstr>'Test Sheet'!Print_Area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Brian Rodgers</dc:creator>
  <cp:lastModifiedBy>Ryan Marthaler</cp:lastModifiedBy>
  <cp:lastPrinted>2024-10-06T20:52:43Z</cp:lastPrinted>
  <dcterms:created xsi:type="dcterms:W3CDTF">2009-06-02T15:38:13Z</dcterms:created>
  <dcterms:modified xsi:type="dcterms:W3CDTF">2025-12-05T19:30:26Z</dcterms:modified>
</cp:coreProperties>
</file>
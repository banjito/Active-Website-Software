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heet" sheetId="1" r:id="rId4"/>
  </sheets>
  <definedNames/>
  <calcPr/>
  <extLst>
    <ext uri="GoogleSheetsCustomDataVersion2">
      <go:sheetsCustomData xmlns:go="http://customooxmlschemas.google.com/" r:id="rId5" roundtripDataChecksum="8WxrbXegFCmtIWhWaOILr3inN6PiTtbK1OU5tEAOMTQ="/>
    </ext>
  </extLst>
</workbook>
</file>

<file path=xl/sharedStrings.xml><?xml version="1.0" encoding="utf-8"?>
<sst xmlns="http://schemas.openxmlformats.org/spreadsheetml/2006/main" count="195" uniqueCount="129">
  <si>
    <t>Customer</t>
  </si>
  <si>
    <t>Job #</t>
  </si>
  <si>
    <t>PASS</t>
  </si>
  <si>
    <t>Address</t>
  </si>
  <si>
    <t>Technicians</t>
  </si>
  <si>
    <t>User</t>
  </si>
  <si>
    <t>Date</t>
  </si>
  <si>
    <t>Temp.</t>
  </si>
  <si>
    <t>°F</t>
  </si>
  <si>
    <t>°C</t>
  </si>
  <si>
    <t>Humidity</t>
  </si>
  <si>
    <t>%</t>
  </si>
  <si>
    <t>Substation</t>
  </si>
  <si>
    <t>Identifier</t>
  </si>
  <si>
    <t>Eqpt. Location</t>
  </si>
  <si>
    <t>Nameplate Data</t>
  </si>
  <si>
    <t>Manufacturer</t>
  </si>
  <si>
    <t>Rated Voltage (V)</t>
  </si>
  <si>
    <t xml:space="preserve">Catalog No. </t>
  </si>
  <si>
    <t>System Voltage (V)</t>
  </si>
  <si>
    <t>Serial Number</t>
  </si>
  <si>
    <t>Rated Current (A)</t>
  </si>
  <si>
    <t>Series</t>
  </si>
  <si>
    <t>AIC Rating (kA)</t>
  </si>
  <si>
    <t>Type</t>
  </si>
  <si>
    <t>Phase Configuration</t>
  </si>
  <si>
    <t>Visual and Mechanical Inspection</t>
  </si>
  <si>
    <t>NETA Section</t>
  </si>
  <si>
    <t>Results</t>
  </si>
  <si>
    <t>7.1.1.A.1</t>
  </si>
  <si>
    <t>Compare equipment nameplate data with drawings.</t>
  </si>
  <si>
    <t>7.1.1.A.2</t>
  </si>
  <si>
    <t>Inspect physical, electrical, and mechanical condition.</t>
  </si>
  <si>
    <t>7.1.1.A.3</t>
  </si>
  <si>
    <t>Inspect anchorage, alignment, grounding, and required area clearances.</t>
  </si>
  <si>
    <t>7.1.1.A.4</t>
  </si>
  <si>
    <t>Verify the unit is clean and all shipping bracing, loose parts, and documentation shipped inside cubicles have been removed.</t>
  </si>
  <si>
    <t>7.1.1.A.5</t>
  </si>
  <si>
    <t>Compare mimic diagram and device labeling with drawings.</t>
  </si>
  <si>
    <t>7.1.1.A.6</t>
  </si>
  <si>
    <t>Verify that fuse and circuit breaker sizes and types correspond to drawings and coordination study as well as to the circuit breaker address for microprocessor-communication packages.</t>
  </si>
  <si>
    <t>7.1.1.A.7</t>
  </si>
  <si>
    <t>Verify that current and voltage transformer ratios correspond to drawings.</t>
  </si>
  <si>
    <t>7.1.1.A.8</t>
  </si>
  <si>
    <t>Verify that wiring connections are tight and that wiring is secure to prevent damage during routine operation of moving parts.</t>
  </si>
  <si>
    <t>7.1.1.A.9</t>
  </si>
  <si>
    <t>Verify tightness of accessible bolted electrical connections by calibrated torque-wrench method or in accordance with 7.1.1.B.1. Torque values shall be in accordance with manufacturer’s published data. In the absence of manufacturer’s data, use Table 100.12.</t>
  </si>
  <si>
    <t>7.1.1.A.10</t>
  </si>
  <si>
    <t>Confirm correct operation and sequencing of electrical and mechanical interlock systems.
- Attempt closure on locked-open devices. Attempt to open locked-closed devices.
- Make key exchange with all devices included in the interlock scheme.</t>
  </si>
  <si>
    <t>7.1.1.A.11</t>
  </si>
  <si>
    <t>Verify appropriate lubrication on moving current-carrying parts and on moving and sliding surfaces.</t>
  </si>
  <si>
    <t>7.1.1.A.12</t>
  </si>
  <si>
    <t>Inspect insulators for evidence of physical damage or contaminated surfaces.</t>
  </si>
  <si>
    <t>7.1.1.A.13</t>
  </si>
  <si>
    <t>Verify correct barrier and shutter installation and operation.</t>
  </si>
  <si>
    <t>7.1.1.A.14</t>
  </si>
  <si>
    <t>Exercise all active components.</t>
  </si>
  <si>
    <t>7.1.1.A.15</t>
  </si>
  <si>
    <t>Inspect mechanical indicating devices for correct operation.</t>
  </si>
  <si>
    <t>7.1.1.A.16</t>
  </si>
  <si>
    <t>Verify that filters are in place and vents are clear.</t>
  </si>
  <si>
    <t>7.1.1.A.17</t>
  </si>
  <si>
    <t>Perform visual and mechanical inspection of instrument transformers in accordance with Section 7.10.</t>
  </si>
  <si>
    <t>7.1.1.A.18</t>
  </si>
  <si>
    <t>Perform visual and mechanical inspection of surge arresters in accordance with Section 7.19.</t>
  </si>
  <si>
    <t>7.1.1.A.19</t>
  </si>
  <si>
    <t>Inspect control power transformers.</t>
  </si>
  <si>
    <t>7.1.1.A.20</t>
  </si>
  <si>
    <t>*Perform thermographic survey in accordance with Section 9.</t>
  </si>
  <si>
    <t>Electrical - Contact Resistance Tests</t>
  </si>
  <si>
    <t>Contact Resistance</t>
  </si>
  <si>
    <t>Value Deviation</t>
  </si>
  <si>
    <t>Criteria</t>
  </si>
  <si>
    <t>Bus Section</t>
  </si>
  <si>
    <t>A-Phase</t>
  </si>
  <si>
    <t>B-Phase</t>
  </si>
  <si>
    <t>C-Phase</t>
  </si>
  <si>
    <t>Neutral</t>
  </si>
  <si>
    <t>Ground</t>
  </si>
  <si>
    <t>Units</t>
  </si>
  <si>
    <t>Section 1 to Section 2</t>
  </si>
  <si>
    <t>N/A</t>
  </si>
  <si>
    <t>µΩ</t>
  </si>
  <si>
    <t>Phase:</t>
  </si>
  <si>
    <t>&lt;50%</t>
  </si>
  <si>
    <t>Section 2 to Section 3</t>
  </si>
  <si>
    <t>Section 3 to Section 4</t>
  </si>
  <si>
    <t>Section 4 to Section 5</t>
  </si>
  <si>
    <t>Neutral :</t>
  </si>
  <si>
    <t>Ground:</t>
  </si>
  <si>
    <t>Electrical - Insulation Resistance Tests</t>
  </si>
  <si>
    <t>Insulation Temperature (°F):</t>
  </si>
  <si>
    <t>Test Voltage:</t>
  </si>
  <si>
    <t>5000V</t>
  </si>
  <si>
    <t>Temp. Correction Factor:</t>
  </si>
  <si>
    <t>Test Duration:</t>
  </si>
  <si>
    <t>1 min.</t>
  </si>
  <si>
    <t>Measured Values</t>
  </si>
  <si>
    <t>A-G</t>
  </si>
  <si>
    <t>B-G</t>
  </si>
  <si>
    <t>C-G</t>
  </si>
  <si>
    <t>A-B</t>
  </si>
  <si>
    <t>B-C</t>
  </si>
  <si>
    <t>C-A</t>
  </si>
  <si>
    <t>A-N</t>
  </si>
  <si>
    <t>B-N</t>
  </si>
  <si>
    <t>C-N</t>
  </si>
  <si>
    <t>Section 1</t>
  </si>
  <si>
    <t>&gt;</t>
  </si>
  <si>
    <t>MΩ</t>
  </si>
  <si>
    <t>Section 2</t>
  </si>
  <si>
    <t>Section 3</t>
  </si>
  <si>
    <t>Section 4</t>
  </si>
  <si>
    <t>Section 5</t>
  </si>
  <si>
    <t>Temperature Corrected Values</t>
  </si>
  <si>
    <t>Value</t>
  </si>
  <si>
    <t>Table 100.1 Criteria:</t>
  </si>
  <si>
    <t>≥</t>
  </si>
  <si>
    <t>Overall Result:</t>
  </si>
  <si>
    <t>Electrical - Dielectric Withstand Tests</t>
  </si>
  <si>
    <t>2.3 kVDC</t>
  </si>
  <si>
    <t>μA</t>
  </si>
  <si>
    <t>Test Equipment Used</t>
  </si>
  <si>
    <t>Low Resistance Ohmmeter:</t>
  </si>
  <si>
    <t>Serial Number:</t>
  </si>
  <si>
    <t>AMP ID:</t>
  </si>
  <si>
    <t>Megohmmeter:</t>
  </si>
  <si>
    <t>Hipot:</t>
  </si>
  <si>
    <t>Comments: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</si>
</sst>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8">
    <font>
      <sz val="11.0"/>
      <color theme="1"/>
      <name val="Calibri"/>
      <scheme val="minor"/>
    </font>
    <font>
      <sz val="10.0"/>
      <color theme="1"/>
      <name val="Calibri"/>
    </font>
    <font/>
    <font>
      <sz val="9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u/>
      <sz val="10.0"/>
      <color rgb="FF351D13"/>
      <name val="Calibri"/>
    </font>
    <font>
      <b/>
      <sz val="10.0"/>
      <color rgb="FF663300"/>
      <name val="Calibri"/>
    </font>
    <font>
      <b/>
      <sz val="10.0"/>
      <color theme="1"/>
      <name val="Calibri"/>
    </font>
    <font>
      <b/>
      <u/>
      <sz val="10.0"/>
      <color theme="1"/>
      <name val="Calibri"/>
    </font>
    <font>
      <sz val="11.0"/>
      <color theme="1"/>
      <name val="Calibri"/>
    </font>
    <font>
      <b/>
      <u/>
      <sz val="10.0"/>
      <color rgb="FF351D13"/>
      <name val="Calibri"/>
    </font>
    <font>
      <b/>
      <sz val="10.0"/>
      <color rgb="FF351D13"/>
      <name val="Calibri"/>
    </font>
    <font>
      <sz val="10.0"/>
      <color rgb="FF351D13"/>
      <name val="Calibri"/>
    </font>
    <font>
      <sz val="10.0"/>
      <color rgb="FF663300"/>
      <name val="Calibri"/>
    </font>
    <font>
      <b/>
      <u/>
      <sz val="10.0"/>
      <color rgb="FF663300"/>
      <name val="Calibri"/>
    </font>
    <font>
      <b/>
      <u/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1">
    <border/>
    <border>
      <left/>
      <top style="medium">
        <color rgb="FFDAB56C"/>
      </top>
      <bottom/>
    </border>
    <border>
      <top style="medium">
        <color rgb="FFDAB56C"/>
      </top>
      <bottom/>
    </border>
    <border>
      <right/>
      <top style="medium">
        <color rgb="FFDAB56C"/>
      </top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 style="thin">
        <color theme="1"/>
      </bottom>
    </border>
    <border>
      <right/>
      <top/>
      <bottom style="thin">
        <color theme="1"/>
      </bottom>
    </border>
    <border>
      <left/>
      <right/>
      <top style="thin">
        <color rgb="FF000000"/>
      </top>
      <bottom style="thin">
        <color theme="1"/>
      </bottom>
    </border>
    <border>
      <top/>
      <bottom style="thin">
        <color theme="1"/>
      </bottom>
    </border>
    <border>
      <left/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/>
      <top style="thin">
        <color theme="1"/>
      </top>
      <bottom style="thin">
        <color theme="1"/>
      </bottom>
    </border>
    <border>
      <left/>
      <right/>
      <top/>
      <bottom style="medium">
        <color rgb="FFDAB56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DAB56C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2" fontId="4" numFmtId="0" xfId="0" applyAlignment="1" applyBorder="1" applyFont="1">
      <alignment vertical="center"/>
    </xf>
    <xf borderId="10" fillId="2" fontId="3" numFmtId="0" xfId="0" applyAlignment="1" applyBorder="1" applyFont="1">
      <alignment vertical="center"/>
    </xf>
    <xf borderId="11" fillId="2" fontId="5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0" fillId="2" fontId="6" numFmtId="0" xfId="0" applyAlignment="1" applyBorder="1" applyFont="1">
      <alignment shrinkToFit="0" vertical="center" wrapText="1"/>
    </xf>
    <xf borderId="14" fillId="2" fontId="3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7" fillId="2" fontId="3" numFmtId="164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23" fillId="0" fontId="2" numFmtId="0" xfId="0" applyBorder="1" applyFont="1"/>
    <xf borderId="24" fillId="2" fontId="3" numFmtId="0" xfId="0" applyAlignment="1" applyBorder="1" applyFont="1">
      <alignment horizontal="center" vertical="center"/>
    </xf>
    <xf borderId="25" fillId="0" fontId="2" numFmtId="0" xfId="0" applyBorder="1" applyFont="1"/>
    <xf borderId="26" fillId="2" fontId="3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29" fillId="2" fontId="3" numFmtId="0" xfId="0" applyAlignment="1" applyBorder="1" applyFont="1">
      <alignment horizontal="left" vertical="center"/>
    </xf>
    <xf borderId="29" fillId="2" fontId="3" numFmtId="0" xfId="0" applyAlignment="1" applyBorder="1" applyFont="1">
      <alignment horizontal="center" vertical="center"/>
    </xf>
    <xf borderId="29" fillId="2" fontId="3" numFmtId="0" xfId="0" applyAlignment="1" applyBorder="1" applyFont="1">
      <alignment vertical="center"/>
    </xf>
    <xf borderId="10" fillId="2" fontId="7" numFmtId="0" xfId="0" applyAlignment="1" applyBorder="1" applyFont="1">
      <alignment vertical="center"/>
    </xf>
    <xf borderId="10" fillId="2" fontId="8" numFmtId="0" xfId="0" applyAlignment="1" applyBorder="1" applyFont="1">
      <alignment vertical="center"/>
    </xf>
    <xf borderId="10" fillId="2" fontId="9" numFmtId="0" xfId="0" applyAlignment="1" applyBorder="1" applyFont="1">
      <alignment vertical="center"/>
    </xf>
    <xf borderId="10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vertical="center"/>
    </xf>
    <xf borderId="10" fillId="2" fontId="1" numFmtId="49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7" fillId="2" fontId="3" numFmtId="0" xfId="0" applyAlignment="1" applyBorder="1" applyFont="1">
      <alignment horizontal="center" readingOrder="0" vertical="center"/>
    </xf>
    <xf borderId="10" fillId="2" fontId="9" numFmtId="0" xfId="0" applyAlignment="1" applyBorder="1" applyFont="1">
      <alignment horizontal="left" vertical="center"/>
    </xf>
    <xf borderId="29" fillId="2" fontId="1" numFmtId="0" xfId="0" applyAlignment="1" applyBorder="1" applyFont="1">
      <alignment horizontal="center" vertical="center"/>
    </xf>
    <xf borderId="29" fillId="2" fontId="1" numFmtId="0" xfId="0" applyAlignment="1" applyBorder="1" applyFont="1">
      <alignment vertical="center"/>
    </xf>
    <xf borderId="29" fillId="2" fontId="1" numFmtId="49" xfId="0" applyAlignment="1" applyBorder="1" applyFont="1" applyNumberFormat="1">
      <alignment horizontal="center" vertical="center"/>
    </xf>
    <xf borderId="10" fillId="2" fontId="10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0" fillId="2" fontId="1" numFmtId="0" xfId="0" applyAlignment="1" applyBorder="1" applyFont="1">
      <alignment horizontal="right" vertical="center"/>
    </xf>
    <xf borderId="30" fillId="2" fontId="3" numFmtId="0" xfId="0" applyAlignment="1" applyBorder="1" applyFont="1">
      <alignment vertical="center"/>
    </xf>
    <xf borderId="31" fillId="0" fontId="2" numFmtId="0" xfId="0" applyBorder="1" applyFont="1"/>
    <xf borderId="30" fillId="2" fontId="3" numFmtId="0" xfId="0" applyAlignment="1" applyBorder="1" applyFont="1">
      <alignment horizontal="left" vertical="center"/>
    </xf>
    <xf borderId="30" fillId="2" fontId="3" numFmtId="0" xfId="0" applyAlignment="1" applyBorder="1" applyFont="1">
      <alignment horizontal="center" vertical="center"/>
    </xf>
    <xf borderId="30" fillId="2" fontId="3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vertical="center"/>
    </xf>
    <xf borderId="10" fillId="2" fontId="3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vertical="center"/>
    </xf>
    <xf borderId="10" fillId="2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29" fillId="2" fontId="1" numFmtId="0" xfId="0" applyAlignment="1" applyBorder="1" applyFont="1">
      <alignment horizontal="left" vertical="center"/>
    </xf>
    <xf borderId="32" fillId="2" fontId="12" numFmtId="0" xfId="0" applyAlignment="1" applyBorder="1" applyFont="1">
      <alignment vertical="center"/>
    </xf>
    <xf borderId="32" fillId="2" fontId="13" numFmtId="0" xfId="0" applyAlignment="1" applyBorder="1" applyFont="1">
      <alignment vertical="center"/>
    </xf>
    <xf borderId="32" fillId="2" fontId="14" numFmtId="0" xfId="0" applyAlignment="1" applyBorder="1" applyFont="1">
      <alignment vertical="center"/>
    </xf>
    <xf borderId="32" fillId="2" fontId="15" numFmtId="0" xfId="0" applyAlignment="1" applyBorder="1" applyFont="1">
      <alignment vertical="center"/>
    </xf>
    <xf borderId="10" fillId="2" fontId="13" numFmtId="0" xfId="0" applyAlignment="1" applyBorder="1" applyFont="1">
      <alignment vertical="center"/>
    </xf>
    <xf borderId="10" fillId="2" fontId="14" numFmtId="0" xfId="0" applyAlignment="1" applyBorder="1" applyFont="1">
      <alignment vertical="center"/>
    </xf>
    <xf borderId="10" fillId="2" fontId="15" numFmtId="0" xfId="0" applyAlignment="1" applyBorder="1" applyFont="1">
      <alignment vertical="center"/>
    </xf>
    <xf borderId="33" fillId="2" fontId="3" numFmtId="0" xfId="0" applyAlignment="1" applyBorder="1" applyFon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34" fillId="0" fontId="3" numFmtId="0" xfId="0" applyAlignment="1" applyBorder="1" applyFont="1">
      <alignment horizontal="center" vertical="center"/>
    </xf>
    <xf borderId="30" fillId="2" fontId="3" numFmtId="0" xfId="0" applyAlignment="1" applyBorder="1" applyFont="1">
      <alignment horizontal="center" shrinkToFit="0" vertical="center" wrapText="1"/>
    </xf>
    <xf borderId="37" fillId="2" fontId="3" numFmtId="0" xfId="0" applyAlignment="1" applyBorder="1" applyFont="1">
      <alignment vertical="center"/>
    </xf>
    <xf borderId="38" fillId="2" fontId="3" numFmtId="0" xfId="0" applyAlignment="1" applyBorder="1" applyFont="1">
      <alignment vertical="center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30" fillId="0" fontId="3" numFmtId="0" xfId="0" applyAlignment="1" applyBorder="1" applyFont="1">
      <alignment horizontal="center" vertical="center"/>
    </xf>
    <xf borderId="30" fillId="2" fontId="3" numFmtId="10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0" fillId="2" fontId="3" numFmtId="10" xfId="0" applyAlignment="1" applyBorder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30" fillId="0" fontId="3" numFmtId="10" xfId="0" applyAlignment="1" applyBorder="1" applyFont="1" applyNumberFormat="1">
      <alignment horizontal="center" vertical="center"/>
    </xf>
    <xf borderId="32" fillId="2" fontId="16" numFmtId="0" xfId="0" applyAlignment="1" applyBorder="1" applyFont="1">
      <alignment vertical="center"/>
    </xf>
    <xf borderId="30" fillId="0" fontId="3" numFmtId="0" xfId="0" applyAlignment="1" applyBorder="1" applyFont="1">
      <alignment horizontal="right" vertical="center"/>
    </xf>
    <xf borderId="42" fillId="2" fontId="3" numFmtId="0" xfId="0" applyAlignment="1" applyBorder="1" applyFont="1">
      <alignment horizontal="right" vertical="center"/>
    </xf>
    <xf borderId="43" fillId="0" fontId="2" numFmtId="0" xfId="0" applyBorder="1" applyFont="1"/>
    <xf borderId="44" fillId="0" fontId="2" numFmtId="0" xfId="0" applyBorder="1" applyFont="1"/>
    <xf borderId="45" fillId="2" fontId="3" numFmtId="0" xfId="0" applyAlignment="1" applyBorder="1" applyFont="1">
      <alignment horizontal="center" vertical="center"/>
    </xf>
    <xf borderId="46" fillId="0" fontId="2" numFmtId="0" xfId="0" applyBorder="1" applyFont="1"/>
    <xf borderId="0" fillId="0" fontId="3" numFmtId="0" xfId="0" applyAlignment="1" applyFont="1">
      <alignment horizontal="right" vertical="center"/>
    </xf>
    <xf borderId="15" fillId="0" fontId="3" numFmtId="0" xfId="0" applyAlignment="1" applyBorder="1" applyFont="1">
      <alignment horizontal="center" vertical="center"/>
    </xf>
    <xf borderId="30" fillId="2" fontId="3" numFmtId="0" xfId="0" applyAlignment="1" applyBorder="1" applyFont="1">
      <alignment horizontal="right" vertical="center"/>
    </xf>
    <xf borderId="0" fillId="0" fontId="4" numFmtId="0" xfId="0" applyFont="1"/>
    <xf borderId="40" fillId="0" fontId="4" numFmtId="0" xfId="0" applyBorder="1" applyFont="1"/>
    <xf borderId="47" fillId="0" fontId="2" numFmtId="0" xfId="0" applyBorder="1" applyFont="1"/>
    <xf borderId="48" fillId="2" fontId="3" numFmtId="0" xfId="0" applyAlignment="1" applyBorder="1" applyFont="1">
      <alignment horizontal="center" vertical="center"/>
    </xf>
    <xf borderId="49" fillId="2" fontId="3" numFmtId="0" xfId="0" applyAlignment="1" applyBorder="1" applyFont="1">
      <alignment horizontal="right" vertical="center"/>
    </xf>
    <xf borderId="40" fillId="0" fontId="3" numFmtId="0" xfId="0" applyAlignment="1" applyBorder="1" applyFont="1">
      <alignment horizontal="left"/>
    </xf>
    <xf borderId="50" fillId="2" fontId="3" numFmtId="0" xfId="0" applyAlignment="1" applyBorder="1" applyFont="1">
      <alignment horizontal="right" vertical="center"/>
    </xf>
    <xf borderId="15" fillId="0" fontId="3" numFmtId="0" xfId="0" applyAlignment="1" applyBorder="1" applyFont="1">
      <alignment horizontal="left"/>
    </xf>
    <xf borderId="10" fillId="2" fontId="3" numFmtId="0" xfId="0" applyAlignment="1" applyBorder="1" applyFont="1">
      <alignment horizontal="left" vertical="center"/>
    </xf>
    <xf borderId="0" fillId="0" fontId="3" numFmtId="0" xfId="0" applyFont="1"/>
    <xf borderId="10" fillId="2" fontId="3" numFmtId="0" xfId="0" applyAlignment="1" applyBorder="1" applyFont="1">
      <alignment horizontal="right" vertical="center"/>
    </xf>
    <xf borderId="0" fillId="0" fontId="3" numFmtId="0" xfId="0" applyAlignment="1" applyFont="1">
      <alignment horizontal="left"/>
    </xf>
    <xf borderId="42" fillId="2" fontId="3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left" vertical="center"/>
    </xf>
    <xf borderId="30" fillId="2" fontId="1" numFmtId="0" xfId="0" applyAlignment="1" applyBorder="1" applyFont="1">
      <alignment horizontal="center" shrinkToFit="0" vertical="center" wrapText="1"/>
    </xf>
    <xf borderId="10" fillId="2" fontId="17" numFmtId="0" xfId="0" applyAlignment="1" applyBorder="1" applyFont="1">
      <alignment vertical="center"/>
    </xf>
    <xf borderId="30" fillId="0" fontId="1" numFmtId="0" xfId="0" applyAlignment="1" applyBorder="1" applyFont="1">
      <alignment horizontal="center" shrinkToFit="0" vertical="center" wrapText="1"/>
    </xf>
    <xf borderId="48" fillId="2" fontId="3" numFmtId="0" xfId="0" applyAlignment="1" applyBorder="1" applyFont="1">
      <alignment horizontal="right" vertical="center"/>
    </xf>
    <xf borderId="4" fillId="2" fontId="3" numFmtId="0" xfId="0" applyAlignment="1" applyBorder="1" applyFont="1">
      <alignment horizontal="right" shrinkToFit="0" vertical="center" wrapText="1"/>
    </xf>
    <xf borderId="7" fillId="2" fontId="1" numFmtId="49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right" vertical="center"/>
    </xf>
    <xf borderId="7" fillId="2" fontId="3" numFmtId="49" xfId="0" applyAlignment="1" applyBorder="1" applyFont="1" applyNumberFormat="1">
      <alignment horizontal="center" vertical="center"/>
    </xf>
    <xf borderId="7" fillId="2" fontId="1" numFmtId="49" xfId="0" applyAlignment="1" applyBorder="1" applyFont="1" applyNumberFormat="1">
      <alignment horizontal="center"/>
    </xf>
    <xf borderId="10" fillId="2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4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numFmt numFmtId="0" formatCode=";;;"/>
      <fill>
        <patternFill patternType="solid">
          <fgColor rgb="FFD8D8D8"/>
          <bgColor rgb="FFD8D8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9" width="2.57"/>
  </cols>
  <sheetData>
    <row r="1" ht="5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11.25" customHeight="1">
      <c r="A2" s="4" t="s">
        <v>0</v>
      </c>
      <c r="B2" s="5"/>
      <c r="C2" s="5"/>
      <c r="D2" s="5"/>
      <c r="E2" s="6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  <c r="Y2" s="10"/>
      <c r="Z2" s="4" t="s">
        <v>1</v>
      </c>
      <c r="AA2" s="5"/>
      <c r="AB2" s="5"/>
      <c r="AC2" s="5"/>
      <c r="AD2" s="6"/>
      <c r="AE2" s="7"/>
      <c r="AF2" s="8"/>
      <c r="AG2" s="8"/>
      <c r="AH2" s="9"/>
      <c r="AI2" s="11"/>
      <c r="AJ2" s="12" t="s">
        <v>2</v>
      </c>
      <c r="AK2" s="13"/>
      <c r="AL2" s="14"/>
      <c r="AM2" s="15"/>
    </row>
    <row r="3" ht="11.25" customHeight="1">
      <c r="A3" s="4" t="s">
        <v>3</v>
      </c>
      <c r="B3" s="5"/>
      <c r="C3" s="5"/>
      <c r="D3" s="5"/>
      <c r="E3" s="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4" t="s">
        <v>4</v>
      </c>
      <c r="AA3" s="5"/>
      <c r="AB3" s="5"/>
      <c r="AC3" s="5"/>
      <c r="AD3" s="6"/>
      <c r="AE3" s="16"/>
      <c r="AF3" s="17"/>
      <c r="AG3" s="17"/>
      <c r="AH3" s="18"/>
      <c r="AI3" s="11"/>
      <c r="AJ3" s="19"/>
      <c r="AL3" s="20"/>
      <c r="AM3" s="15"/>
    </row>
    <row r="4" ht="11.25" customHeight="1">
      <c r="A4" s="4" t="s">
        <v>5</v>
      </c>
      <c r="B4" s="5"/>
      <c r="C4" s="5"/>
      <c r="D4" s="5"/>
      <c r="E4" s="6"/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8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21"/>
      <c r="AK4" s="22"/>
      <c r="AL4" s="23"/>
      <c r="AM4" s="15"/>
    </row>
    <row r="5" ht="11.25" customHeight="1">
      <c r="A5" s="4" t="s">
        <v>6</v>
      </c>
      <c r="B5" s="5"/>
      <c r="C5" s="5"/>
      <c r="D5" s="5"/>
      <c r="E5" s="6"/>
      <c r="F5" s="24"/>
      <c r="G5" s="8"/>
      <c r="H5" s="8"/>
      <c r="I5" s="9"/>
      <c r="J5" s="11"/>
      <c r="K5" s="25" t="s">
        <v>7</v>
      </c>
      <c r="L5" s="6"/>
      <c r="M5" s="7">
        <v>89.0</v>
      </c>
      <c r="N5" s="9"/>
      <c r="O5" s="11" t="s">
        <v>8</v>
      </c>
      <c r="P5" s="26">
        <f>ROUND((M5-32)*5/9,1)</f>
        <v>31.7</v>
      </c>
      <c r="Q5" s="27"/>
      <c r="R5" s="11" t="s">
        <v>9</v>
      </c>
      <c r="S5" s="25" t="s">
        <v>10</v>
      </c>
      <c r="T5" s="5"/>
      <c r="U5" s="5"/>
      <c r="V5" s="6"/>
      <c r="W5" s="28"/>
      <c r="X5" s="28" t="s">
        <v>11</v>
      </c>
      <c r="Y5" s="11"/>
      <c r="Z5" s="4" t="s">
        <v>12</v>
      </c>
      <c r="AA5" s="5"/>
      <c r="AB5" s="5"/>
      <c r="AC5" s="5"/>
      <c r="AD5" s="6"/>
      <c r="AE5" s="26"/>
      <c r="AF5" s="29"/>
      <c r="AG5" s="29"/>
      <c r="AH5" s="29"/>
      <c r="AI5" s="29"/>
      <c r="AJ5" s="29"/>
      <c r="AK5" s="29"/>
      <c r="AL5" s="27"/>
      <c r="AM5" s="11"/>
    </row>
    <row r="6" ht="11.25" customHeight="1">
      <c r="A6" s="4" t="s">
        <v>13</v>
      </c>
      <c r="B6" s="5"/>
      <c r="C6" s="5"/>
      <c r="D6" s="5"/>
      <c r="E6" s="6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11"/>
      <c r="Z6" s="4" t="s">
        <v>14</v>
      </c>
      <c r="AA6" s="5"/>
      <c r="AB6" s="5"/>
      <c r="AC6" s="5"/>
      <c r="AD6" s="6"/>
      <c r="AE6" s="30"/>
      <c r="AF6" s="31"/>
      <c r="AG6" s="31"/>
      <c r="AH6" s="31"/>
      <c r="AI6" s="31"/>
      <c r="AJ6" s="31"/>
      <c r="AK6" s="31"/>
      <c r="AL6" s="32"/>
      <c r="AM6" s="11"/>
    </row>
    <row r="7" ht="11.25" customHeight="1">
      <c r="A7" s="33"/>
      <c r="B7" s="33"/>
      <c r="C7" s="33"/>
      <c r="D7" s="33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5"/>
      <c r="Z7" s="33"/>
      <c r="AA7" s="33"/>
      <c r="AB7" s="33"/>
      <c r="AC7" s="33"/>
      <c r="AD7" s="33"/>
      <c r="AE7" s="34"/>
      <c r="AF7" s="34"/>
      <c r="AG7" s="34"/>
      <c r="AH7" s="34"/>
      <c r="AI7" s="34"/>
      <c r="AJ7" s="34"/>
      <c r="AK7" s="34"/>
      <c r="AL7" s="34"/>
      <c r="AM7" s="35"/>
    </row>
    <row r="8" ht="11.25" customHeight="1">
      <c r="A8" s="36" t="s">
        <v>15</v>
      </c>
      <c r="B8" s="37"/>
      <c r="C8" s="37"/>
      <c r="D8" s="37"/>
      <c r="E8" s="37"/>
      <c r="F8" s="38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40"/>
      <c r="X8" s="39"/>
      <c r="Y8" s="40"/>
      <c r="Z8" s="41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</row>
    <row r="9" ht="10.5" customHeight="1">
      <c r="A9" s="36"/>
      <c r="B9" s="37"/>
      <c r="C9" s="37"/>
      <c r="D9" s="37"/>
      <c r="E9" s="37"/>
      <c r="F9" s="38"/>
      <c r="G9" s="42" t="s">
        <v>16</v>
      </c>
      <c r="H9" s="5"/>
      <c r="I9" s="5"/>
      <c r="J9" s="5"/>
      <c r="K9" s="6"/>
      <c r="L9" s="7"/>
      <c r="M9" s="8"/>
      <c r="N9" s="8"/>
      <c r="O9" s="8"/>
      <c r="P9" s="8"/>
      <c r="Q9" s="8"/>
      <c r="R9" s="8"/>
      <c r="S9" s="8"/>
      <c r="T9" s="9"/>
      <c r="U9" s="43"/>
      <c r="V9" s="4" t="s">
        <v>17</v>
      </c>
      <c r="W9" s="5"/>
      <c r="X9" s="5"/>
      <c r="Y9" s="5"/>
      <c r="Z9" s="5"/>
      <c r="AA9" s="6"/>
      <c r="AB9" s="44">
        <v>250.0</v>
      </c>
      <c r="AC9" s="8"/>
      <c r="AD9" s="8"/>
      <c r="AE9" s="8"/>
      <c r="AF9" s="8"/>
      <c r="AG9" s="8"/>
      <c r="AH9" s="8"/>
      <c r="AI9" s="8"/>
      <c r="AJ9" s="9"/>
      <c r="AK9" s="40"/>
      <c r="AL9" s="40"/>
      <c r="AM9" s="40"/>
    </row>
    <row r="10" ht="11.25" customHeight="1">
      <c r="A10" s="45"/>
      <c r="B10" s="45"/>
      <c r="C10" s="45"/>
      <c r="D10" s="45"/>
      <c r="E10" s="45"/>
      <c r="F10" s="45"/>
      <c r="G10" s="42" t="s">
        <v>18</v>
      </c>
      <c r="H10" s="5"/>
      <c r="I10" s="5"/>
      <c r="J10" s="5"/>
      <c r="K10" s="6"/>
      <c r="L10" s="7"/>
      <c r="M10" s="8"/>
      <c r="N10" s="8"/>
      <c r="O10" s="8"/>
      <c r="P10" s="8"/>
      <c r="Q10" s="8"/>
      <c r="R10" s="8"/>
      <c r="S10" s="8"/>
      <c r="T10" s="9"/>
      <c r="U10" s="43"/>
      <c r="V10" s="4" t="s">
        <v>19</v>
      </c>
      <c r="W10" s="5"/>
      <c r="X10" s="5"/>
      <c r="Y10" s="5"/>
      <c r="Z10" s="5"/>
      <c r="AA10" s="6"/>
      <c r="AB10" s="7"/>
      <c r="AC10" s="8"/>
      <c r="AD10" s="8"/>
      <c r="AE10" s="8"/>
      <c r="AF10" s="8"/>
      <c r="AG10" s="8"/>
      <c r="AH10" s="8"/>
      <c r="AI10" s="8"/>
      <c r="AJ10" s="9"/>
      <c r="AK10" s="40"/>
      <c r="AL10" s="40"/>
      <c r="AM10" s="40"/>
    </row>
    <row r="11" ht="11.25" customHeight="1">
      <c r="A11" s="45"/>
      <c r="B11" s="40"/>
      <c r="C11" s="40"/>
      <c r="D11" s="40"/>
      <c r="E11" s="40"/>
      <c r="F11" s="40"/>
      <c r="G11" s="42" t="s">
        <v>20</v>
      </c>
      <c r="H11" s="5"/>
      <c r="I11" s="5"/>
      <c r="J11" s="5"/>
      <c r="K11" s="6"/>
      <c r="L11" s="7"/>
      <c r="M11" s="8"/>
      <c r="N11" s="8"/>
      <c r="O11" s="8"/>
      <c r="P11" s="8"/>
      <c r="Q11" s="8"/>
      <c r="R11" s="8"/>
      <c r="S11" s="8"/>
      <c r="T11" s="9"/>
      <c r="U11" s="43"/>
      <c r="V11" s="4" t="s">
        <v>21</v>
      </c>
      <c r="W11" s="5"/>
      <c r="X11" s="5"/>
      <c r="Y11" s="5"/>
      <c r="Z11" s="5"/>
      <c r="AA11" s="6"/>
      <c r="AB11" s="7"/>
      <c r="AC11" s="8"/>
      <c r="AD11" s="8"/>
      <c r="AE11" s="8"/>
      <c r="AF11" s="8"/>
      <c r="AG11" s="8"/>
      <c r="AH11" s="8"/>
      <c r="AI11" s="8"/>
      <c r="AJ11" s="9"/>
      <c r="AK11" s="40"/>
      <c r="AL11" s="40"/>
      <c r="AM11" s="40"/>
    </row>
    <row r="12" ht="11.25" customHeight="1">
      <c r="A12" s="45"/>
      <c r="B12" s="40"/>
      <c r="C12" s="40"/>
      <c r="D12" s="40"/>
      <c r="E12" s="40"/>
      <c r="F12" s="40"/>
      <c r="G12" s="42" t="s">
        <v>22</v>
      </c>
      <c r="H12" s="5"/>
      <c r="I12" s="5"/>
      <c r="J12" s="5"/>
      <c r="K12" s="6"/>
      <c r="L12" s="7"/>
      <c r="M12" s="8"/>
      <c r="N12" s="8"/>
      <c r="O12" s="8"/>
      <c r="P12" s="8"/>
      <c r="Q12" s="8"/>
      <c r="R12" s="8"/>
      <c r="S12" s="8"/>
      <c r="T12" s="9"/>
      <c r="U12" s="43"/>
      <c r="V12" s="4" t="s">
        <v>23</v>
      </c>
      <c r="W12" s="5"/>
      <c r="X12" s="5"/>
      <c r="Y12" s="5"/>
      <c r="Z12" s="5"/>
      <c r="AA12" s="6"/>
      <c r="AB12" s="7"/>
      <c r="AC12" s="8"/>
      <c r="AD12" s="8"/>
      <c r="AE12" s="8"/>
      <c r="AF12" s="8"/>
      <c r="AG12" s="8"/>
      <c r="AH12" s="8"/>
      <c r="AI12" s="8"/>
      <c r="AJ12" s="9"/>
      <c r="AK12" s="40"/>
      <c r="AL12" s="40"/>
      <c r="AM12" s="40"/>
    </row>
    <row r="13" ht="11.25" customHeight="1">
      <c r="A13" s="45"/>
      <c r="B13" s="40"/>
      <c r="C13" s="40"/>
      <c r="D13" s="40"/>
      <c r="E13" s="40"/>
      <c r="F13" s="40"/>
      <c r="G13" s="42" t="s">
        <v>24</v>
      </c>
      <c r="H13" s="5"/>
      <c r="I13" s="5"/>
      <c r="J13" s="5"/>
      <c r="K13" s="6"/>
      <c r="L13" s="7"/>
      <c r="M13" s="8"/>
      <c r="N13" s="8"/>
      <c r="O13" s="8"/>
      <c r="P13" s="8"/>
      <c r="Q13" s="8"/>
      <c r="R13" s="8"/>
      <c r="S13" s="8"/>
      <c r="T13" s="9"/>
      <c r="U13" s="43"/>
      <c r="V13" s="4" t="s">
        <v>25</v>
      </c>
      <c r="W13" s="5"/>
      <c r="X13" s="5"/>
      <c r="Y13" s="5"/>
      <c r="Z13" s="5"/>
      <c r="AA13" s="6"/>
      <c r="AB13" s="7"/>
      <c r="AC13" s="8"/>
      <c r="AD13" s="8"/>
      <c r="AE13" s="8"/>
      <c r="AF13" s="8"/>
      <c r="AG13" s="8"/>
      <c r="AH13" s="8"/>
      <c r="AI13" s="8"/>
      <c r="AJ13" s="9"/>
      <c r="AK13" s="40"/>
      <c r="AL13" s="40"/>
      <c r="AM13" s="40"/>
    </row>
    <row r="14" ht="11.2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7"/>
      <c r="X14" s="46"/>
      <c r="Y14" s="47"/>
      <c r="Z14" s="47"/>
      <c r="AA14" s="47"/>
      <c r="AB14" s="47"/>
      <c r="AC14" s="46"/>
      <c r="AD14" s="46"/>
      <c r="AE14" s="46"/>
      <c r="AF14" s="48"/>
      <c r="AG14" s="48"/>
      <c r="AH14" s="48"/>
      <c r="AI14" s="48"/>
      <c r="AJ14" s="48"/>
      <c r="AK14" s="48"/>
      <c r="AL14" s="48"/>
      <c r="AM14" s="48"/>
    </row>
    <row r="15" ht="11.25" customHeight="1">
      <c r="A15" s="36" t="s">
        <v>26</v>
      </c>
      <c r="B15" s="49"/>
      <c r="C15" s="49"/>
      <c r="D15" s="49"/>
      <c r="E15" s="49"/>
      <c r="F15" s="49"/>
      <c r="G15" s="49"/>
      <c r="H15" s="49"/>
      <c r="I15" s="49"/>
      <c r="J15" s="38"/>
      <c r="K15" s="38"/>
      <c r="L15" s="50"/>
      <c r="M15" s="40"/>
      <c r="N15" s="39"/>
      <c r="O15" s="39"/>
      <c r="P15" s="39"/>
      <c r="Q15" s="39"/>
      <c r="R15" s="39"/>
      <c r="S15" s="39"/>
      <c r="T15" s="39"/>
      <c r="U15" s="39"/>
      <c r="V15" s="51"/>
      <c r="W15" s="51"/>
      <c r="X15" s="51"/>
      <c r="Y15" s="50"/>
      <c r="Z15" s="5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</row>
    <row r="16" ht="11.2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11"/>
    </row>
    <row r="17" ht="11.25" customHeight="1">
      <c r="A17" s="43"/>
      <c r="B17" s="11" t="s">
        <v>27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7" t="s">
        <v>28</v>
      </c>
      <c r="AI17" s="8"/>
      <c r="AJ17" s="8"/>
      <c r="AK17" s="8"/>
      <c r="AL17" s="9"/>
      <c r="AM17" s="43"/>
    </row>
    <row r="18" ht="10.5" customHeight="1">
      <c r="A18" s="43"/>
      <c r="B18" s="52" t="s">
        <v>29</v>
      </c>
      <c r="C18" s="17"/>
      <c r="D18" s="17"/>
      <c r="E18" s="53"/>
      <c r="F18" s="54" t="s">
        <v>30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53"/>
      <c r="AH18" s="55"/>
      <c r="AI18" s="17"/>
      <c r="AJ18" s="17"/>
      <c r="AK18" s="17"/>
      <c r="AL18" s="53"/>
      <c r="AM18" s="40"/>
    </row>
    <row r="19" ht="10.5" customHeight="1">
      <c r="A19" s="43"/>
      <c r="B19" s="52" t="s">
        <v>31</v>
      </c>
      <c r="C19" s="17"/>
      <c r="D19" s="17"/>
      <c r="E19" s="53"/>
      <c r="F19" s="54" t="s">
        <v>32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53"/>
      <c r="AH19" s="55"/>
      <c r="AI19" s="17"/>
      <c r="AJ19" s="17"/>
      <c r="AK19" s="17"/>
      <c r="AL19" s="53"/>
      <c r="AM19" s="40"/>
    </row>
    <row r="20" ht="10.5" customHeight="1">
      <c r="A20" s="43"/>
      <c r="B20" s="52" t="s">
        <v>33</v>
      </c>
      <c r="C20" s="17"/>
      <c r="D20" s="17"/>
      <c r="E20" s="53"/>
      <c r="F20" s="54" t="s">
        <v>34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53"/>
      <c r="AH20" s="55"/>
      <c r="AI20" s="17"/>
      <c r="AJ20" s="17"/>
      <c r="AK20" s="17"/>
      <c r="AL20" s="53"/>
      <c r="AM20" s="40"/>
    </row>
    <row r="21" ht="24.75" customHeight="1">
      <c r="A21" s="43"/>
      <c r="B21" s="52" t="s">
        <v>35</v>
      </c>
      <c r="C21" s="17"/>
      <c r="D21" s="17"/>
      <c r="E21" s="53"/>
      <c r="F21" s="56" t="s">
        <v>36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53"/>
      <c r="AH21" s="55"/>
      <c r="AI21" s="17"/>
      <c r="AJ21" s="17"/>
      <c r="AK21" s="17"/>
      <c r="AL21" s="53"/>
      <c r="AM21" s="40"/>
    </row>
    <row r="22" ht="10.5" customHeight="1">
      <c r="A22" s="43"/>
      <c r="B22" s="52" t="s">
        <v>37</v>
      </c>
      <c r="C22" s="17"/>
      <c r="D22" s="17"/>
      <c r="E22" s="53"/>
      <c r="F22" s="56" t="s">
        <v>38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53"/>
      <c r="AH22" s="55"/>
      <c r="AI22" s="17"/>
      <c r="AJ22" s="17"/>
      <c r="AK22" s="17"/>
      <c r="AL22" s="53"/>
      <c r="AM22" s="40"/>
    </row>
    <row r="23" ht="24.75" customHeight="1">
      <c r="A23" s="43"/>
      <c r="B23" s="52" t="s">
        <v>39</v>
      </c>
      <c r="C23" s="17"/>
      <c r="D23" s="17"/>
      <c r="E23" s="53"/>
      <c r="F23" s="56" t="s">
        <v>40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53"/>
      <c r="AH23" s="55"/>
      <c r="AI23" s="17"/>
      <c r="AJ23" s="17"/>
      <c r="AK23" s="17"/>
      <c r="AL23" s="53"/>
      <c r="AM23" s="40"/>
    </row>
    <row r="24" ht="10.5" customHeight="1">
      <c r="A24" s="43"/>
      <c r="B24" s="52" t="s">
        <v>41</v>
      </c>
      <c r="C24" s="17"/>
      <c r="D24" s="17"/>
      <c r="E24" s="53"/>
      <c r="F24" s="56" t="s">
        <v>42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53"/>
      <c r="AH24" s="55"/>
      <c r="AI24" s="17"/>
      <c r="AJ24" s="17"/>
      <c r="AK24" s="17"/>
      <c r="AL24" s="53"/>
      <c r="AM24" s="40"/>
    </row>
    <row r="25" ht="24.75" customHeight="1">
      <c r="A25" s="43"/>
      <c r="B25" s="52" t="s">
        <v>43</v>
      </c>
      <c r="C25" s="17"/>
      <c r="D25" s="17"/>
      <c r="E25" s="53"/>
      <c r="F25" s="56" t="s">
        <v>44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53"/>
      <c r="AH25" s="55"/>
      <c r="AI25" s="17"/>
      <c r="AJ25" s="17"/>
      <c r="AK25" s="17"/>
      <c r="AL25" s="53"/>
      <c r="AM25" s="43"/>
    </row>
    <row r="26" ht="36.75" customHeight="1">
      <c r="A26" s="43"/>
      <c r="B26" s="52" t="s">
        <v>45</v>
      </c>
      <c r="C26" s="17"/>
      <c r="D26" s="17"/>
      <c r="E26" s="53"/>
      <c r="F26" s="56" t="s">
        <v>46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53"/>
      <c r="AH26" s="55"/>
      <c r="AI26" s="17"/>
      <c r="AJ26" s="17"/>
      <c r="AK26" s="17"/>
      <c r="AL26" s="53"/>
      <c r="AM26" s="11"/>
    </row>
    <row r="27" ht="36.75" customHeight="1">
      <c r="A27" s="43"/>
      <c r="B27" s="52" t="s">
        <v>47</v>
      </c>
      <c r="C27" s="17"/>
      <c r="D27" s="17"/>
      <c r="E27" s="53"/>
      <c r="F27" s="56" t="s">
        <v>48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53"/>
      <c r="AH27" s="55"/>
      <c r="AI27" s="17"/>
      <c r="AJ27" s="17"/>
      <c r="AK27" s="17"/>
      <c r="AL27" s="53"/>
      <c r="AM27" s="11"/>
    </row>
    <row r="28" ht="10.5" customHeight="1">
      <c r="A28" s="43"/>
      <c r="B28" s="52" t="s">
        <v>49</v>
      </c>
      <c r="C28" s="17"/>
      <c r="D28" s="17"/>
      <c r="E28" s="53"/>
      <c r="F28" s="56" t="s">
        <v>50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53"/>
      <c r="AH28" s="55"/>
      <c r="AI28" s="17"/>
      <c r="AJ28" s="17"/>
      <c r="AK28" s="17"/>
      <c r="AL28" s="53"/>
      <c r="AM28" s="11"/>
    </row>
    <row r="29" ht="10.5" customHeight="1">
      <c r="A29" s="43"/>
      <c r="B29" s="52" t="s">
        <v>51</v>
      </c>
      <c r="C29" s="17"/>
      <c r="D29" s="17"/>
      <c r="E29" s="53"/>
      <c r="F29" s="56" t="s">
        <v>52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53"/>
      <c r="AH29" s="55"/>
      <c r="AI29" s="17"/>
      <c r="AJ29" s="17"/>
      <c r="AK29" s="17"/>
      <c r="AL29" s="53"/>
      <c r="AM29" s="11"/>
    </row>
    <row r="30" ht="10.5" customHeight="1">
      <c r="A30" s="43"/>
      <c r="B30" s="52" t="s">
        <v>53</v>
      </c>
      <c r="C30" s="17"/>
      <c r="D30" s="17"/>
      <c r="E30" s="53"/>
      <c r="F30" s="56" t="s">
        <v>54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53"/>
      <c r="AH30" s="55"/>
      <c r="AI30" s="17"/>
      <c r="AJ30" s="17"/>
      <c r="AK30" s="17"/>
      <c r="AL30" s="53"/>
      <c r="AM30" s="11"/>
    </row>
    <row r="31" ht="10.5" customHeight="1">
      <c r="A31" s="43"/>
      <c r="B31" s="52" t="s">
        <v>55</v>
      </c>
      <c r="C31" s="17"/>
      <c r="D31" s="17"/>
      <c r="E31" s="53"/>
      <c r="F31" s="56" t="s">
        <v>56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53"/>
      <c r="AH31" s="55"/>
      <c r="AI31" s="17"/>
      <c r="AJ31" s="17"/>
      <c r="AK31" s="17"/>
      <c r="AL31" s="53"/>
      <c r="AM31" s="11"/>
    </row>
    <row r="32" ht="10.5" customHeight="1">
      <c r="A32" s="43"/>
      <c r="B32" s="52" t="s">
        <v>57</v>
      </c>
      <c r="C32" s="17"/>
      <c r="D32" s="17"/>
      <c r="E32" s="53"/>
      <c r="F32" s="56" t="s">
        <v>58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53"/>
      <c r="AH32" s="55"/>
      <c r="AI32" s="17"/>
      <c r="AJ32" s="17"/>
      <c r="AK32" s="17"/>
      <c r="AL32" s="53"/>
      <c r="AM32" s="11"/>
    </row>
    <row r="33" ht="10.5" customHeight="1">
      <c r="A33" s="43"/>
      <c r="B33" s="52" t="s">
        <v>59</v>
      </c>
      <c r="C33" s="17"/>
      <c r="D33" s="17"/>
      <c r="E33" s="53"/>
      <c r="F33" s="56" t="s">
        <v>60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53"/>
      <c r="AH33" s="55"/>
      <c r="AI33" s="17"/>
      <c r="AJ33" s="17"/>
      <c r="AK33" s="17"/>
      <c r="AL33" s="53"/>
      <c r="AM33" s="11"/>
    </row>
    <row r="34" ht="10.5" customHeight="1">
      <c r="A34" s="43"/>
      <c r="B34" s="52" t="s">
        <v>61</v>
      </c>
      <c r="C34" s="17"/>
      <c r="D34" s="17"/>
      <c r="E34" s="53"/>
      <c r="F34" s="56" t="s">
        <v>62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53"/>
      <c r="AH34" s="55"/>
      <c r="AI34" s="17"/>
      <c r="AJ34" s="17"/>
      <c r="AK34" s="17"/>
      <c r="AL34" s="53"/>
      <c r="AM34" s="11"/>
    </row>
    <row r="35" ht="10.5" customHeight="1">
      <c r="A35" s="43"/>
      <c r="B35" s="52" t="s">
        <v>63</v>
      </c>
      <c r="C35" s="17"/>
      <c r="D35" s="17"/>
      <c r="E35" s="53"/>
      <c r="F35" s="56" t="s">
        <v>64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53"/>
      <c r="AH35" s="55"/>
      <c r="AI35" s="17"/>
      <c r="AJ35" s="17"/>
      <c r="AK35" s="17"/>
      <c r="AL35" s="53"/>
      <c r="AM35" s="11"/>
    </row>
    <row r="36" ht="10.5" customHeight="1">
      <c r="A36" s="43"/>
      <c r="B36" s="52" t="s">
        <v>65</v>
      </c>
      <c r="C36" s="17"/>
      <c r="D36" s="17"/>
      <c r="E36" s="53"/>
      <c r="F36" s="56" t="s">
        <v>66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53"/>
      <c r="AH36" s="55"/>
      <c r="AI36" s="17"/>
      <c r="AJ36" s="17"/>
      <c r="AK36" s="17"/>
      <c r="AL36" s="53"/>
      <c r="AM36" s="11"/>
    </row>
    <row r="37" ht="10.5" customHeight="1">
      <c r="A37" s="43"/>
      <c r="B37" s="52" t="s">
        <v>67</v>
      </c>
      <c r="C37" s="17"/>
      <c r="D37" s="17"/>
      <c r="E37" s="53"/>
      <c r="F37" s="56" t="s">
        <v>68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53"/>
      <c r="AH37" s="55"/>
      <c r="AI37" s="17"/>
      <c r="AJ37" s="17"/>
      <c r="AK37" s="17"/>
      <c r="AL37" s="53"/>
      <c r="AM37" s="11"/>
    </row>
    <row r="38" ht="10.5" customHeight="1">
      <c r="A38" s="43"/>
      <c r="B38" s="11"/>
      <c r="C38" s="57"/>
      <c r="D38" s="57"/>
      <c r="E38" s="57"/>
      <c r="F38" s="58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60"/>
      <c r="AI38" s="61"/>
      <c r="AJ38" s="61"/>
      <c r="AK38" s="61"/>
      <c r="AL38" s="61"/>
      <c r="AM38" s="11"/>
    </row>
    <row r="39" ht="11.25" customHeight="1">
      <c r="A39" s="62"/>
      <c r="B39" s="62"/>
      <c r="C39" s="62"/>
      <c r="D39" s="62"/>
      <c r="E39" s="62"/>
      <c r="F39" s="62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7"/>
      <c r="AL39" s="47"/>
      <c r="AM39" s="47"/>
    </row>
    <row r="40" ht="11.25" customHeight="1">
      <c r="A40" s="63" t="s">
        <v>69</v>
      </c>
      <c r="B40" s="64"/>
      <c r="C40" s="64"/>
      <c r="D40" s="64"/>
      <c r="E40" s="64"/>
      <c r="F40" s="64"/>
      <c r="G40" s="65"/>
      <c r="H40" s="65"/>
      <c r="I40" s="65"/>
      <c r="J40" s="65"/>
      <c r="K40" s="65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</row>
    <row r="41" ht="11.25" customHeight="1">
      <c r="A41" s="36"/>
      <c r="B41" s="67"/>
      <c r="C41" s="67"/>
      <c r="D41" s="67"/>
      <c r="E41" s="67"/>
      <c r="F41" s="67"/>
      <c r="G41" s="68"/>
      <c r="H41" s="68"/>
      <c r="I41" s="68"/>
      <c r="J41" s="68"/>
      <c r="K41" s="68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43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43"/>
      <c r="AM41" s="43"/>
    </row>
    <row r="42" ht="11.25" customHeight="1">
      <c r="A42" s="40"/>
      <c r="B42" s="55" t="s">
        <v>70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53"/>
      <c r="Y42" s="43"/>
      <c r="Z42" s="11"/>
      <c r="AA42" s="11"/>
      <c r="AB42" s="70"/>
      <c r="AC42" s="71" t="s">
        <v>71</v>
      </c>
      <c r="AD42" s="72"/>
      <c r="AE42" s="73"/>
      <c r="AF42" s="74" t="s">
        <v>72</v>
      </c>
      <c r="AG42" s="72"/>
      <c r="AH42" s="73"/>
      <c r="AI42" s="71" t="s">
        <v>28</v>
      </c>
      <c r="AJ42" s="72"/>
      <c r="AK42" s="73"/>
      <c r="AL42" s="43"/>
      <c r="AM42" s="43"/>
    </row>
    <row r="43" ht="11.25" customHeight="1">
      <c r="A43" s="40"/>
      <c r="B43" s="75" t="s">
        <v>73</v>
      </c>
      <c r="C43" s="17"/>
      <c r="D43" s="17"/>
      <c r="E43" s="17"/>
      <c r="F43" s="17"/>
      <c r="G43" s="53"/>
      <c r="H43" s="55" t="s">
        <v>74</v>
      </c>
      <c r="I43" s="17"/>
      <c r="J43" s="53"/>
      <c r="K43" s="55" t="s">
        <v>75</v>
      </c>
      <c r="L43" s="17"/>
      <c r="M43" s="53"/>
      <c r="N43" s="55" t="s">
        <v>76</v>
      </c>
      <c r="O43" s="17"/>
      <c r="P43" s="53"/>
      <c r="Q43" s="55" t="s">
        <v>77</v>
      </c>
      <c r="R43" s="17"/>
      <c r="S43" s="53"/>
      <c r="T43" s="55" t="s">
        <v>78</v>
      </c>
      <c r="U43" s="17"/>
      <c r="V43" s="53"/>
      <c r="W43" s="55" t="s">
        <v>79</v>
      </c>
      <c r="X43" s="53"/>
      <c r="Y43" s="43"/>
      <c r="Z43" s="76"/>
      <c r="AA43" s="76"/>
      <c r="AB43" s="77"/>
      <c r="AC43" s="78"/>
      <c r="AD43" s="79"/>
      <c r="AE43" s="80"/>
      <c r="AF43" s="78"/>
      <c r="AG43" s="79"/>
      <c r="AH43" s="80"/>
      <c r="AI43" s="78"/>
      <c r="AJ43" s="79"/>
      <c r="AK43" s="80"/>
      <c r="AL43" s="43"/>
      <c r="AM43" s="43"/>
    </row>
    <row r="44" ht="11.25" customHeight="1">
      <c r="A44" s="40"/>
      <c r="B44" s="55" t="s">
        <v>80</v>
      </c>
      <c r="C44" s="17"/>
      <c r="D44" s="17"/>
      <c r="E44" s="17"/>
      <c r="F44" s="17"/>
      <c r="G44" s="53"/>
      <c r="H44" s="55">
        <v>52.0</v>
      </c>
      <c r="I44" s="17"/>
      <c r="J44" s="53"/>
      <c r="K44" s="55">
        <v>48.0</v>
      </c>
      <c r="L44" s="17"/>
      <c r="M44" s="53"/>
      <c r="N44" s="55">
        <v>56.0</v>
      </c>
      <c r="O44" s="17"/>
      <c r="P44" s="53"/>
      <c r="Q44" s="55" t="s">
        <v>81</v>
      </c>
      <c r="R44" s="17"/>
      <c r="S44" s="53"/>
      <c r="T44" s="55" t="s">
        <v>81</v>
      </c>
      <c r="U44" s="17"/>
      <c r="V44" s="53"/>
      <c r="W44" s="55" t="s">
        <v>82</v>
      </c>
      <c r="X44" s="53"/>
      <c r="Y44" s="43"/>
      <c r="Z44" s="81" t="s">
        <v>83</v>
      </c>
      <c r="AA44" s="17"/>
      <c r="AB44" s="53"/>
      <c r="AC44" s="82">
        <f t="shared" ref="AC44:AC49" si="1">IF(OR(H44="",K44="",N44=""),"N/A",(MAX(H44,K44,N44)/MIN(H44,K44,N44)-1))</f>
        <v>0.1666666667</v>
      </c>
      <c r="AD44" s="17"/>
      <c r="AE44" s="53"/>
      <c r="AF44" s="81" t="s">
        <v>84</v>
      </c>
      <c r="AG44" s="17"/>
      <c r="AH44" s="53"/>
      <c r="AI44" s="75" t="str">
        <f t="shared" ref="AI44:AI49" si="2">IF(AF44="N/A","N/A",IF(ISNUMBER(AC44)=FALSE,"-",IF(AC44&gt;0.5,"FAIL","PASS")))</f>
        <v>PASS</v>
      </c>
      <c r="AJ44" s="17"/>
      <c r="AK44" s="53"/>
      <c r="AL44" s="43"/>
      <c r="AM44" s="43"/>
    </row>
    <row r="45" ht="11.25" customHeight="1">
      <c r="A45" s="40"/>
      <c r="B45" s="55" t="s">
        <v>85</v>
      </c>
      <c r="C45" s="17"/>
      <c r="D45" s="17"/>
      <c r="E45" s="17"/>
      <c r="F45" s="17"/>
      <c r="G45" s="53"/>
      <c r="H45" s="55"/>
      <c r="I45" s="17"/>
      <c r="J45" s="53"/>
      <c r="K45" s="55"/>
      <c r="L45" s="17"/>
      <c r="M45" s="53"/>
      <c r="N45" s="55"/>
      <c r="O45" s="17"/>
      <c r="P45" s="53"/>
      <c r="Q45" s="55" t="s">
        <v>81</v>
      </c>
      <c r="R45" s="17"/>
      <c r="S45" s="53"/>
      <c r="T45" s="55" t="s">
        <v>81</v>
      </c>
      <c r="U45" s="17"/>
      <c r="V45" s="53"/>
      <c r="W45" s="55"/>
      <c r="X45" s="53"/>
      <c r="Y45" s="43"/>
      <c r="Z45" s="81" t="s">
        <v>83</v>
      </c>
      <c r="AA45" s="17"/>
      <c r="AB45" s="53"/>
      <c r="AC45" s="82" t="str">
        <f t="shared" si="1"/>
        <v>N/A</v>
      </c>
      <c r="AD45" s="17"/>
      <c r="AE45" s="53"/>
      <c r="AF45" s="81" t="s">
        <v>81</v>
      </c>
      <c r="AG45" s="17"/>
      <c r="AH45" s="53"/>
      <c r="AI45" s="75" t="str">
        <f t="shared" si="2"/>
        <v>N/A</v>
      </c>
      <c r="AJ45" s="17"/>
      <c r="AK45" s="53"/>
      <c r="AL45" s="43"/>
      <c r="AM45" s="43"/>
    </row>
    <row r="46" ht="11.25" customHeight="1">
      <c r="A46" s="40"/>
      <c r="B46" s="55" t="s">
        <v>86</v>
      </c>
      <c r="C46" s="17"/>
      <c r="D46" s="17"/>
      <c r="E46" s="17"/>
      <c r="F46" s="17"/>
      <c r="G46" s="53"/>
      <c r="H46" s="55"/>
      <c r="I46" s="17"/>
      <c r="J46" s="53"/>
      <c r="K46" s="55"/>
      <c r="L46" s="17"/>
      <c r="M46" s="53"/>
      <c r="N46" s="55"/>
      <c r="O46" s="17"/>
      <c r="P46" s="53"/>
      <c r="Q46" s="55"/>
      <c r="R46" s="17"/>
      <c r="S46" s="53"/>
      <c r="T46" s="55"/>
      <c r="U46" s="17"/>
      <c r="V46" s="53"/>
      <c r="W46" s="55"/>
      <c r="X46" s="53"/>
      <c r="Y46" s="43"/>
      <c r="Z46" s="81" t="s">
        <v>83</v>
      </c>
      <c r="AA46" s="17"/>
      <c r="AB46" s="53"/>
      <c r="AC46" s="82" t="str">
        <f t="shared" si="1"/>
        <v>N/A</v>
      </c>
      <c r="AD46" s="17"/>
      <c r="AE46" s="53"/>
      <c r="AF46" s="81" t="s">
        <v>81</v>
      </c>
      <c r="AG46" s="17"/>
      <c r="AH46" s="53"/>
      <c r="AI46" s="75" t="str">
        <f t="shared" si="2"/>
        <v>N/A</v>
      </c>
      <c r="AJ46" s="17"/>
      <c r="AK46" s="53"/>
      <c r="AL46" s="43"/>
      <c r="AM46" s="43"/>
    </row>
    <row r="47" ht="11.25" customHeight="1">
      <c r="A47" s="40"/>
      <c r="B47" s="55" t="s">
        <v>87</v>
      </c>
      <c r="C47" s="17"/>
      <c r="D47" s="17"/>
      <c r="E47" s="17"/>
      <c r="F47" s="17"/>
      <c r="G47" s="53"/>
      <c r="H47" s="55"/>
      <c r="I47" s="17"/>
      <c r="J47" s="53"/>
      <c r="K47" s="55"/>
      <c r="L47" s="17"/>
      <c r="M47" s="53"/>
      <c r="N47" s="55"/>
      <c r="O47" s="17"/>
      <c r="P47" s="53"/>
      <c r="Q47" s="55"/>
      <c r="R47" s="17"/>
      <c r="S47" s="53"/>
      <c r="T47" s="55"/>
      <c r="U47" s="17"/>
      <c r="V47" s="53"/>
      <c r="W47" s="55"/>
      <c r="X47" s="53"/>
      <c r="Y47" s="43"/>
      <c r="Z47" s="81" t="s">
        <v>83</v>
      </c>
      <c r="AA47" s="17"/>
      <c r="AB47" s="53"/>
      <c r="AC47" s="82" t="str">
        <f t="shared" si="1"/>
        <v>N/A</v>
      </c>
      <c r="AD47" s="17"/>
      <c r="AE47" s="53"/>
      <c r="AF47" s="81" t="s">
        <v>81</v>
      </c>
      <c r="AG47" s="17"/>
      <c r="AH47" s="53"/>
      <c r="AI47" s="75" t="str">
        <f t="shared" si="2"/>
        <v>N/A</v>
      </c>
      <c r="AJ47" s="17"/>
      <c r="AK47" s="53"/>
      <c r="AL47" s="43"/>
      <c r="AM47" s="43"/>
    </row>
    <row r="48" ht="11.25" customHeight="1">
      <c r="A48" s="40"/>
      <c r="B48" s="55"/>
      <c r="C48" s="17"/>
      <c r="D48" s="17"/>
      <c r="E48" s="17"/>
      <c r="F48" s="17"/>
      <c r="G48" s="53"/>
      <c r="H48" s="55"/>
      <c r="I48" s="17"/>
      <c r="J48" s="53"/>
      <c r="K48" s="55"/>
      <c r="L48" s="17"/>
      <c r="M48" s="53"/>
      <c r="N48" s="55"/>
      <c r="O48" s="17"/>
      <c r="P48" s="53"/>
      <c r="Q48" s="55"/>
      <c r="R48" s="17"/>
      <c r="S48" s="53"/>
      <c r="T48" s="55"/>
      <c r="U48" s="17"/>
      <c r="V48" s="53"/>
      <c r="W48" s="55"/>
      <c r="X48" s="53"/>
      <c r="Y48" s="43"/>
      <c r="Z48" s="81" t="s">
        <v>83</v>
      </c>
      <c r="AA48" s="17"/>
      <c r="AB48" s="53"/>
      <c r="AC48" s="82" t="str">
        <f t="shared" si="1"/>
        <v>N/A</v>
      </c>
      <c r="AD48" s="17"/>
      <c r="AE48" s="53"/>
      <c r="AF48" s="81" t="s">
        <v>81</v>
      </c>
      <c r="AG48" s="17"/>
      <c r="AH48" s="53"/>
      <c r="AI48" s="75" t="str">
        <f t="shared" si="2"/>
        <v>N/A</v>
      </c>
      <c r="AJ48" s="17"/>
      <c r="AK48" s="53"/>
      <c r="AL48" s="43"/>
      <c r="AM48" s="43"/>
    </row>
    <row r="49" ht="11.25" customHeight="1">
      <c r="A49" s="40"/>
      <c r="B49" s="55"/>
      <c r="C49" s="17"/>
      <c r="D49" s="17"/>
      <c r="E49" s="17"/>
      <c r="F49" s="17"/>
      <c r="G49" s="53"/>
      <c r="H49" s="55"/>
      <c r="I49" s="17"/>
      <c r="J49" s="53"/>
      <c r="K49" s="55"/>
      <c r="L49" s="17"/>
      <c r="M49" s="53"/>
      <c r="N49" s="55"/>
      <c r="O49" s="17"/>
      <c r="P49" s="53"/>
      <c r="Q49" s="55"/>
      <c r="R49" s="17"/>
      <c r="S49" s="53"/>
      <c r="T49" s="55"/>
      <c r="U49" s="17"/>
      <c r="V49" s="53"/>
      <c r="W49" s="55"/>
      <c r="X49" s="53"/>
      <c r="Y49" s="43"/>
      <c r="Z49" s="81" t="s">
        <v>83</v>
      </c>
      <c r="AA49" s="17"/>
      <c r="AB49" s="53"/>
      <c r="AC49" s="82" t="str">
        <f t="shared" si="1"/>
        <v>N/A</v>
      </c>
      <c r="AD49" s="17"/>
      <c r="AE49" s="53"/>
      <c r="AF49" s="81" t="s">
        <v>81</v>
      </c>
      <c r="AG49" s="17"/>
      <c r="AH49" s="53"/>
      <c r="AI49" s="75" t="str">
        <f t="shared" si="2"/>
        <v>N/A</v>
      </c>
      <c r="AJ49" s="17"/>
      <c r="AK49" s="53"/>
      <c r="AL49" s="43"/>
      <c r="AM49" s="43"/>
    </row>
    <row r="50" ht="11.25" customHeight="1">
      <c r="A50" s="4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43"/>
      <c r="Z50" s="60"/>
      <c r="AA50" s="83"/>
      <c r="AB50" s="83"/>
      <c r="AC50" s="84"/>
      <c r="AD50" s="84"/>
      <c r="AE50" s="84"/>
      <c r="AF50" s="85"/>
      <c r="AG50" s="86"/>
      <c r="AH50" s="86"/>
      <c r="AI50" s="86"/>
      <c r="AJ50" s="86"/>
      <c r="AK50" s="86"/>
      <c r="AL50" s="43"/>
      <c r="AM50" s="43"/>
    </row>
    <row r="51" ht="11.25" customHeight="1">
      <c r="A51" s="40"/>
      <c r="B51" s="60"/>
      <c r="C51" s="60"/>
      <c r="D51" s="60"/>
      <c r="E51" s="60"/>
      <c r="F51" s="60"/>
      <c r="G51" s="60"/>
      <c r="H51" s="43"/>
      <c r="I51" s="11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81" t="s">
        <v>88</v>
      </c>
      <c r="AA51" s="17"/>
      <c r="AB51" s="53"/>
      <c r="AC51" s="87" t="str">
        <f t="array" ref="AC51">IF(OR(Q44=0,Q45=0,ISNUMBER(Q44)=FALSE,ISNUMBER(Q45)=FALSE),"N/A",MAX(IF(Q44:S49&gt;0,Q44:S49))/MIN(IF(Q44:S49&gt;0,Q44:S49))-1)</f>
        <v>N/A</v>
      </c>
      <c r="AD51" s="17"/>
      <c r="AE51" s="53"/>
      <c r="AF51" s="81" t="s">
        <v>81</v>
      </c>
      <c r="AG51" s="17"/>
      <c r="AH51" s="53"/>
      <c r="AI51" s="75" t="str">
        <f t="shared" ref="AI51:AI52" si="3">IF(AF51="N/A","N/A",IF(ISNUMBER(AC51)=FALSE,"-",IF(AC51&gt;0.5,"FAIL","PASS")))</f>
        <v>N/A</v>
      </c>
      <c r="AJ51" s="17"/>
      <c r="AK51" s="53"/>
      <c r="AL51" s="43"/>
      <c r="AM51" s="43"/>
    </row>
    <row r="52" ht="11.25" customHeight="1">
      <c r="A52" s="40"/>
      <c r="B52" s="60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81" t="s">
        <v>89</v>
      </c>
      <c r="AA52" s="17"/>
      <c r="AB52" s="53"/>
      <c r="AC52" s="87" t="str">
        <f t="array" ref="AC52">IF(OR(T44=0,T45=0,ISNUMBER(T44)=FALSE,ISNUMBER(T45)=FALSE),"N/A",MAX(IF(T44:V49&gt;0,T44:V49))/MIN(IF(T44:V49&gt;0,T44:V49))-1)</f>
        <v>N/A</v>
      </c>
      <c r="AD52" s="17"/>
      <c r="AE52" s="53"/>
      <c r="AF52" s="81" t="s">
        <v>81</v>
      </c>
      <c r="AG52" s="17"/>
      <c r="AH52" s="53"/>
      <c r="AI52" s="75" t="str">
        <f t="shared" si="3"/>
        <v>N/A</v>
      </c>
      <c r="AJ52" s="17"/>
      <c r="AK52" s="53"/>
      <c r="AL52" s="43"/>
      <c r="AM52" s="43"/>
    </row>
    <row r="53" ht="11.25" customHeight="1">
      <c r="A53" s="40"/>
      <c r="B53" s="60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60"/>
      <c r="X53" s="60"/>
      <c r="Y53" s="40"/>
      <c r="Z53" s="84"/>
      <c r="AA53" s="84"/>
      <c r="AB53" s="84"/>
      <c r="AC53" s="85"/>
      <c r="AD53" s="85"/>
      <c r="AE53" s="85"/>
      <c r="AF53" s="85"/>
      <c r="AG53" s="85"/>
      <c r="AH53" s="85"/>
      <c r="AI53" s="43"/>
      <c r="AJ53" s="43"/>
      <c r="AK53" s="43"/>
      <c r="AL53" s="43"/>
      <c r="AM53" s="43"/>
    </row>
    <row r="54" ht="11.25" customHeight="1">
      <c r="A54" s="40"/>
      <c r="B54" s="60"/>
      <c r="C54" s="60"/>
      <c r="D54" s="60"/>
      <c r="E54" s="60"/>
      <c r="F54" s="60"/>
      <c r="G54" s="60"/>
      <c r="H54" s="60"/>
      <c r="I54" s="60"/>
      <c r="J54" s="43"/>
      <c r="K54" s="43"/>
      <c r="L54" s="43"/>
      <c r="M54" s="43"/>
      <c r="N54" s="43"/>
      <c r="O54" s="43"/>
      <c r="P54" s="43"/>
      <c r="Q54" s="43"/>
      <c r="R54" s="43"/>
      <c r="S54" s="86"/>
      <c r="T54" s="86"/>
      <c r="U54" s="43"/>
      <c r="V54" s="60"/>
      <c r="W54" s="60"/>
      <c r="X54" s="60"/>
      <c r="Y54" s="40"/>
      <c r="Z54" s="84"/>
      <c r="AA54" s="84"/>
      <c r="AB54" s="84"/>
      <c r="AC54" s="85"/>
      <c r="AD54" s="85"/>
      <c r="AE54" s="85"/>
      <c r="AF54" s="85"/>
      <c r="AG54" s="85"/>
      <c r="AH54" s="85"/>
      <c r="AI54" s="43"/>
      <c r="AJ54" s="43"/>
      <c r="AK54" s="43"/>
      <c r="AL54" s="43"/>
      <c r="AM54" s="43"/>
    </row>
    <row r="55" ht="11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</row>
    <row r="56" ht="11.25" customHeight="1">
      <c r="A56" s="88" t="s">
        <v>90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</row>
    <row r="57" ht="11.25" customHeight="1">
      <c r="A57" s="40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89" t="s">
        <v>91</v>
      </c>
      <c r="S57" s="17"/>
      <c r="T57" s="17"/>
      <c r="U57" s="17"/>
      <c r="V57" s="17"/>
      <c r="W57" s="17"/>
      <c r="X57" s="17"/>
      <c r="Y57" s="53"/>
      <c r="Z57" s="81">
        <v>80.0</v>
      </c>
      <c r="AA57" s="17"/>
      <c r="AB57" s="53"/>
      <c r="AC57" s="40"/>
      <c r="AD57" s="90" t="s">
        <v>92</v>
      </c>
      <c r="AE57" s="91"/>
      <c r="AF57" s="91"/>
      <c r="AG57" s="92"/>
      <c r="AH57" s="93" t="s">
        <v>93</v>
      </c>
      <c r="AI57" s="91"/>
      <c r="AJ57" s="94"/>
      <c r="AK57" s="43"/>
      <c r="AL57" s="43"/>
      <c r="AM57" s="43"/>
    </row>
    <row r="58" ht="11.25" customHeight="1">
      <c r="A58" s="40"/>
      <c r="B58" s="43"/>
      <c r="C58" s="43"/>
      <c r="D58" s="43"/>
      <c r="E58" s="43"/>
      <c r="F58" s="43"/>
      <c r="G58" s="43"/>
      <c r="H58" s="95"/>
      <c r="I58" s="95"/>
      <c r="J58" s="95"/>
      <c r="K58" s="95"/>
      <c r="L58" s="95"/>
      <c r="M58" s="95"/>
      <c r="N58" s="95"/>
      <c r="O58" s="95"/>
      <c r="P58" s="83"/>
      <c r="Q58" s="83"/>
      <c r="R58" s="89" t="s">
        <v>94</v>
      </c>
      <c r="S58" s="17"/>
      <c r="T58" s="17"/>
      <c r="U58" s="17"/>
      <c r="V58" s="17"/>
      <c r="W58" s="17"/>
      <c r="X58" s="17"/>
      <c r="Y58" s="53"/>
      <c r="Z58" s="96">
        <f>ROUND(0.1758*EXP(0.0256*Z57),3)</f>
        <v>1.363</v>
      </c>
      <c r="AA58" s="17"/>
      <c r="AB58" s="53"/>
      <c r="AC58" s="11"/>
      <c r="AD58" s="97" t="s">
        <v>95</v>
      </c>
      <c r="AE58" s="17"/>
      <c r="AF58" s="17"/>
      <c r="AG58" s="18"/>
      <c r="AH58" s="16" t="s">
        <v>96</v>
      </c>
      <c r="AI58" s="17"/>
      <c r="AJ58" s="53"/>
      <c r="AK58" s="43"/>
      <c r="AL58" s="43"/>
      <c r="AM58" s="43"/>
    </row>
    <row r="59" ht="11.25" customHeight="1">
      <c r="A59" s="40"/>
      <c r="B59" s="37" t="s">
        <v>97</v>
      </c>
      <c r="C59" s="43"/>
      <c r="D59" s="43"/>
      <c r="E59" s="43"/>
      <c r="F59" s="43"/>
      <c r="G59" s="43"/>
      <c r="H59" s="43"/>
      <c r="I59" s="98"/>
      <c r="J59" s="98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11"/>
      <c r="AJ59" s="11"/>
      <c r="AK59" s="11"/>
      <c r="AL59" s="11"/>
      <c r="AM59" s="43"/>
    </row>
    <row r="60" ht="11.25" customHeight="1">
      <c r="A60" s="40"/>
      <c r="B60" s="75" t="s">
        <v>73</v>
      </c>
      <c r="C60" s="17"/>
      <c r="D60" s="17"/>
      <c r="E60" s="17"/>
      <c r="F60" s="17"/>
      <c r="G60" s="18"/>
      <c r="H60" s="55" t="s">
        <v>98</v>
      </c>
      <c r="I60" s="17"/>
      <c r="J60" s="53"/>
      <c r="K60" s="7" t="s">
        <v>99</v>
      </c>
      <c r="L60" s="8"/>
      <c r="M60" s="100"/>
      <c r="N60" s="101" t="s">
        <v>100</v>
      </c>
      <c r="O60" s="8"/>
      <c r="P60" s="100"/>
      <c r="Q60" s="101" t="s">
        <v>101</v>
      </c>
      <c r="R60" s="8"/>
      <c r="S60" s="100"/>
      <c r="T60" s="101" t="s">
        <v>102</v>
      </c>
      <c r="U60" s="8"/>
      <c r="V60" s="100"/>
      <c r="W60" s="101" t="s">
        <v>103</v>
      </c>
      <c r="X60" s="8"/>
      <c r="Y60" s="100"/>
      <c r="Z60" s="101" t="s">
        <v>104</v>
      </c>
      <c r="AA60" s="8"/>
      <c r="AB60" s="100"/>
      <c r="AC60" s="101" t="s">
        <v>105</v>
      </c>
      <c r="AD60" s="8"/>
      <c r="AE60" s="100"/>
      <c r="AF60" s="101" t="s">
        <v>106</v>
      </c>
      <c r="AG60" s="8"/>
      <c r="AH60" s="9"/>
      <c r="AI60" s="55" t="s">
        <v>79</v>
      </c>
      <c r="AJ60" s="53"/>
      <c r="AK60" s="11"/>
      <c r="AL60" s="43"/>
      <c r="AM60" s="86"/>
    </row>
    <row r="61" ht="11.25" customHeight="1">
      <c r="A61" s="40"/>
      <c r="B61" s="55" t="s">
        <v>107</v>
      </c>
      <c r="C61" s="17"/>
      <c r="D61" s="17"/>
      <c r="E61" s="17"/>
      <c r="F61" s="17"/>
      <c r="G61" s="53"/>
      <c r="H61" s="102" t="s">
        <v>108</v>
      </c>
      <c r="I61" s="103">
        <v>2200.0</v>
      </c>
      <c r="J61" s="80"/>
      <c r="K61" s="104" t="s">
        <v>108</v>
      </c>
      <c r="L61" s="105">
        <v>2300.0</v>
      </c>
      <c r="M61" s="53"/>
      <c r="N61" s="104" t="s">
        <v>108</v>
      </c>
      <c r="O61" s="105">
        <v>2400.0</v>
      </c>
      <c r="P61" s="53"/>
      <c r="Q61" s="104" t="s">
        <v>108</v>
      </c>
      <c r="R61" s="105">
        <v>2500.0</v>
      </c>
      <c r="S61" s="53"/>
      <c r="T61" s="104" t="s">
        <v>108</v>
      </c>
      <c r="U61" s="105">
        <v>2600.0</v>
      </c>
      <c r="V61" s="53"/>
      <c r="W61" s="104" t="s">
        <v>108</v>
      </c>
      <c r="X61" s="105">
        <v>2700.0</v>
      </c>
      <c r="Y61" s="53"/>
      <c r="Z61" s="104" t="s">
        <v>108</v>
      </c>
      <c r="AA61" s="105">
        <v>2800.0</v>
      </c>
      <c r="AB61" s="53"/>
      <c r="AC61" s="104" t="s">
        <v>108</v>
      </c>
      <c r="AD61" s="105">
        <v>2900.0</v>
      </c>
      <c r="AE61" s="53"/>
      <c r="AF61" s="104" t="s">
        <v>108</v>
      </c>
      <c r="AG61" s="105">
        <v>3000.0</v>
      </c>
      <c r="AH61" s="53"/>
      <c r="AI61" s="55" t="s">
        <v>109</v>
      </c>
      <c r="AJ61" s="53"/>
      <c r="AK61" s="11"/>
      <c r="AL61" s="11"/>
      <c r="AM61" s="86"/>
    </row>
    <row r="62" ht="11.25" customHeight="1">
      <c r="A62" s="40"/>
      <c r="B62" s="55" t="s">
        <v>110</v>
      </c>
      <c r="C62" s="17"/>
      <c r="D62" s="17"/>
      <c r="E62" s="17"/>
      <c r="F62" s="17"/>
      <c r="G62" s="53"/>
      <c r="H62" s="104"/>
      <c r="I62" s="105"/>
      <c r="J62" s="53"/>
      <c r="K62" s="104"/>
      <c r="L62" s="105"/>
      <c r="M62" s="53"/>
      <c r="N62" s="104"/>
      <c r="O62" s="105"/>
      <c r="P62" s="53"/>
      <c r="Q62" s="104"/>
      <c r="R62" s="105"/>
      <c r="S62" s="53"/>
      <c r="T62" s="104"/>
      <c r="U62" s="105"/>
      <c r="V62" s="53"/>
      <c r="W62" s="104"/>
      <c r="X62" s="105"/>
      <c r="Y62" s="53"/>
      <c r="Z62" s="104"/>
      <c r="AA62" s="105"/>
      <c r="AB62" s="53"/>
      <c r="AC62" s="104"/>
      <c r="AD62" s="105"/>
      <c r="AE62" s="53"/>
      <c r="AF62" s="104"/>
      <c r="AG62" s="105"/>
      <c r="AH62" s="53"/>
      <c r="AI62" s="55" t="s">
        <v>109</v>
      </c>
      <c r="AJ62" s="53"/>
      <c r="AK62" s="11"/>
      <c r="AL62" s="11"/>
      <c r="AM62" s="86"/>
    </row>
    <row r="63" ht="11.25" customHeight="1">
      <c r="A63" s="40"/>
      <c r="B63" s="55" t="s">
        <v>111</v>
      </c>
      <c r="C63" s="17"/>
      <c r="D63" s="17"/>
      <c r="E63" s="17"/>
      <c r="F63" s="17"/>
      <c r="G63" s="53"/>
      <c r="H63" s="104"/>
      <c r="I63" s="105"/>
      <c r="J63" s="53"/>
      <c r="K63" s="104"/>
      <c r="L63" s="105"/>
      <c r="M63" s="53"/>
      <c r="N63" s="104"/>
      <c r="O63" s="105"/>
      <c r="P63" s="53"/>
      <c r="Q63" s="104"/>
      <c r="R63" s="105"/>
      <c r="S63" s="53"/>
      <c r="T63" s="104"/>
      <c r="U63" s="105"/>
      <c r="V63" s="53"/>
      <c r="W63" s="104"/>
      <c r="X63" s="105"/>
      <c r="Y63" s="53"/>
      <c r="Z63" s="104"/>
      <c r="AA63" s="105"/>
      <c r="AB63" s="53"/>
      <c r="AC63" s="104"/>
      <c r="AD63" s="105"/>
      <c r="AE63" s="53"/>
      <c r="AF63" s="104"/>
      <c r="AG63" s="105"/>
      <c r="AH63" s="53"/>
      <c r="AI63" s="55" t="s">
        <v>109</v>
      </c>
      <c r="AJ63" s="53"/>
      <c r="AK63" s="11"/>
      <c r="AL63" s="11"/>
      <c r="AM63" s="86"/>
    </row>
    <row r="64" ht="11.25" customHeight="1">
      <c r="A64" s="40"/>
      <c r="B64" s="55" t="s">
        <v>112</v>
      </c>
      <c r="C64" s="17"/>
      <c r="D64" s="17"/>
      <c r="E64" s="17"/>
      <c r="F64" s="17"/>
      <c r="G64" s="53"/>
      <c r="H64" s="104"/>
      <c r="I64" s="105"/>
      <c r="J64" s="53"/>
      <c r="K64" s="104"/>
      <c r="L64" s="105"/>
      <c r="M64" s="53"/>
      <c r="N64" s="104"/>
      <c r="O64" s="105"/>
      <c r="P64" s="53"/>
      <c r="Q64" s="104"/>
      <c r="R64" s="105"/>
      <c r="S64" s="53"/>
      <c r="T64" s="104"/>
      <c r="U64" s="105"/>
      <c r="V64" s="53"/>
      <c r="W64" s="104"/>
      <c r="X64" s="105"/>
      <c r="Y64" s="53"/>
      <c r="Z64" s="104"/>
      <c r="AA64" s="105"/>
      <c r="AB64" s="53"/>
      <c r="AC64" s="104"/>
      <c r="AD64" s="105"/>
      <c r="AE64" s="53"/>
      <c r="AF64" s="104"/>
      <c r="AG64" s="105"/>
      <c r="AH64" s="53"/>
      <c r="AI64" s="55" t="s">
        <v>109</v>
      </c>
      <c r="AJ64" s="53"/>
      <c r="AK64" s="11"/>
      <c r="AL64" s="11"/>
      <c r="AM64" s="86"/>
    </row>
    <row r="65" ht="11.25" customHeight="1">
      <c r="A65" s="40"/>
      <c r="B65" s="55" t="s">
        <v>113</v>
      </c>
      <c r="C65" s="17"/>
      <c r="D65" s="17"/>
      <c r="E65" s="17"/>
      <c r="F65" s="17"/>
      <c r="G65" s="53"/>
      <c r="H65" s="104"/>
      <c r="I65" s="105"/>
      <c r="J65" s="53"/>
      <c r="K65" s="104"/>
      <c r="L65" s="105"/>
      <c r="M65" s="53"/>
      <c r="N65" s="104"/>
      <c r="O65" s="105"/>
      <c r="P65" s="53"/>
      <c r="Q65" s="104"/>
      <c r="R65" s="105"/>
      <c r="S65" s="53"/>
      <c r="T65" s="104"/>
      <c r="U65" s="105"/>
      <c r="V65" s="53"/>
      <c r="W65" s="104"/>
      <c r="X65" s="105"/>
      <c r="Y65" s="53"/>
      <c r="Z65" s="104"/>
      <c r="AA65" s="105"/>
      <c r="AB65" s="53"/>
      <c r="AC65" s="104"/>
      <c r="AD65" s="105"/>
      <c r="AE65" s="53"/>
      <c r="AF65" s="104"/>
      <c r="AG65" s="105"/>
      <c r="AH65" s="53"/>
      <c r="AI65" s="55" t="s">
        <v>109</v>
      </c>
      <c r="AJ65" s="53"/>
      <c r="AK65" s="11"/>
      <c r="AL65" s="11"/>
      <c r="AM65" s="86"/>
    </row>
    <row r="66" ht="11.25" customHeight="1">
      <c r="A66" s="40"/>
      <c r="B66" s="55"/>
      <c r="C66" s="17"/>
      <c r="D66" s="17"/>
      <c r="E66" s="17"/>
      <c r="F66" s="17"/>
      <c r="G66" s="53"/>
      <c r="H66" s="104"/>
      <c r="I66" s="105"/>
      <c r="J66" s="53"/>
      <c r="K66" s="104"/>
      <c r="L66" s="105"/>
      <c r="M66" s="53"/>
      <c r="N66" s="104"/>
      <c r="O66" s="105"/>
      <c r="P66" s="53"/>
      <c r="Q66" s="104"/>
      <c r="R66" s="105"/>
      <c r="S66" s="53"/>
      <c r="T66" s="104"/>
      <c r="U66" s="105"/>
      <c r="V66" s="53"/>
      <c r="W66" s="104"/>
      <c r="X66" s="105"/>
      <c r="Y66" s="53"/>
      <c r="Z66" s="104"/>
      <c r="AA66" s="105"/>
      <c r="AB66" s="53"/>
      <c r="AC66" s="104"/>
      <c r="AD66" s="105"/>
      <c r="AE66" s="53"/>
      <c r="AF66" s="104"/>
      <c r="AG66" s="105"/>
      <c r="AH66" s="53"/>
      <c r="AI66" s="55"/>
      <c r="AJ66" s="53"/>
      <c r="AK66" s="11"/>
      <c r="AL66" s="11"/>
      <c r="AM66" s="86"/>
    </row>
    <row r="67" ht="11.25" customHeight="1">
      <c r="A67" s="50"/>
      <c r="B67" s="106"/>
      <c r="C67" s="106"/>
      <c r="D67" s="106"/>
      <c r="E67" s="106"/>
      <c r="F67" s="106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11"/>
      <c r="AL67" s="11"/>
      <c r="AM67" s="86"/>
    </row>
    <row r="68" ht="11.25" customHeight="1">
      <c r="A68" s="40"/>
      <c r="B68" s="37" t="s">
        <v>114</v>
      </c>
      <c r="C68" s="11"/>
      <c r="D68" s="11"/>
      <c r="E68" s="11"/>
      <c r="F68" s="11"/>
      <c r="G68" s="10"/>
      <c r="H68" s="43"/>
      <c r="I68" s="98"/>
      <c r="J68" s="98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11"/>
      <c r="AJ68" s="11"/>
      <c r="AK68" s="11"/>
      <c r="AL68" s="11"/>
      <c r="AM68" s="86"/>
    </row>
    <row r="69" ht="11.25" customHeight="1">
      <c r="A69" s="40"/>
      <c r="B69" s="75" t="s">
        <v>73</v>
      </c>
      <c r="C69" s="17"/>
      <c r="D69" s="17"/>
      <c r="E69" s="17"/>
      <c r="F69" s="17"/>
      <c r="G69" s="18"/>
      <c r="H69" s="55" t="s">
        <v>98</v>
      </c>
      <c r="I69" s="17"/>
      <c r="J69" s="53"/>
      <c r="K69" s="7" t="s">
        <v>99</v>
      </c>
      <c r="L69" s="8"/>
      <c r="M69" s="100"/>
      <c r="N69" s="101" t="s">
        <v>100</v>
      </c>
      <c r="O69" s="8"/>
      <c r="P69" s="100"/>
      <c r="Q69" s="101" t="s">
        <v>101</v>
      </c>
      <c r="R69" s="8"/>
      <c r="S69" s="100"/>
      <c r="T69" s="101" t="s">
        <v>102</v>
      </c>
      <c r="U69" s="8"/>
      <c r="V69" s="100"/>
      <c r="W69" s="101" t="s">
        <v>103</v>
      </c>
      <c r="X69" s="8"/>
      <c r="Y69" s="100"/>
      <c r="Z69" s="101" t="s">
        <v>104</v>
      </c>
      <c r="AA69" s="8"/>
      <c r="AB69" s="100"/>
      <c r="AC69" s="101" t="s">
        <v>105</v>
      </c>
      <c r="AD69" s="8"/>
      <c r="AE69" s="100"/>
      <c r="AF69" s="101" t="s">
        <v>106</v>
      </c>
      <c r="AG69" s="8"/>
      <c r="AH69" s="9"/>
      <c r="AI69" s="55" t="s">
        <v>79</v>
      </c>
      <c r="AJ69" s="53"/>
      <c r="AK69" s="11"/>
      <c r="AL69" s="11"/>
      <c r="AM69" s="86"/>
    </row>
    <row r="70" ht="11.25" customHeight="1">
      <c r="A70" s="40"/>
      <c r="B70" s="55" t="str">
        <f t="shared" ref="B70:B75" si="4">IF(B61="","",IF(ISNUMBER(B61)=FALSE,B61,ROUND(B61*#REF!,0)))</f>
        <v>Section 1</v>
      </c>
      <c r="C70" s="17"/>
      <c r="D70" s="17"/>
      <c r="E70" s="17"/>
      <c r="F70" s="17"/>
      <c r="G70" s="53"/>
      <c r="H70" s="102" t="str">
        <f t="shared" ref="H70:H75" si="5">IF(H61="","",IF(ISNUMBER(H61)=FALSE,H61,ROUND(H61*#REF!,0)))</f>
        <v>&gt;</v>
      </c>
      <c r="I70" s="103">
        <f t="shared" ref="I70:I75" si="6">IF(I61="","",IF(ISNUMBER(I61)=FALSE,I61,ROUND(I61*$Z$58,2)))</f>
        <v>2998.6</v>
      </c>
      <c r="J70" s="80"/>
      <c r="K70" s="104" t="str">
        <f t="shared" ref="K70:K75" si="7">IF(K61="","",IF(ISNUMBER(K61)=FALSE,K61,ROUND(K61*#REF!,0)))</f>
        <v>&gt;</v>
      </c>
      <c r="L70" s="103">
        <f t="shared" ref="L70:L75" si="8">IF(L61="","",IF(ISNUMBER(L61)=FALSE,L61,ROUND(L61*$Z$58,2)))</f>
        <v>3134.9</v>
      </c>
      <c r="M70" s="80"/>
      <c r="N70" s="104" t="str">
        <f t="shared" ref="N70:N75" si="9">IF(N61="","",IF(ISNUMBER(N61)=FALSE,N61,ROUND(N61*#REF!,0)))</f>
        <v>&gt;</v>
      </c>
      <c r="O70" s="103">
        <f t="shared" ref="O70:O75" si="10">IF(O61="","",IF(ISNUMBER(O61)=FALSE,O61,ROUND(O61*$Z$58,2)))</f>
        <v>3271.2</v>
      </c>
      <c r="P70" s="80"/>
      <c r="Q70" s="104" t="str">
        <f t="shared" ref="Q70:Q75" si="11">IF(Q61="","",IF(ISNUMBER(Q61)=FALSE,Q61,ROUND(Q61*#REF!,0)))</f>
        <v>&gt;</v>
      </c>
      <c r="R70" s="103">
        <f t="shared" ref="R70:R75" si="12">IF(R61="","",IF(ISNUMBER(R61)=FALSE,R61,ROUND(R61*$Z$58,2)))</f>
        <v>3407.5</v>
      </c>
      <c r="S70" s="80"/>
      <c r="T70" s="104" t="str">
        <f t="shared" ref="T70:T75" si="13">IF(T61="","",IF(ISNUMBER(T61)=FALSE,T61,ROUND(T61*#REF!,0)))</f>
        <v>&gt;</v>
      </c>
      <c r="U70" s="103">
        <f t="shared" ref="U70:U75" si="14">IF(U61="","",IF(ISNUMBER(U61)=FALSE,U61,ROUND(U61*$Z$58,2)))</f>
        <v>3543.8</v>
      </c>
      <c r="V70" s="80"/>
      <c r="W70" s="104" t="str">
        <f t="shared" ref="W70:W75" si="15">IF(W61="","",IF(ISNUMBER(W61)=FALSE,W61,ROUND(W61*#REF!,0)))</f>
        <v>&gt;</v>
      </c>
      <c r="X70" s="103">
        <f t="shared" ref="X70:X75" si="16">IF(X61="","",IF(ISNUMBER(X61)=FALSE,X61,ROUND(X61*$Z$58,2)))</f>
        <v>3680.1</v>
      </c>
      <c r="Y70" s="80"/>
      <c r="Z70" s="104" t="str">
        <f t="shared" ref="Z70:Z75" si="17">IF(Z61="","",IF(ISNUMBER(Z61)=FALSE,Z61,ROUND(Z61*#REF!,0)))</f>
        <v>&gt;</v>
      </c>
      <c r="AA70" s="103">
        <f t="shared" ref="AA70:AA75" si="18">IF(AA61="","",IF(ISNUMBER(AA61)=FALSE,AA61,ROUND(AA61*$Z$58,2)))</f>
        <v>3816.4</v>
      </c>
      <c r="AB70" s="80"/>
      <c r="AC70" s="104" t="str">
        <f t="shared" ref="AC70:AC75" si="19">IF(AC61="","",IF(ISNUMBER(AC61)=FALSE,AC61,ROUND(AC61*#REF!,0)))</f>
        <v>&gt;</v>
      </c>
      <c r="AD70" s="103">
        <f t="shared" ref="AD70:AD75" si="20">IF(AD61="","",IF(ISNUMBER(AD61)=FALSE,AD61,ROUND(AD61*$Z$58,2)))</f>
        <v>3952.7</v>
      </c>
      <c r="AE70" s="80"/>
      <c r="AF70" s="104" t="str">
        <f t="shared" ref="AF70:AF75" si="21">IF(AF61="","",IF(ISNUMBER(AF61)=FALSE,AF61,ROUND(AF61*#REF!,0)))</f>
        <v>&gt;</v>
      </c>
      <c r="AG70" s="103">
        <f t="shared" ref="AG70:AG75" si="22">IF(AG61="","",IF(ISNUMBER(AG61)=FALSE,AG61,ROUND(AG61*$Z$58,2)))</f>
        <v>4089</v>
      </c>
      <c r="AH70" s="80"/>
      <c r="AI70" s="55" t="str">
        <f t="shared" ref="AI70:AI73" si="23">IF(AI61="","",IF(OR(COUNTIF(AI61,"*&gt;*"),COUNTIF(AI61,"*&lt;*"),ISNUMBER(AI61)=FALSE),AI61,AI61*#REF!))</f>
        <v>MΩ</v>
      </c>
      <c r="AJ70" s="53"/>
      <c r="AK70" s="11"/>
      <c r="AL70" s="11"/>
      <c r="AM70" s="86"/>
    </row>
    <row r="71" ht="11.25" customHeight="1">
      <c r="A71" s="40"/>
      <c r="B71" s="55" t="str">
        <f t="shared" si="4"/>
        <v>Section 2</v>
      </c>
      <c r="C71" s="17"/>
      <c r="D71" s="17"/>
      <c r="E71" s="17"/>
      <c r="F71" s="17"/>
      <c r="G71" s="53"/>
      <c r="H71" s="104" t="str">
        <f t="shared" si="5"/>
        <v/>
      </c>
      <c r="I71" s="103" t="str">
        <f t="shared" si="6"/>
        <v/>
      </c>
      <c r="J71" s="80"/>
      <c r="K71" s="104" t="str">
        <f t="shared" si="7"/>
        <v/>
      </c>
      <c r="L71" s="103" t="str">
        <f t="shared" si="8"/>
        <v/>
      </c>
      <c r="M71" s="80"/>
      <c r="N71" s="104" t="str">
        <f t="shared" si="9"/>
        <v/>
      </c>
      <c r="O71" s="103" t="str">
        <f t="shared" si="10"/>
        <v/>
      </c>
      <c r="P71" s="80"/>
      <c r="Q71" s="104" t="str">
        <f t="shared" si="11"/>
        <v/>
      </c>
      <c r="R71" s="103" t="str">
        <f t="shared" si="12"/>
        <v/>
      </c>
      <c r="S71" s="80"/>
      <c r="T71" s="104" t="str">
        <f t="shared" si="13"/>
        <v/>
      </c>
      <c r="U71" s="103" t="str">
        <f t="shared" si="14"/>
        <v/>
      </c>
      <c r="V71" s="80"/>
      <c r="W71" s="104" t="str">
        <f t="shared" si="15"/>
        <v/>
      </c>
      <c r="X71" s="103" t="str">
        <f t="shared" si="16"/>
        <v/>
      </c>
      <c r="Y71" s="80"/>
      <c r="Z71" s="104" t="str">
        <f t="shared" si="17"/>
        <v/>
      </c>
      <c r="AA71" s="103" t="str">
        <f t="shared" si="18"/>
        <v/>
      </c>
      <c r="AB71" s="80"/>
      <c r="AC71" s="104" t="str">
        <f t="shared" si="19"/>
        <v/>
      </c>
      <c r="AD71" s="103" t="str">
        <f t="shared" si="20"/>
        <v/>
      </c>
      <c r="AE71" s="80"/>
      <c r="AF71" s="104" t="str">
        <f t="shared" si="21"/>
        <v/>
      </c>
      <c r="AG71" s="103" t="str">
        <f t="shared" si="22"/>
        <v/>
      </c>
      <c r="AH71" s="80"/>
      <c r="AI71" s="55" t="str">
        <f t="shared" si="23"/>
        <v>MΩ</v>
      </c>
      <c r="AJ71" s="53"/>
      <c r="AK71" s="11"/>
      <c r="AL71" s="11"/>
      <c r="AM71" s="86"/>
    </row>
    <row r="72" ht="11.25" customHeight="1">
      <c r="A72" s="40"/>
      <c r="B72" s="55" t="str">
        <f t="shared" si="4"/>
        <v>Section 3</v>
      </c>
      <c r="C72" s="17"/>
      <c r="D72" s="17"/>
      <c r="E72" s="17"/>
      <c r="F72" s="17"/>
      <c r="G72" s="53"/>
      <c r="H72" s="104" t="str">
        <f t="shared" si="5"/>
        <v/>
      </c>
      <c r="I72" s="103" t="str">
        <f t="shared" si="6"/>
        <v/>
      </c>
      <c r="J72" s="80"/>
      <c r="K72" s="104" t="str">
        <f t="shared" si="7"/>
        <v/>
      </c>
      <c r="L72" s="103" t="str">
        <f t="shared" si="8"/>
        <v/>
      </c>
      <c r="M72" s="80"/>
      <c r="N72" s="104" t="str">
        <f t="shared" si="9"/>
        <v/>
      </c>
      <c r="O72" s="103" t="str">
        <f t="shared" si="10"/>
        <v/>
      </c>
      <c r="P72" s="80"/>
      <c r="Q72" s="104" t="str">
        <f t="shared" si="11"/>
        <v/>
      </c>
      <c r="R72" s="103" t="str">
        <f t="shared" si="12"/>
        <v/>
      </c>
      <c r="S72" s="80"/>
      <c r="T72" s="104" t="str">
        <f t="shared" si="13"/>
        <v/>
      </c>
      <c r="U72" s="103" t="str">
        <f t="shared" si="14"/>
        <v/>
      </c>
      <c r="V72" s="80"/>
      <c r="W72" s="104" t="str">
        <f t="shared" si="15"/>
        <v/>
      </c>
      <c r="X72" s="103" t="str">
        <f t="shared" si="16"/>
        <v/>
      </c>
      <c r="Y72" s="80"/>
      <c r="Z72" s="104" t="str">
        <f t="shared" si="17"/>
        <v/>
      </c>
      <c r="AA72" s="103" t="str">
        <f t="shared" si="18"/>
        <v/>
      </c>
      <c r="AB72" s="80"/>
      <c r="AC72" s="104" t="str">
        <f t="shared" si="19"/>
        <v/>
      </c>
      <c r="AD72" s="103" t="str">
        <f t="shared" si="20"/>
        <v/>
      </c>
      <c r="AE72" s="80"/>
      <c r="AF72" s="104" t="str">
        <f t="shared" si="21"/>
        <v/>
      </c>
      <c r="AG72" s="103" t="str">
        <f t="shared" si="22"/>
        <v/>
      </c>
      <c r="AH72" s="80"/>
      <c r="AI72" s="55" t="str">
        <f t="shared" si="23"/>
        <v>MΩ</v>
      </c>
      <c r="AJ72" s="53"/>
      <c r="AK72" s="11"/>
      <c r="AL72" s="11"/>
      <c r="AM72" s="86"/>
    </row>
    <row r="73" ht="11.25" customHeight="1">
      <c r="A73" s="40"/>
      <c r="B73" s="55" t="str">
        <f t="shared" si="4"/>
        <v>Section 4</v>
      </c>
      <c r="C73" s="17"/>
      <c r="D73" s="17"/>
      <c r="E73" s="17"/>
      <c r="F73" s="17"/>
      <c r="G73" s="53"/>
      <c r="H73" s="104" t="str">
        <f t="shared" si="5"/>
        <v/>
      </c>
      <c r="I73" s="103" t="str">
        <f t="shared" si="6"/>
        <v/>
      </c>
      <c r="J73" s="80"/>
      <c r="K73" s="104" t="str">
        <f t="shared" si="7"/>
        <v/>
      </c>
      <c r="L73" s="103" t="str">
        <f t="shared" si="8"/>
        <v/>
      </c>
      <c r="M73" s="80"/>
      <c r="N73" s="104" t="str">
        <f t="shared" si="9"/>
        <v/>
      </c>
      <c r="O73" s="103" t="str">
        <f t="shared" si="10"/>
        <v/>
      </c>
      <c r="P73" s="80"/>
      <c r="Q73" s="104" t="str">
        <f t="shared" si="11"/>
        <v/>
      </c>
      <c r="R73" s="103" t="str">
        <f t="shared" si="12"/>
        <v/>
      </c>
      <c r="S73" s="80"/>
      <c r="T73" s="104" t="str">
        <f t="shared" si="13"/>
        <v/>
      </c>
      <c r="U73" s="103" t="str">
        <f t="shared" si="14"/>
        <v/>
      </c>
      <c r="V73" s="80"/>
      <c r="W73" s="104" t="str">
        <f t="shared" si="15"/>
        <v/>
      </c>
      <c r="X73" s="103" t="str">
        <f t="shared" si="16"/>
        <v/>
      </c>
      <c r="Y73" s="80"/>
      <c r="Z73" s="104" t="str">
        <f t="shared" si="17"/>
        <v/>
      </c>
      <c r="AA73" s="103" t="str">
        <f t="shared" si="18"/>
        <v/>
      </c>
      <c r="AB73" s="80"/>
      <c r="AC73" s="104" t="str">
        <f t="shared" si="19"/>
        <v/>
      </c>
      <c r="AD73" s="103" t="str">
        <f t="shared" si="20"/>
        <v/>
      </c>
      <c r="AE73" s="80"/>
      <c r="AF73" s="104" t="str">
        <f t="shared" si="21"/>
        <v/>
      </c>
      <c r="AG73" s="103" t="str">
        <f t="shared" si="22"/>
        <v/>
      </c>
      <c r="AH73" s="80"/>
      <c r="AI73" s="55" t="str">
        <f t="shared" si="23"/>
        <v>MΩ</v>
      </c>
      <c r="AJ73" s="53"/>
      <c r="AK73" s="11"/>
      <c r="AL73" s="11"/>
      <c r="AM73" s="86"/>
    </row>
    <row r="74" ht="11.25" customHeight="1">
      <c r="A74" s="40"/>
      <c r="B74" s="55" t="str">
        <f t="shared" si="4"/>
        <v>Section 5</v>
      </c>
      <c r="C74" s="17"/>
      <c r="D74" s="17"/>
      <c r="E74" s="17"/>
      <c r="F74" s="17"/>
      <c r="G74" s="53"/>
      <c r="H74" s="104" t="str">
        <f t="shared" si="5"/>
        <v/>
      </c>
      <c r="I74" s="103" t="str">
        <f t="shared" si="6"/>
        <v/>
      </c>
      <c r="J74" s="80"/>
      <c r="K74" s="104" t="str">
        <f t="shared" si="7"/>
        <v/>
      </c>
      <c r="L74" s="103" t="str">
        <f t="shared" si="8"/>
        <v/>
      </c>
      <c r="M74" s="80"/>
      <c r="N74" s="104" t="str">
        <f t="shared" si="9"/>
        <v/>
      </c>
      <c r="O74" s="103" t="str">
        <f t="shared" si="10"/>
        <v/>
      </c>
      <c r="P74" s="80"/>
      <c r="Q74" s="104" t="str">
        <f t="shared" si="11"/>
        <v/>
      </c>
      <c r="R74" s="103" t="str">
        <f t="shared" si="12"/>
        <v/>
      </c>
      <c r="S74" s="80"/>
      <c r="T74" s="104" t="str">
        <f t="shared" si="13"/>
        <v/>
      </c>
      <c r="U74" s="103" t="str">
        <f t="shared" si="14"/>
        <v/>
      </c>
      <c r="V74" s="80"/>
      <c r="W74" s="104" t="str">
        <f t="shared" si="15"/>
        <v/>
      </c>
      <c r="X74" s="103" t="str">
        <f t="shared" si="16"/>
        <v/>
      </c>
      <c r="Y74" s="80"/>
      <c r="Z74" s="104" t="str">
        <f t="shared" si="17"/>
        <v/>
      </c>
      <c r="AA74" s="103" t="str">
        <f t="shared" si="18"/>
        <v/>
      </c>
      <c r="AB74" s="80"/>
      <c r="AC74" s="104" t="str">
        <f t="shared" si="19"/>
        <v/>
      </c>
      <c r="AD74" s="103" t="str">
        <f t="shared" si="20"/>
        <v/>
      </c>
      <c r="AE74" s="80"/>
      <c r="AF74" s="104" t="str">
        <f t="shared" si="21"/>
        <v/>
      </c>
      <c r="AG74" s="103" t="str">
        <f t="shared" si="22"/>
        <v/>
      </c>
      <c r="AH74" s="80"/>
      <c r="AI74" s="55" t="str">
        <f t="shared" ref="AI74:AI75" si="24">IF(AI65="","",AI65)</f>
        <v>MΩ</v>
      </c>
      <c r="AJ74" s="53"/>
      <c r="AK74" s="11"/>
      <c r="AL74" s="11"/>
      <c r="AM74" s="86"/>
    </row>
    <row r="75" ht="11.25" customHeight="1">
      <c r="A75" s="40"/>
      <c r="B75" s="55" t="str">
        <f t="shared" si="4"/>
        <v/>
      </c>
      <c r="C75" s="17"/>
      <c r="D75" s="17"/>
      <c r="E75" s="17"/>
      <c r="F75" s="17"/>
      <c r="G75" s="53"/>
      <c r="H75" s="104" t="str">
        <f t="shared" si="5"/>
        <v/>
      </c>
      <c r="I75" s="103" t="str">
        <f t="shared" si="6"/>
        <v/>
      </c>
      <c r="J75" s="80"/>
      <c r="K75" s="104" t="str">
        <f t="shared" si="7"/>
        <v/>
      </c>
      <c r="L75" s="103" t="str">
        <f t="shared" si="8"/>
        <v/>
      </c>
      <c r="M75" s="80"/>
      <c r="N75" s="104" t="str">
        <f t="shared" si="9"/>
        <v/>
      </c>
      <c r="O75" s="103" t="str">
        <f t="shared" si="10"/>
        <v/>
      </c>
      <c r="P75" s="80"/>
      <c r="Q75" s="104" t="str">
        <f t="shared" si="11"/>
        <v/>
      </c>
      <c r="R75" s="103" t="str">
        <f t="shared" si="12"/>
        <v/>
      </c>
      <c r="S75" s="80"/>
      <c r="T75" s="104" t="str">
        <f t="shared" si="13"/>
        <v/>
      </c>
      <c r="U75" s="103" t="str">
        <f t="shared" si="14"/>
        <v/>
      </c>
      <c r="V75" s="80"/>
      <c r="W75" s="104" t="str">
        <f t="shared" si="15"/>
        <v/>
      </c>
      <c r="X75" s="103" t="str">
        <f t="shared" si="16"/>
        <v/>
      </c>
      <c r="Y75" s="80"/>
      <c r="Z75" s="104" t="str">
        <f t="shared" si="17"/>
        <v/>
      </c>
      <c r="AA75" s="103" t="str">
        <f t="shared" si="18"/>
        <v/>
      </c>
      <c r="AB75" s="80"/>
      <c r="AC75" s="104" t="str">
        <f t="shared" si="19"/>
        <v/>
      </c>
      <c r="AD75" s="103" t="str">
        <f t="shared" si="20"/>
        <v/>
      </c>
      <c r="AE75" s="80"/>
      <c r="AF75" s="104" t="str">
        <f t="shared" si="21"/>
        <v/>
      </c>
      <c r="AG75" s="103" t="str">
        <f t="shared" si="22"/>
        <v/>
      </c>
      <c r="AH75" s="80"/>
      <c r="AI75" s="55" t="str">
        <f t="shared" si="24"/>
        <v/>
      </c>
      <c r="AJ75" s="53"/>
      <c r="AK75" s="11"/>
      <c r="AL75" s="11"/>
      <c r="AM75" s="86"/>
    </row>
    <row r="76" ht="11.25" customHeight="1">
      <c r="A76" s="40"/>
      <c r="B76" s="60"/>
      <c r="C76" s="107"/>
      <c r="D76" s="107"/>
      <c r="E76" s="107"/>
      <c r="F76" s="107"/>
      <c r="G76" s="107"/>
      <c r="H76" s="108"/>
      <c r="I76" s="109"/>
      <c r="J76" s="109"/>
      <c r="K76" s="108"/>
      <c r="L76" s="109"/>
      <c r="M76" s="109"/>
      <c r="N76" s="108"/>
      <c r="O76" s="109"/>
      <c r="P76" s="109"/>
      <c r="Q76" s="108"/>
      <c r="R76" s="109"/>
      <c r="S76" s="109"/>
      <c r="T76" s="108"/>
      <c r="U76" s="109"/>
      <c r="V76" s="109"/>
      <c r="W76" s="108"/>
      <c r="X76" s="109"/>
      <c r="Y76" s="109"/>
      <c r="Z76" s="108"/>
      <c r="AA76" s="109"/>
      <c r="AB76" s="109"/>
      <c r="AC76" s="108"/>
      <c r="AD76" s="109"/>
      <c r="AE76" s="109"/>
      <c r="AF76" s="108"/>
      <c r="AG76" s="109"/>
      <c r="AH76" s="109"/>
      <c r="AI76" s="60"/>
      <c r="AJ76" s="60"/>
      <c r="AK76" s="11"/>
      <c r="AL76" s="11"/>
      <c r="AM76" s="86"/>
    </row>
    <row r="77" ht="11.25" customHeight="1">
      <c r="A77" s="40"/>
      <c r="B77" s="60"/>
      <c r="C77" s="107"/>
      <c r="D77" s="107"/>
      <c r="E77" s="107"/>
      <c r="F77" s="107"/>
      <c r="G77" s="107"/>
      <c r="H77" s="108"/>
      <c r="I77" s="109"/>
      <c r="J77" s="43"/>
      <c r="K77" s="43"/>
      <c r="L77" s="43"/>
      <c r="M77" s="109"/>
      <c r="N77" s="108"/>
      <c r="O77" s="109"/>
      <c r="P77" s="109"/>
      <c r="Q77" s="69"/>
      <c r="R77" s="69"/>
      <c r="S77" s="69"/>
      <c r="T77" s="69"/>
      <c r="U77" s="69"/>
      <c r="V77" s="110" t="s">
        <v>115</v>
      </c>
      <c r="W77" s="91"/>
      <c r="X77" s="91"/>
      <c r="Y77" s="94"/>
      <c r="Z77" s="16" t="s">
        <v>79</v>
      </c>
      <c r="AA77" s="53"/>
      <c r="AB77" s="43"/>
      <c r="AC77" s="43"/>
      <c r="AD77" s="43"/>
      <c r="AE77" s="43"/>
      <c r="AF77" s="43"/>
      <c r="AG77" s="43"/>
      <c r="AH77" s="43"/>
      <c r="AI77" s="43"/>
      <c r="AJ77" s="43"/>
      <c r="AK77" s="11"/>
      <c r="AL77" s="11"/>
      <c r="AM77" s="86"/>
    </row>
    <row r="78" ht="11.25" customHeight="1">
      <c r="A78" s="40"/>
      <c r="B78" s="60"/>
      <c r="C78" s="107"/>
      <c r="D78" s="107"/>
      <c r="E78" s="107"/>
      <c r="F78" s="107"/>
      <c r="G78" s="43"/>
      <c r="H78" s="43"/>
      <c r="I78" s="43"/>
      <c r="J78" s="43"/>
      <c r="K78" s="43"/>
      <c r="L78" s="43"/>
      <c r="M78" s="109"/>
      <c r="N78" s="108"/>
      <c r="O78" s="109"/>
      <c r="P78" s="81" t="s">
        <v>116</v>
      </c>
      <c r="Q78" s="17"/>
      <c r="R78" s="17"/>
      <c r="S78" s="17"/>
      <c r="T78" s="17"/>
      <c r="U78" s="53"/>
      <c r="V78" s="89" t="s">
        <v>117</v>
      </c>
      <c r="W78" s="111">
        <f>IF(AB9="","",
IF(AND(AB9&lt;=250,Z78="MΩ"),25,
IF(AND(AB9&lt;=250,Z78="GΩ"),0.025,
IF(AND(AB9&lt;=1000,Z78="MΩ"),100,
IF(AND(AB9&lt;=1000,Z78="GΩ"),0.1,
IF(AND(AB9&lt;=2500,Z78="MΩ"),500,
IF(AND(AB9&lt;=2500,Z78="GΩ"),0.5,
IF(AND(AB9&lt;=5000,Z78="MΩ"),1500,
IF(AND(AB9&lt;=5000,Z78="GΩ"),1.5,
IF(AND(AB9&lt;=8000,Z78="MΩ"),2500,
IF(AND(AB9&lt;=8000,Z78="GΩ"),2.5,
IF(AND(AB9&lt;=15000,Z78="MΩ"),5000,
IF(AND(AB9&lt;=15000,Z78="GΩ"),5,
IF(AND(AB9&lt;=25000,Z78="MΩ"),10000,
IF(AND(AB9&lt;=25000,Z78="GΩ"),10,
IF(AND(AB9&gt;25000,Z78="MΩ"),100000,
IF(AND(AB9&gt;25000,Z78="GΩ"),100
)))))))))))))))))</f>
        <v>25</v>
      </c>
      <c r="X78" s="17"/>
      <c r="Y78" s="53"/>
      <c r="Z78" s="16" t="s">
        <v>109</v>
      </c>
      <c r="AA78" s="53"/>
      <c r="AB78" s="43"/>
      <c r="AC78" s="55" t="s">
        <v>118</v>
      </c>
      <c r="AD78" s="17"/>
      <c r="AE78" s="17"/>
      <c r="AF78" s="17"/>
      <c r="AG78" s="53"/>
      <c r="AH78" s="112" t="s">
        <v>2</v>
      </c>
      <c r="AI78" s="17"/>
      <c r="AJ78" s="53"/>
      <c r="AK78" s="11"/>
      <c r="AL78" s="11"/>
      <c r="AM78" s="86"/>
    </row>
    <row r="79" ht="11.25" customHeight="1">
      <c r="A79" s="40"/>
      <c r="B79" s="49"/>
      <c r="C79" s="38"/>
      <c r="D79" s="38"/>
      <c r="E79" s="38"/>
      <c r="F79" s="38"/>
      <c r="G79" s="38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</row>
    <row r="80" ht="11.25" customHeight="1">
      <c r="A80" s="63" t="s">
        <v>119</v>
      </c>
      <c r="B80" s="64"/>
      <c r="C80" s="64"/>
      <c r="D80" s="64"/>
      <c r="E80" s="64"/>
      <c r="F80" s="64"/>
      <c r="G80" s="65"/>
      <c r="H80" s="65"/>
      <c r="I80" s="65"/>
      <c r="J80" s="65"/>
      <c r="K80" s="65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</row>
    <row r="81" ht="11.25" customHeight="1">
      <c r="A81" s="11"/>
      <c r="B81" s="113"/>
      <c r="C81" s="10"/>
      <c r="D81" s="10"/>
      <c r="E81" s="10"/>
      <c r="F81" s="10"/>
      <c r="G81" s="10"/>
      <c r="H81" s="11"/>
      <c r="I81" s="11"/>
      <c r="J81" s="11"/>
      <c r="K81" s="11"/>
      <c r="L81" s="11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</row>
    <row r="82" ht="11.25" customHeight="1">
      <c r="A82" s="11"/>
      <c r="B82" s="75" t="s">
        <v>73</v>
      </c>
      <c r="C82" s="17"/>
      <c r="D82" s="17"/>
      <c r="E82" s="17"/>
      <c r="F82" s="17"/>
      <c r="G82" s="18"/>
      <c r="H82" s="55" t="s">
        <v>98</v>
      </c>
      <c r="I82" s="17"/>
      <c r="J82" s="53"/>
      <c r="K82" s="55" t="s">
        <v>99</v>
      </c>
      <c r="L82" s="17"/>
      <c r="M82" s="53"/>
      <c r="N82" s="81" t="s">
        <v>100</v>
      </c>
      <c r="O82" s="17"/>
      <c r="P82" s="53"/>
      <c r="Q82" s="55" t="s">
        <v>79</v>
      </c>
      <c r="R82" s="53"/>
      <c r="S82" s="11"/>
      <c r="T82" s="114" t="s">
        <v>28</v>
      </c>
      <c r="U82" s="17"/>
      <c r="V82" s="53"/>
      <c r="W82" s="43"/>
      <c r="X82" s="43"/>
      <c r="Y82" s="43"/>
      <c r="Z82" s="43"/>
      <c r="AA82" s="43"/>
      <c r="AB82" s="11"/>
      <c r="AC82" s="97" t="s">
        <v>92</v>
      </c>
      <c r="AD82" s="17"/>
      <c r="AE82" s="17"/>
      <c r="AF82" s="18"/>
      <c r="AG82" s="16" t="s">
        <v>120</v>
      </c>
      <c r="AH82" s="17"/>
      <c r="AI82" s="17"/>
      <c r="AJ82" s="53"/>
      <c r="AK82" s="43"/>
      <c r="AL82" s="43"/>
      <c r="AM82" s="43"/>
    </row>
    <row r="83" ht="11.25" customHeight="1">
      <c r="A83" s="11"/>
      <c r="B83" s="55" t="str">
        <f t="shared" ref="B83:B88" si="25">IF(B61 = "","",B61)</f>
        <v>Section 1</v>
      </c>
      <c r="C83" s="17"/>
      <c r="D83" s="17"/>
      <c r="E83" s="17"/>
      <c r="F83" s="17"/>
      <c r="G83" s="18"/>
      <c r="H83" s="55"/>
      <c r="I83" s="17"/>
      <c r="J83" s="53"/>
      <c r="K83" s="55"/>
      <c r="L83" s="17"/>
      <c r="M83" s="53"/>
      <c r="N83" s="81"/>
      <c r="O83" s="17"/>
      <c r="P83" s="53"/>
      <c r="Q83" s="55" t="s">
        <v>121</v>
      </c>
      <c r="R83" s="53"/>
      <c r="S83" s="11"/>
      <c r="T83" s="112" t="s">
        <v>2</v>
      </c>
      <c r="U83" s="17"/>
      <c r="V83" s="53"/>
      <c r="W83" s="43"/>
      <c r="X83" s="43"/>
      <c r="Y83" s="43"/>
      <c r="Z83" s="43"/>
      <c r="AA83" s="43"/>
      <c r="AB83" s="43"/>
      <c r="AC83" s="115" t="s">
        <v>95</v>
      </c>
      <c r="AD83" s="8"/>
      <c r="AE83" s="8"/>
      <c r="AF83" s="9"/>
      <c r="AG83" s="7" t="s">
        <v>96</v>
      </c>
      <c r="AH83" s="8"/>
      <c r="AI83" s="8"/>
      <c r="AJ83" s="100"/>
      <c r="AK83" s="43"/>
      <c r="AL83" s="43"/>
      <c r="AM83" s="43"/>
    </row>
    <row r="84" ht="11.25" customHeight="1">
      <c r="A84" s="11"/>
      <c r="B84" s="55" t="str">
        <f t="shared" si="25"/>
        <v>Section 2</v>
      </c>
      <c r="C84" s="17"/>
      <c r="D84" s="17"/>
      <c r="E84" s="17"/>
      <c r="F84" s="17"/>
      <c r="G84" s="18"/>
      <c r="H84" s="55"/>
      <c r="I84" s="17"/>
      <c r="J84" s="53"/>
      <c r="K84" s="55"/>
      <c r="L84" s="17"/>
      <c r="M84" s="53"/>
      <c r="N84" s="81"/>
      <c r="O84" s="17"/>
      <c r="P84" s="53"/>
      <c r="Q84" s="55" t="s">
        <v>121</v>
      </c>
      <c r="R84" s="53"/>
      <c r="S84" s="11"/>
      <c r="T84" s="112" t="s">
        <v>2</v>
      </c>
      <c r="U84" s="17"/>
      <c r="V84" s="5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</row>
    <row r="85" ht="11.25" customHeight="1">
      <c r="A85" s="11"/>
      <c r="B85" s="55" t="str">
        <f t="shared" si="25"/>
        <v>Section 3</v>
      </c>
      <c r="C85" s="17"/>
      <c r="D85" s="17"/>
      <c r="E85" s="17"/>
      <c r="F85" s="17"/>
      <c r="G85" s="18"/>
      <c r="H85" s="55"/>
      <c r="I85" s="17"/>
      <c r="J85" s="53"/>
      <c r="K85" s="55"/>
      <c r="L85" s="17"/>
      <c r="M85" s="53"/>
      <c r="N85" s="81"/>
      <c r="O85" s="17"/>
      <c r="P85" s="53"/>
      <c r="Q85" s="55" t="s">
        <v>121</v>
      </c>
      <c r="R85" s="53"/>
      <c r="S85" s="11"/>
      <c r="T85" s="112" t="s">
        <v>2</v>
      </c>
      <c r="U85" s="17"/>
      <c r="V85" s="5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</row>
    <row r="86" ht="11.25" customHeight="1">
      <c r="A86" s="11"/>
      <c r="B86" s="55" t="str">
        <f t="shared" si="25"/>
        <v>Section 4</v>
      </c>
      <c r="C86" s="17"/>
      <c r="D86" s="17"/>
      <c r="E86" s="17"/>
      <c r="F86" s="17"/>
      <c r="G86" s="18"/>
      <c r="H86" s="55"/>
      <c r="I86" s="17"/>
      <c r="J86" s="53"/>
      <c r="K86" s="55"/>
      <c r="L86" s="17"/>
      <c r="M86" s="53"/>
      <c r="N86" s="81"/>
      <c r="O86" s="17"/>
      <c r="P86" s="53"/>
      <c r="Q86" s="55" t="s">
        <v>121</v>
      </c>
      <c r="R86" s="53"/>
      <c r="S86" s="11"/>
      <c r="T86" s="112" t="s">
        <v>2</v>
      </c>
      <c r="U86" s="17"/>
      <c r="V86" s="5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</row>
    <row r="87" ht="11.25" customHeight="1">
      <c r="A87" s="11"/>
      <c r="B87" s="55" t="str">
        <f t="shared" si="25"/>
        <v>Section 5</v>
      </c>
      <c r="C87" s="17"/>
      <c r="D87" s="17"/>
      <c r="E87" s="17"/>
      <c r="F87" s="17"/>
      <c r="G87" s="18"/>
      <c r="H87" s="55"/>
      <c r="I87" s="17"/>
      <c r="J87" s="53"/>
      <c r="K87" s="55"/>
      <c r="L87" s="17"/>
      <c r="M87" s="53"/>
      <c r="N87" s="81"/>
      <c r="O87" s="17"/>
      <c r="P87" s="53"/>
      <c r="Q87" s="55" t="s">
        <v>121</v>
      </c>
      <c r="R87" s="53"/>
      <c r="S87" s="11"/>
      <c r="T87" s="112" t="s">
        <v>2</v>
      </c>
      <c r="U87" s="17"/>
      <c r="V87" s="5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</row>
    <row r="88" ht="11.25" customHeight="1">
      <c r="A88" s="11"/>
      <c r="B88" s="55" t="str">
        <f t="shared" si="25"/>
        <v/>
      </c>
      <c r="C88" s="17"/>
      <c r="D88" s="17"/>
      <c r="E88" s="17"/>
      <c r="F88" s="17"/>
      <c r="G88" s="18"/>
      <c r="H88" s="55"/>
      <c r="I88" s="17"/>
      <c r="J88" s="53"/>
      <c r="K88" s="55"/>
      <c r="L88" s="17"/>
      <c r="M88" s="53"/>
      <c r="N88" s="81"/>
      <c r="O88" s="17"/>
      <c r="P88" s="53"/>
      <c r="Q88" s="55"/>
      <c r="R88" s="53"/>
      <c r="S88" s="11"/>
      <c r="T88" s="112"/>
      <c r="U88" s="17"/>
      <c r="V88" s="5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</row>
    <row r="89" ht="11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</row>
    <row r="90" ht="11.25" customHeight="1">
      <c r="A90" s="36" t="s">
        <v>122</v>
      </c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</row>
    <row r="91" ht="11.25" customHeight="1">
      <c r="A91" s="36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</row>
    <row r="92" ht="11.25" customHeight="1">
      <c r="A92" s="40"/>
      <c r="B92" s="40"/>
      <c r="C92" s="116" t="s">
        <v>123</v>
      </c>
      <c r="D92" s="5"/>
      <c r="E92" s="5"/>
      <c r="F92" s="5"/>
      <c r="G92" s="5"/>
      <c r="H92" s="5"/>
      <c r="I92" s="5"/>
      <c r="J92" s="6"/>
      <c r="K92" s="117"/>
      <c r="L92" s="8"/>
      <c r="M92" s="8"/>
      <c r="N92" s="8"/>
      <c r="O92" s="8"/>
      <c r="P92" s="8"/>
      <c r="Q92" s="9"/>
      <c r="R92" s="118" t="s">
        <v>124</v>
      </c>
      <c r="S92" s="5"/>
      <c r="T92" s="5"/>
      <c r="U92" s="5"/>
      <c r="V92" s="6"/>
      <c r="W92" s="119"/>
      <c r="X92" s="8"/>
      <c r="Y92" s="8"/>
      <c r="Z92" s="8"/>
      <c r="AA92" s="8"/>
      <c r="AB92" s="9"/>
      <c r="AC92" s="11"/>
      <c r="AD92" s="118" t="s">
        <v>125</v>
      </c>
      <c r="AE92" s="5"/>
      <c r="AF92" s="6"/>
      <c r="AG92" s="7"/>
      <c r="AH92" s="8"/>
      <c r="AI92" s="8"/>
      <c r="AJ92" s="9"/>
      <c r="AK92" s="43"/>
      <c r="AL92" s="43"/>
      <c r="AM92" s="40"/>
    </row>
    <row r="93" ht="11.25" customHeight="1">
      <c r="A93" s="40"/>
      <c r="B93" s="43"/>
      <c r="C93" s="118" t="s">
        <v>126</v>
      </c>
      <c r="D93" s="5"/>
      <c r="E93" s="5"/>
      <c r="F93" s="5"/>
      <c r="G93" s="5"/>
      <c r="H93" s="5"/>
      <c r="I93" s="5"/>
      <c r="J93" s="6"/>
      <c r="K93" s="120"/>
      <c r="L93" s="8"/>
      <c r="M93" s="8"/>
      <c r="N93" s="8"/>
      <c r="O93" s="8"/>
      <c r="P93" s="8"/>
      <c r="Q93" s="9"/>
      <c r="R93" s="118" t="s">
        <v>124</v>
      </c>
      <c r="S93" s="5"/>
      <c r="T93" s="5"/>
      <c r="U93" s="5"/>
      <c r="V93" s="6"/>
      <c r="W93" s="119"/>
      <c r="X93" s="8"/>
      <c r="Y93" s="8"/>
      <c r="Z93" s="8"/>
      <c r="AA93" s="8"/>
      <c r="AB93" s="9"/>
      <c r="AC93" s="11"/>
      <c r="AD93" s="118" t="s">
        <v>125</v>
      </c>
      <c r="AE93" s="5"/>
      <c r="AF93" s="6"/>
      <c r="AG93" s="7"/>
      <c r="AH93" s="8"/>
      <c r="AI93" s="8"/>
      <c r="AJ93" s="9"/>
      <c r="AK93" s="43"/>
      <c r="AL93" s="43"/>
      <c r="AM93" s="40"/>
    </row>
    <row r="94" ht="11.25" customHeight="1">
      <c r="A94" s="40"/>
      <c r="B94" s="43"/>
      <c r="C94" s="121"/>
      <c r="D94" s="121"/>
      <c r="E94" s="121"/>
      <c r="F94" s="121"/>
      <c r="G94" s="121"/>
      <c r="H94" s="116" t="s">
        <v>127</v>
      </c>
      <c r="I94" s="5"/>
      <c r="J94" s="6"/>
      <c r="K94" s="117"/>
      <c r="L94" s="8"/>
      <c r="M94" s="8"/>
      <c r="N94" s="8"/>
      <c r="O94" s="8"/>
      <c r="P94" s="8"/>
      <c r="Q94" s="9"/>
      <c r="R94" s="118" t="s">
        <v>124</v>
      </c>
      <c r="S94" s="5"/>
      <c r="T94" s="5"/>
      <c r="U94" s="5"/>
      <c r="V94" s="6"/>
      <c r="W94" s="119"/>
      <c r="X94" s="8"/>
      <c r="Y94" s="8"/>
      <c r="Z94" s="8"/>
      <c r="AA94" s="8"/>
      <c r="AB94" s="9"/>
      <c r="AC94" s="11"/>
      <c r="AD94" s="118" t="s">
        <v>125</v>
      </c>
      <c r="AE94" s="5"/>
      <c r="AF94" s="6"/>
      <c r="AG94" s="7"/>
      <c r="AH94" s="8"/>
      <c r="AI94" s="8"/>
      <c r="AJ94" s="9"/>
      <c r="AK94" s="43"/>
      <c r="AL94" s="43"/>
      <c r="AM94" s="40"/>
    </row>
    <row r="95" ht="11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</row>
    <row r="96" ht="11.25" customHeight="1">
      <c r="A96" s="36" t="s">
        <v>128</v>
      </c>
      <c r="B96" s="43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</row>
    <row r="97" ht="11.25" customHeight="1">
      <c r="A97" s="49"/>
      <c r="B97" s="122"/>
      <c r="AM97" s="40"/>
    </row>
    <row r="98" ht="11.25" customHeight="1">
      <c r="A98" s="49"/>
      <c r="AM98" s="40"/>
    </row>
    <row r="99" ht="11.25" customHeight="1">
      <c r="A99" s="49"/>
      <c r="AM99" s="40"/>
    </row>
    <row r="100" ht="11.25" customHeight="1">
      <c r="A100" s="49"/>
      <c r="AM100" s="40"/>
    </row>
    <row r="101" ht="11.25" customHeight="1">
      <c r="A101" s="49"/>
      <c r="AM101" s="40"/>
    </row>
    <row r="102" ht="11.25" customHeight="1">
      <c r="A102" s="49"/>
      <c r="AM102" s="40"/>
    </row>
    <row r="103" ht="11.25" customHeight="1">
      <c r="A103" s="49"/>
      <c r="AM103" s="40"/>
    </row>
    <row r="104" ht="11.25" customHeight="1">
      <c r="A104" s="49"/>
      <c r="AM104" s="40"/>
    </row>
    <row r="105" ht="11.25" customHeight="1">
      <c r="A105" s="49"/>
      <c r="AM105" s="40"/>
    </row>
    <row r="106" ht="11.25" customHeight="1">
      <c r="A106" s="49"/>
      <c r="AM106" s="40"/>
    </row>
    <row r="107" ht="11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</row>
    <row r="108" ht="11.2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</row>
    <row r="109" ht="11.2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</row>
    <row r="110" ht="11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</row>
    <row r="111" ht="11.2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</row>
    <row r="112" ht="11.2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</row>
    <row r="113" ht="11.2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</row>
    <row r="114" ht="11.2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</row>
    <row r="115" ht="11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</row>
    <row r="116" ht="11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</row>
    <row r="117" ht="11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</row>
    <row r="118" ht="11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</row>
    <row r="119" ht="11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</row>
    <row r="120" ht="11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</row>
    <row r="121" ht="11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</row>
    <row r="122" ht="11.2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</row>
    <row r="123" ht="11.2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</row>
    <row r="124" ht="11.2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</row>
    <row r="125" ht="11.2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</row>
    <row r="126" ht="11.2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</row>
    <row r="127" ht="11.2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</row>
    <row r="128" ht="11.2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</row>
    <row r="129" ht="11.2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</row>
    <row r="130" ht="11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</row>
    <row r="131" ht="11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</row>
    <row r="132" ht="11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</row>
    <row r="133" ht="11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</row>
    <row r="134" ht="11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</row>
    <row r="135" ht="11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</row>
    <row r="136" ht="11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</row>
    <row r="137" ht="11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</row>
    <row r="138" ht="11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</row>
    <row r="139" ht="11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</row>
    <row r="140" ht="11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</row>
    <row r="141" ht="11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</row>
    <row r="142" ht="11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</row>
    <row r="143" ht="11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</row>
    <row r="144" ht="11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</row>
    <row r="145" ht="11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</row>
    <row r="146" ht="11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</row>
    <row r="147" ht="11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</row>
    <row r="148" ht="11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</row>
    <row r="149" ht="11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</row>
    <row r="150" ht="11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</row>
    <row r="151" ht="11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</row>
    <row r="152" ht="11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</row>
    <row r="153" ht="11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</row>
    <row r="154" ht="11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</row>
    <row r="155" ht="11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</row>
    <row r="156" ht="11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</row>
    <row r="157" ht="11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</row>
    <row r="158" ht="11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</row>
    <row r="159" ht="11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</row>
    <row r="160" ht="11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</row>
    <row r="161" ht="11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</row>
    <row r="162" ht="11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</row>
    <row r="163" ht="11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</row>
    <row r="164" ht="11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</row>
    <row r="165" ht="11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</row>
    <row r="166" ht="11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</row>
    <row r="167" ht="11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</row>
    <row r="168" ht="11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</row>
    <row r="169" ht="11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</row>
    <row r="170" ht="11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</row>
    <row r="171" ht="11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</row>
    <row r="172" ht="11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</row>
    <row r="173" ht="11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</row>
    <row r="174" ht="11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</row>
    <row r="175" ht="11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</row>
    <row r="176" ht="11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</row>
    <row r="177" ht="11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</row>
    <row r="178" ht="11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</row>
    <row r="179" ht="11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</row>
    <row r="180" ht="11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</row>
    <row r="181" ht="11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</row>
    <row r="182" ht="11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</row>
    <row r="183" ht="11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</row>
    <row r="184" ht="11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</row>
    <row r="185" ht="11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</row>
    <row r="186" ht="11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</row>
    <row r="187" ht="11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</row>
    <row r="188" ht="11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</row>
    <row r="189" ht="11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</row>
    <row r="190" ht="11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</row>
    <row r="191" ht="11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</row>
    <row r="192" ht="11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</row>
    <row r="193" ht="11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</row>
    <row r="194" ht="11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</row>
    <row r="195" ht="11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</row>
    <row r="196" ht="11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</row>
    <row r="197" ht="11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</row>
    <row r="198" ht="11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</row>
    <row r="199" ht="11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</row>
    <row r="200" ht="11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</row>
    <row r="201" ht="11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</row>
    <row r="202" ht="11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</row>
    <row r="203" ht="11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</row>
    <row r="204" ht="11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</row>
    <row r="205" ht="11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</row>
    <row r="206" ht="11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</row>
    <row r="207" ht="11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</row>
    <row r="208" ht="11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</row>
    <row r="209" ht="11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</row>
    <row r="210" ht="11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</row>
    <row r="211" ht="11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</row>
    <row r="212" ht="11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</row>
    <row r="213" ht="11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</row>
    <row r="214" ht="11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</row>
    <row r="215" ht="11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</row>
    <row r="216" ht="11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</row>
    <row r="217" ht="11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</row>
    <row r="218" ht="11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</row>
    <row r="219" ht="11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</row>
    <row r="220" ht="11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</row>
    <row r="221" ht="11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</row>
    <row r="222" ht="11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</row>
    <row r="223" ht="11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</row>
    <row r="224" ht="11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</row>
    <row r="225" ht="11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</row>
    <row r="226" ht="11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</row>
    <row r="227" ht="11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</row>
    <row r="228" ht="11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</row>
    <row r="229" ht="11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</row>
    <row r="230" ht="11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</row>
    <row r="231" ht="11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</row>
    <row r="232" ht="11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</row>
    <row r="233" ht="11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</row>
    <row r="234" ht="11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</row>
    <row r="235" ht="11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</row>
    <row r="236" ht="11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</row>
    <row r="237" ht="11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</row>
    <row r="238" ht="11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</row>
    <row r="239" ht="11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</row>
    <row r="240" ht="11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</row>
    <row r="241" ht="11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</row>
    <row r="242" ht="11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</row>
    <row r="243" ht="11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</row>
    <row r="244" ht="11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</row>
    <row r="245" ht="11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</row>
    <row r="246" ht="11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</row>
    <row r="247" ht="11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</row>
    <row r="248" ht="11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</row>
    <row r="249" ht="11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</row>
    <row r="250" ht="11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</row>
    <row r="251" ht="11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</row>
    <row r="252" ht="11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</row>
    <row r="253" ht="11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</row>
    <row r="254" ht="11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</row>
    <row r="255" ht="11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</row>
    <row r="256" ht="11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</row>
    <row r="257" ht="11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</row>
    <row r="258" ht="11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</row>
    <row r="259" ht="11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</row>
    <row r="260" ht="11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</row>
    <row r="261" ht="11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</row>
    <row r="262" ht="11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</row>
    <row r="263" ht="11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</row>
    <row r="264" ht="11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</row>
    <row r="265" ht="11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</row>
    <row r="266" ht="11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</row>
    <row r="267" ht="11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</row>
    <row r="268" ht="11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</row>
    <row r="269" ht="11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</row>
    <row r="270" ht="11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</row>
    <row r="271" ht="11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</row>
    <row r="272" ht="11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</row>
    <row r="273" ht="11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</row>
    <row r="274" ht="11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</row>
    <row r="275" ht="11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</row>
    <row r="276" ht="11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</row>
    <row r="277" ht="11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</row>
    <row r="278" ht="11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</row>
    <row r="279" ht="11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</row>
    <row r="280" ht="11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</row>
    <row r="281" ht="11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</row>
    <row r="282" ht="11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</row>
    <row r="283" ht="11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</row>
    <row r="284" ht="11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</row>
    <row r="285" ht="11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</row>
    <row r="286" ht="11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</row>
    <row r="287" ht="11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</row>
    <row r="288" ht="11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</row>
    <row r="289" ht="11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</row>
    <row r="290" ht="11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</row>
    <row r="291" ht="11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</row>
    <row r="292" ht="11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</row>
    <row r="293" ht="11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</row>
    <row r="294" ht="11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</row>
    <row r="295" ht="11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</row>
    <row r="296" ht="11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</row>
    <row r="297" ht="11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</row>
    <row r="298" ht="11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</row>
    <row r="299" ht="11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</row>
    <row r="300" ht="11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</row>
    <row r="301" ht="11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</row>
    <row r="302" ht="11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</row>
    <row r="303" ht="11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</row>
    <row r="304" ht="11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</row>
    <row r="305" ht="11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</row>
    <row r="306" ht="11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</row>
    <row r="307" ht="11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</row>
    <row r="308" ht="11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</row>
    <row r="309" ht="11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</row>
    <row r="310" ht="11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</row>
    <row r="311" ht="11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</row>
    <row r="312" ht="11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</row>
    <row r="313" ht="11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</row>
    <row r="314" ht="11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</row>
    <row r="315" ht="11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</row>
    <row r="316" ht="11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</row>
    <row r="317" ht="11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</row>
    <row r="318" ht="11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</row>
    <row r="319" ht="11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</row>
    <row r="320" ht="11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</row>
    <row r="321" ht="11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</row>
    <row r="322" ht="11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</row>
    <row r="323" ht="11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</row>
    <row r="324" ht="11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</row>
    <row r="325" ht="11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</row>
    <row r="326" ht="11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</row>
    <row r="327" ht="11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</row>
    <row r="328" ht="11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</row>
    <row r="329" ht="11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</row>
    <row r="330" ht="11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</row>
    <row r="331" ht="11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</row>
    <row r="332" ht="11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</row>
    <row r="333" ht="11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</row>
    <row r="334" ht="11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</row>
    <row r="335" ht="11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</row>
    <row r="336" ht="11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</row>
    <row r="337" ht="11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</row>
    <row r="338" ht="11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</row>
    <row r="339" ht="11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</row>
    <row r="340" ht="11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</row>
    <row r="341" ht="11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</row>
    <row r="342" ht="11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</row>
    <row r="343" ht="11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</row>
    <row r="344" ht="11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</row>
    <row r="345" ht="11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</row>
    <row r="346" ht="11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</row>
    <row r="347" ht="11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</row>
    <row r="348" ht="11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</row>
    <row r="349" ht="11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</row>
    <row r="350" ht="11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</row>
    <row r="351" ht="11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</row>
    <row r="352" ht="11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</row>
    <row r="353" ht="11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</row>
    <row r="354" ht="11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</row>
    <row r="355" ht="11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</row>
    <row r="356" ht="11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</row>
    <row r="357" ht="11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</row>
    <row r="358" ht="11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</row>
    <row r="359" ht="11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</row>
    <row r="360" ht="11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</row>
    <row r="361" ht="11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</row>
    <row r="362" ht="11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</row>
    <row r="363" ht="11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</row>
    <row r="364" ht="11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</row>
    <row r="365" ht="11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</row>
    <row r="366" ht="11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</row>
    <row r="367" ht="11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</row>
    <row r="368" ht="11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</row>
    <row r="369" ht="11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</row>
    <row r="370" ht="11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</row>
    <row r="371" ht="11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</row>
    <row r="372" ht="11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</row>
    <row r="373" ht="11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</row>
    <row r="374" ht="11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</row>
    <row r="375" ht="11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</row>
    <row r="376" ht="11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</row>
    <row r="377" ht="11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</row>
    <row r="378" ht="11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</row>
    <row r="379" ht="11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</row>
    <row r="380" ht="11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</row>
    <row r="381" ht="11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</row>
    <row r="382" ht="11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</row>
    <row r="383" ht="11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</row>
    <row r="384" ht="11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</row>
    <row r="385" ht="11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</row>
    <row r="386" ht="11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</row>
    <row r="387" ht="11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</row>
    <row r="388" ht="11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</row>
    <row r="389" ht="11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</row>
    <row r="390" ht="11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</row>
    <row r="391" ht="11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</row>
    <row r="392" ht="11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</row>
    <row r="393" ht="11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</row>
    <row r="394" ht="11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</row>
    <row r="395" ht="11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</row>
    <row r="396" ht="11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</row>
    <row r="397" ht="11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</row>
    <row r="398" ht="11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</row>
    <row r="399" ht="11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</row>
    <row r="400" ht="11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</row>
    <row r="401" ht="11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</row>
    <row r="402" ht="11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</row>
    <row r="403" ht="11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</row>
    <row r="404" ht="11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</row>
    <row r="405" ht="11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</row>
    <row r="406" ht="11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</row>
    <row r="407" ht="11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</row>
    <row r="408" ht="11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</row>
    <row r="409" ht="11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</row>
    <row r="410" ht="11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</row>
    <row r="411" ht="11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</row>
    <row r="412" ht="11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</row>
    <row r="413" ht="11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</row>
    <row r="414" ht="11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</row>
    <row r="415" ht="11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</row>
    <row r="416" ht="11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</row>
    <row r="417" ht="11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</row>
    <row r="418" ht="11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</row>
    <row r="419" ht="11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</row>
    <row r="420" ht="11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</row>
    <row r="421" ht="11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</row>
    <row r="422" ht="11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</row>
    <row r="423" ht="11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</row>
    <row r="424" ht="11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</row>
    <row r="425" ht="11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</row>
    <row r="426" ht="11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</row>
    <row r="427" ht="11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</row>
    <row r="428" ht="11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</row>
    <row r="429" ht="11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</row>
    <row r="430" ht="11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</row>
    <row r="431" ht="11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</row>
    <row r="432" ht="11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</row>
    <row r="433" ht="11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</row>
    <row r="434" ht="11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</row>
    <row r="435" ht="11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</row>
    <row r="436" ht="11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</row>
    <row r="437" ht="11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</row>
    <row r="438" ht="11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</row>
    <row r="439" ht="11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</row>
    <row r="440" ht="11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</row>
    <row r="441" ht="11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</row>
    <row r="442" ht="11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</row>
    <row r="443" ht="11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</row>
    <row r="444" ht="11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</row>
    <row r="445" ht="11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</row>
    <row r="446" ht="11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</row>
    <row r="447" ht="11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</row>
    <row r="448" ht="11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</row>
    <row r="449" ht="11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</row>
    <row r="450" ht="11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</row>
    <row r="451" ht="11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</row>
    <row r="452" ht="11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</row>
    <row r="453" ht="11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</row>
    <row r="454" ht="11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</row>
    <row r="455" ht="11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</row>
    <row r="456" ht="11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</row>
    <row r="457" ht="11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</row>
    <row r="458" ht="11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</row>
    <row r="459" ht="11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</row>
    <row r="460" ht="11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</row>
    <row r="461" ht="11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</row>
    <row r="462" ht="11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</row>
    <row r="463" ht="11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</row>
    <row r="464" ht="11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</row>
    <row r="465" ht="11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</row>
    <row r="466" ht="11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</row>
    <row r="467" ht="11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</row>
    <row r="468" ht="11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</row>
    <row r="469" ht="11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</row>
    <row r="470" ht="11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</row>
    <row r="471" ht="11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</row>
    <row r="472" ht="11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</row>
    <row r="473" ht="11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</row>
    <row r="474" ht="11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</row>
    <row r="475" ht="11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</row>
    <row r="476" ht="11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</row>
    <row r="477" ht="11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</row>
    <row r="478" ht="11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</row>
    <row r="479" ht="11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</row>
    <row r="480" ht="11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</row>
    <row r="481" ht="11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</row>
    <row r="482" ht="11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</row>
    <row r="483" ht="11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</row>
    <row r="484" ht="11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</row>
    <row r="485" ht="11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</row>
    <row r="486" ht="11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</row>
    <row r="487" ht="11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</row>
    <row r="488" ht="11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</row>
    <row r="489" ht="11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</row>
    <row r="490" ht="11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</row>
    <row r="491" ht="11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</row>
    <row r="492" ht="11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</row>
    <row r="493" ht="11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</row>
    <row r="494" ht="11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</row>
    <row r="495" ht="11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</row>
    <row r="496" ht="11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</row>
    <row r="497" ht="11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</row>
    <row r="498" ht="11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</row>
    <row r="499" ht="11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</row>
    <row r="500" ht="11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</row>
    <row r="501" ht="11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</row>
    <row r="502" ht="11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</row>
    <row r="503" ht="11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</row>
    <row r="504" ht="11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</row>
    <row r="505" ht="11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</row>
    <row r="506" ht="11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</row>
    <row r="507" ht="11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</row>
    <row r="508" ht="11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</row>
    <row r="509" ht="11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</row>
    <row r="510" ht="11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</row>
    <row r="511" ht="11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</row>
    <row r="512" ht="11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</row>
    <row r="513" ht="11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</row>
    <row r="514" ht="11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</row>
    <row r="515" ht="11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</row>
    <row r="516" ht="11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</row>
    <row r="517" ht="11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</row>
    <row r="518" ht="11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</row>
    <row r="519" ht="11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</row>
    <row r="520" ht="11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</row>
    <row r="521" ht="11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</row>
    <row r="522" ht="11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</row>
    <row r="523" ht="11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</row>
    <row r="524" ht="11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</row>
    <row r="525" ht="11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</row>
    <row r="526" ht="11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</row>
    <row r="527" ht="11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</row>
    <row r="528" ht="11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</row>
    <row r="529" ht="11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</row>
    <row r="530" ht="11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</row>
    <row r="531" ht="11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</row>
    <row r="532" ht="11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</row>
    <row r="533" ht="11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</row>
    <row r="534" ht="11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</row>
    <row r="535" ht="11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</row>
    <row r="536" ht="11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</row>
    <row r="537" ht="11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</row>
    <row r="538" ht="11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</row>
    <row r="539" ht="11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</row>
    <row r="540" ht="11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</row>
    <row r="541" ht="11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</row>
    <row r="542" ht="11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</row>
    <row r="543" ht="11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</row>
    <row r="544" ht="11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</row>
    <row r="545" ht="11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</row>
    <row r="546" ht="11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</row>
    <row r="547" ht="11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</row>
    <row r="548" ht="11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</row>
    <row r="549" ht="11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</row>
    <row r="550" ht="11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</row>
    <row r="551" ht="11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</row>
    <row r="552" ht="11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</row>
    <row r="553" ht="11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</row>
    <row r="554" ht="11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</row>
    <row r="555" ht="11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</row>
    <row r="556" ht="11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</row>
    <row r="557" ht="11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</row>
    <row r="558" ht="11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</row>
    <row r="559" ht="11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</row>
    <row r="560" ht="11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</row>
    <row r="561" ht="11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</row>
    <row r="562" ht="11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</row>
    <row r="563" ht="11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</row>
    <row r="564" ht="11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</row>
    <row r="565" ht="11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</row>
    <row r="566" ht="11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</row>
    <row r="567" ht="11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</row>
    <row r="568" ht="11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</row>
    <row r="569" ht="11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</row>
    <row r="570" ht="11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</row>
    <row r="571" ht="11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</row>
    <row r="572" ht="11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</row>
    <row r="573" ht="11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</row>
    <row r="574" ht="11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</row>
    <row r="575" ht="11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</row>
    <row r="576" ht="11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</row>
    <row r="577" ht="11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</row>
    <row r="578" ht="11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</row>
    <row r="579" ht="11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</row>
    <row r="580" ht="11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</row>
    <row r="581" ht="11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</row>
    <row r="582" ht="11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</row>
    <row r="583" ht="11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</row>
    <row r="584" ht="11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</row>
    <row r="585" ht="11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</row>
    <row r="586" ht="11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</row>
    <row r="587" ht="11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</row>
    <row r="588" ht="11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</row>
    <row r="589" ht="11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</row>
    <row r="590" ht="11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</row>
    <row r="591" ht="11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</row>
    <row r="592" ht="11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</row>
    <row r="593" ht="11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</row>
    <row r="594" ht="11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</row>
    <row r="595" ht="11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</row>
    <row r="596" ht="11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</row>
    <row r="597" ht="11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</row>
    <row r="598" ht="11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</row>
    <row r="599" ht="11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</row>
    <row r="600" ht="11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</row>
    <row r="601" ht="11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</row>
    <row r="602" ht="11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</row>
    <row r="603" ht="11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</row>
    <row r="604" ht="11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</row>
    <row r="605" ht="11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</row>
    <row r="606" ht="11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</row>
    <row r="607" ht="11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</row>
    <row r="608" ht="11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</row>
    <row r="609" ht="11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</row>
    <row r="610" ht="11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</row>
    <row r="611" ht="11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</row>
    <row r="612" ht="11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</row>
    <row r="613" ht="11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</row>
    <row r="614" ht="11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</row>
    <row r="615" ht="11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</row>
    <row r="616" ht="11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</row>
    <row r="617" ht="11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</row>
    <row r="618" ht="11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</row>
    <row r="619" ht="11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</row>
    <row r="620" ht="11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</row>
    <row r="621" ht="11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</row>
    <row r="622" ht="11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</row>
    <row r="623" ht="11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</row>
    <row r="624" ht="11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</row>
    <row r="625" ht="11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</row>
    <row r="626" ht="11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</row>
    <row r="627" ht="11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</row>
    <row r="628" ht="11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</row>
    <row r="629" ht="11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</row>
    <row r="630" ht="11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</row>
    <row r="631" ht="11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</row>
    <row r="632" ht="11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</row>
    <row r="633" ht="11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</row>
    <row r="634" ht="11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</row>
    <row r="635" ht="11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</row>
    <row r="636" ht="11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</row>
    <row r="637" ht="11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</row>
    <row r="638" ht="11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</row>
    <row r="639" ht="11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</row>
    <row r="640" ht="11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</row>
    <row r="641" ht="11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</row>
    <row r="642" ht="11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</row>
    <row r="643" ht="11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</row>
    <row r="644" ht="11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</row>
    <row r="645" ht="11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</row>
    <row r="646" ht="11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</row>
    <row r="647" ht="11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</row>
    <row r="648" ht="11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</row>
    <row r="649" ht="11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</row>
    <row r="650" ht="11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</row>
    <row r="651" ht="11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</row>
    <row r="652" ht="11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</row>
    <row r="653" ht="11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</row>
    <row r="654" ht="11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</row>
    <row r="655" ht="11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</row>
    <row r="656" ht="11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</row>
    <row r="657" ht="11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</row>
    <row r="658" ht="11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</row>
    <row r="659" ht="11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</row>
    <row r="660" ht="11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</row>
    <row r="661" ht="11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</row>
    <row r="662" ht="11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</row>
    <row r="663" ht="11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</row>
    <row r="664" ht="11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</row>
    <row r="665" ht="11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</row>
    <row r="666" ht="11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</row>
    <row r="667" ht="11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</row>
    <row r="668" ht="11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</row>
    <row r="669" ht="11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</row>
    <row r="670" ht="11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</row>
    <row r="671" ht="11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</row>
    <row r="672" ht="11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</row>
    <row r="673" ht="11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</row>
    <row r="674" ht="11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</row>
    <row r="675" ht="11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</row>
    <row r="676" ht="11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</row>
    <row r="677" ht="11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</row>
    <row r="678" ht="11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</row>
    <row r="679" ht="11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</row>
    <row r="680" ht="11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</row>
    <row r="681" ht="11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</row>
    <row r="682" ht="11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</row>
    <row r="683" ht="11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</row>
    <row r="684" ht="11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</row>
    <row r="685" ht="11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</row>
    <row r="686" ht="11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</row>
    <row r="687" ht="11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</row>
    <row r="688" ht="11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</row>
    <row r="689" ht="11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</row>
    <row r="690" ht="11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</row>
    <row r="691" ht="11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</row>
    <row r="692" ht="11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</row>
    <row r="693" ht="11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</row>
    <row r="694" ht="11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</row>
    <row r="695" ht="11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</row>
    <row r="696" ht="11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</row>
    <row r="697" ht="11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</row>
    <row r="698" ht="11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</row>
    <row r="699" ht="11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</row>
    <row r="700" ht="11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</row>
    <row r="701" ht="11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</row>
    <row r="702" ht="11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</row>
    <row r="703" ht="11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</row>
    <row r="704" ht="11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</row>
    <row r="705" ht="11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</row>
    <row r="706" ht="11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</row>
    <row r="707" ht="11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</row>
    <row r="708" ht="11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</row>
    <row r="709" ht="11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</row>
    <row r="710" ht="11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</row>
    <row r="711" ht="11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</row>
    <row r="712" ht="11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</row>
    <row r="713" ht="11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</row>
    <row r="714" ht="11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</row>
    <row r="715" ht="11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</row>
    <row r="716" ht="11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</row>
    <row r="717" ht="11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</row>
    <row r="718" ht="11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</row>
    <row r="719" ht="11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</row>
    <row r="720" ht="11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</row>
    <row r="721" ht="11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</row>
    <row r="722" ht="11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</row>
    <row r="723" ht="11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</row>
    <row r="724" ht="11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</row>
    <row r="725" ht="11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</row>
    <row r="726" ht="11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</row>
    <row r="727" ht="11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</row>
    <row r="728" ht="11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</row>
    <row r="729" ht="11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</row>
    <row r="730" ht="11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</row>
    <row r="731" ht="11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</row>
    <row r="732" ht="11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</row>
    <row r="733" ht="11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</row>
    <row r="734" ht="11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</row>
    <row r="735" ht="11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</row>
    <row r="736" ht="11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</row>
    <row r="737" ht="11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</row>
    <row r="738" ht="11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</row>
    <row r="739" ht="11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</row>
    <row r="740" ht="11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</row>
    <row r="741" ht="11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</row>
    <row r="742" ht="11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</row>
    <row r="743" ht="11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</row>
    <row r="744" ht="11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</row>
    <row r="745" ht="11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</row>
    <row r="746" ht="11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</row>
    <row r="747" ht="11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</row>
    <row r="748" ht="11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</row>
    <row r="749" ht="11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</row>
    <row r="750" ht="11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</row>
    <row r="751" ht="11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</row>
    <row r="752" ht="11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</row>
    <row r="753" ht="11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</row>
    <row r="754" ht="11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</row>
    <row r="755" ht="11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</row>
    <row r="756" ht="11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</row>
    <row r="757" ht="11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</row>
    <row r="758" ht="11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</row>
    <row r="759" ht="11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</row>
    <row r="760" ht="11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</row>
    <row r="761" ht="11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</row>
    <row r="762" ht="11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</row>
    <row r="763" ht="11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</row>
    <row r="764" ht="11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</row>
    <row r="765" ht="11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</row>
    <row r="766" ht="11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</row>
    <row r="767" ht="11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</row>
    <row r="768" ht="11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</row>
    <row r="769" ht="11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</row>
    <row r="770" ht="11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</row>
    <row r="771" ht="11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</row>
    <row r="772" ht="11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</row>
    <row r="773" ht="11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</row>
    <row r="774" ht="11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</row>
    <row r="775" ht="11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</row>
    <row r="776" ht="11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</row>
    <row r="777" ht="11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</row>
    <row r="778" ht="11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</row>
    <row r="779" ht="11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</row>
    <row r="780" ht="11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</row>
    <row r="781" ht="11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</row>
    <row r="782" ht="11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</row>
    <row r="783" ht="11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</row>
    <row r="784" ht="11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</row>
    <row r="785" ht="11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</row>
    <row r="786" ht="11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</row>
    <row r="787" ht="11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</row>
    <row r="788" ht="11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</row>
    <row r="789" ht="11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</row>
    <row r="790" ht="11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</row>
    <row r="791" ht="11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</row>
    <row r="792" ht="11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</row>
    <row r="793" ht="11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</row>
    <row r="794" ht="11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</row>
    <row r="795" ht="11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</row>
    <row r="796" ht="11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</row>
    <row r="797" ht="11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</row>
    <row r="798" ht="11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</row>
    <row r="799" ht="11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</row>
    <row r="800" ht="11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</row>
    <row r="801" ht="11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</row>
    <row r="802" ht="11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</row>
    <row r="803" ht="11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</row>
    <row r="804" ht="11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</row>
    <row r="805" ht="11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</row>
    <row r="806" ht="11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</row>
    <row r="807" ht="11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</row>
    <row r="808" ht="11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</row>
    <row r="809" ht="11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</row>
    <row r="810" ht="11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</row>
    <row r="811" ht="11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</row>
    <row r="812" ht="11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</row>
    <row r="813" ht="11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</row>
    <row r="814" ht="11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</row>
    <row r="815" ht="11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</row>
    <row r="816" ht="11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</row>
    <row r="817" ht="11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</row>
    <row r="818" ht="11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</row>
    <row r="819" ht="11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</row>
    <row r="820" ht="11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</row>
    <row r="821" ht="11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</row>
    <row r="822" ht="11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</row>
    <row r="823" ht="11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</row>
    <row r="824" ht="11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</row>
    <row r="825" ht="11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</row>
    <row r="826" ht="11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</row>
    <row r="827" ht="11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</row>
    <row r="828" ht="11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</row>
    <row r="829" ht="11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</row>
    <row r="830" ht="11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</row>
    <row r="831" ht="11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</row>
    <row r="832" ht="11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</row>
    <row r="833" ht="11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</row>
    <row r="834" ht="11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</row>
    <row r="835" ht="11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</row>
    <row r="836" ht="11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</row>
    <row r="837" ht="11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</row>
    <row r="838" ht="11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</row>
    <row r="839" ht="11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</row>
    <row r="840" ht="11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</row>
    <row r="841" ht="11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</row>
    <row r="842" ht="11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</row>
    <row r="843" ht="11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</row>
    <row r="844" ht="11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</row>
    <row r="845" ht="11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</row>
    <row r="846" ht="11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</row>
    <row r="847" ht="11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</row>
    <row r="848" ht="11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</row>
    <row r="849" ht="11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</row>
    <row r="850" ht="11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</row>
    <row r="851" ht="11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</row>
    <row r="852" ht="11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</row>
    <row r="853" ht="11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</row>
    <row r="854" ht="11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</row>
    <row r="855" ht="11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</row>
    <row r="856" ht="11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</row>
    <row r="857" ht="11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</row>
    <row r="858" ht="11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</row>
    <row r="859" ht="11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</row>
    <row r="860" ht="11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</row>
    <row r="861" ht="11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</row>
    <row r="862" ht="11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</row>
    <row r="863" ht="11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</row>
    <row r="864" ht="11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</row>
    <row r="865" ht="11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</row>
    <row r="866" ht="11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</row>
    <row r="867" ht="11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</row>
    <row r="868" ht="11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</row>
    <row r="869" ht="11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</row>
    <row r="870" ht="11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</row>
    <row r="871" ht="11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</row>
    <row r="872" ht="11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</row>
    <row r="873" ht="11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</row>
    <row r="874" ht="11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</row>
    <row r="875" ht="11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</row>
    <row r="876" ht="11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</row>
    <row r="877" ht="11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</row>
    <row r="878" ht="11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</row>
    <row r="879" ht="11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</row>
    <row r="880" ht="11.2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</row>
    <row r="881" ht="11.2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</row>
    <row r="882" ht="11.2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</row>
    <row r="883" ht="11.2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</row>
    <row r="884" ht="11.2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</row>
    <row r="885" ht="11.2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</row>
    <row r="886" ht="11.2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</row>
    <row r="887" ht="11.2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</row>
    <row r="888" ht="11.2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</row>
    <row r="889" ht="11.2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</row>
    <row r="890" ht="11.2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</row>
    <row r="891" ht="11.2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</row>
    <row r="892" ht="11.2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</row>
    <row r="893" ht="11.2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</row>
    <row r="894" ht="11.2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</row>
    <row r="895" ht="11.2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</row>
    <row r="896" ht="11.2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</row>
    <row r="897" ht="11.2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</row>
    <row r="898" ht="11.2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</row>
    <row r="899" ht="11.2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</row>
    <row r="900" ht="11.2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</row>
    <row r="901" ht="11.2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</row>
    <row r="902" ht="11.2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</row>
    <row r="903" ht="11.2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</row>
    <row r="904" ht="11.2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</row>
    <row r="905" ht="11.2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</row>
    <row r="906" ht="11.2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</row>
    <row r="907" ht="11.2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</row>
    <row r="908" ht="11.2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</row>
    <row r="909" ht="11.2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</row>
    <row r="910" ht="11.2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</row>
    <row r="911" ht="11.2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</row>
    <row r="912" ht="11.2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</row>
    <row r="913" ht="11.2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</row>
    <row r="914" ht="11.2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</row>
    <row r="915" ht="11.2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</row>
    <row r="916" ht="11.2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</row>
    <row r="917" ht="11.2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</row>
    <row r="918" ht="11.2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</row>
    <row r="919" ht="11.2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</row>
    <row r="920" ht="11.2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</row>
    <row r="921" ht="11.2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</row>
    <row r="922" ht="11.2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</row>
    <row r="923" ht="11.2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</row>
    <row r="924" ht="11.2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</row>
    <row r="925" ht="11.2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</row>
    <row r="926" ht="11.2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</row>
    <row r="927" ht="11.2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</row>
    <row r="928" ht="11.2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</row>
    <row r="929" ht="11.2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</row>
    <row r="930" ht="11.2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</row>
    <row r="931" ht="11.2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</row>
    <row r="932" ht="11.2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</row>
    <row r="933" ht="11.2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</row>
    <row r="934" ht="11.2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</row>
    <row r="935" ht="11.2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</row>
    <row r="936" ht="11.2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</row>
    <row r="937" ht="11.2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</row>
    <row r="938" ht="11.2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</row>
    <row r="939" ht="11.2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</row>
    <row r="940" ht="11.2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</row>
    <row r="941" ht="11.2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</row>
    <row r="942" ht="11.2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</row>
    <row r="943" ht="11.2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</row>
    <row r="944" ht="11.2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</row>
    <row r="945" ht="11.2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</row>
    <row r="946" ht="11.2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</row>
    <row r="947" ht="11.2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</row>
    <row r="948" ht="11.2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</row>
    <row r="949" ht="11.2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</row>
    <row r="950" ht="11.2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</row>
    <row r="951" ht="11.2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</row>
    <row r="952" ht="11.2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</row>
    <row r="953" ht="11.2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</row>
    <row r="954" ht="11.2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</row>
    <row r="955" ht="11.2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</row>
    <row r="956" ht="11.2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</row>
    <row r="957" ht="11.2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</row>
    <row r="958" ht="11.2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</row>
    <row r="959" ht="11.2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</row>
    <row r="960" ht="11.2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</row>
    <row r="961" ht="11.2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</row>
    <row r="962" ht="11.2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</row>
    <row r="963" ht="11.2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</row>
    <row r="964" ht="11.2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</row>
    <row r="965" ht="11.2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</row>
    <row r="966" ht="11.2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</row>
    <row r="967" ht="11.2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</row>
    <row r="968" ht="11.2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</row>
    <row r="969" ht="11.2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</row>
    <row r="970" ht="11.2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</row>
    <row r="971" ht="11.2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</row>
    <row r="972" ht="11.2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</row>
    <row r="973" ht="11.2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</row>
    <row r="974" ht="11.2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</row>
    <row r="975" ht="11.2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</row>
    <row r="976" ht="11.2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</row>
    <row r="977" ht="11.2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</row>
    <row r="978" ht="11.2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</row>
    <row r="979" ht="11.2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</row>
    <row r="980" ht="11.2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</row>
    <row r="981" ht="11.2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</row>
    <row r="982" ht="11.2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</row>
    <row r="983" ht="11.2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</row>
    <row r="984" ht="11.2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</row>
    <row r="985" ht="11.2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</row>
    <row r="986" ht="11.2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</row>
    <row r="987" ht="11.2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</row>
    <row r="988" ht="11.2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</row>
    <row r="989" ht="11.2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</row>
    <row r="990" ht="11.2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</row>
    <row r="991" ht="11.2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</row>
    <row r="992" ht="11.2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</row>
    <row r="993" ht="11.2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</row>
    <row r="994" ht="11.2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</row>
    <row r="995" ht="11.2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</row>
    <row r="996" ht="11.2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</row>
    <row r="997" ht="11.2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</row>
    <row r="998" ht="11.2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</row>
    <row r="999" ht="11.2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</row>
    <row r="1000" ht="11.2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</row>
  </sheetData>
  <mergeCells count="424">
    <mergeCell ref="B47:G47"/>
    <mergeCell ref="H47:J47"/>
    <mergeCell ref="K47:M47"/>
    <mergeCell ref="N47:P47"/>
    <mergeCell ref="Q47:S47"/>
    <mergeCell ref="T47:V47"/>
    <mergeCell ref="W47:X47"/>
    <mergeCell ref="B48:G48"/>
    <mergeCell ref="H48:J48"/>
    <mergeCell ref="K48:M48"/>
    <mergeCell ref="N48:P48"/>
    <mergeCell ref="Q48:S48"/>
    <mergeCell ref="T48:V48"/>
    <mergeCell ref="W48:X48"/>
    <mergeCell ref="B49:G49"/>
    <mergeCell ref="H49:J49"/>
    <mergeCell ref="K49:M49"/>
    <mergeCell ref="N49:P49"/>
    <mergeCell ref="Q49:S49"/>
    <mergeCell ref="T49:V49"/>
    <mergeCell ref="W49:X49"/>
    <mergeCell ref="Z49:AB49"/>
    <mergeCell ref="AC49:AE49"/>
    <mergeCell ref="AF49:AH49"/>
    <mergeCell ref="AI49:AK49"/>
    <mergeCell ref="AC51:AE51"/>
    <mergeCell ref="AF51:AH51"/>
    <mergeCell ref="AI51:AK51"/>
    <mergeCell ref="AD57:AG57"/>
    <mergeCell ref="AH57:AJ57"/>
    <mergeCell ref="Z51:AB51"/>
    <mergeCell ref="Z52:AB52"/>
    <mergeCell ref="AC52:AE52"/>
    <mergeCell ref="AF52:AH52"/>
    <mergeCell ref="AI52:AK52"/>
    <mergeCell ref="R57:Y57"/>
    <mergeCell ref="Z57:AB57"/>
    <mergeCell ref="N60:P60"/>
    <mergeCell ref="Q60:S60"/>
    <mergeCell ref="T60:V60"/>
    <mergeCell ref="W60:Y60"/>
    <mergeCell ref="Z60:AB60"/>
    <mergeCell ref="AC60:AE60"/>
    <mergeCell ref="AF60:AH60"/>
    <mergeCell ref="AI60:AJ60"/>
    <mergeCell ref="R58:Y58"/>
    <mergeCell ref="Z58:AB58"/>
    <mergeCell ref="AD58:AG58"/>
    <mergeCell ref="AH58:AJ58"/>
    <mergeCell ref="B60:G60"/>
    <mergeCell ref="H60:J60"/>
    <mergeCell ref="K60:M60"/>
    <mergeCell ref="AA61:AB61"/>
    <mergeCell ref="AD61:AE61"/>
    <mergeCell ref="AG61:AH61"/>
    <mergeCell ref="AI61:AJ61"/>
    <mergeCell ref="AA62:AB62"/>
    <mergeCell ref="AD62:AE62"/>
    <mergeCell ref="AG62:AH62"/>
    <mergeCell ref="AI62:AJ62"/>
    <mergeCell ref="I61:J61"/>
    <mergeCell ref="I62:J62"/>
    <mergeCell ref="O61:P61"/>
    <mergeCell ref="O62:P62"/>
    <mergeCell ref="U61:V61"/>
    <mergeCell ref="U62:V62"/>
    <mergeCell ref="U63:V63"/>
    <mergeCell ref="X63:Y63"/>
    <mergeCell ref="AA63:AB63"/>
    <mergeCell ref="AD63:AE63"/>
    <mergeCell ref="AG63:AH63"/>
    <mergeCell ref="AI63:AJ63"/>
    <mergeCell ref="B61:G61"/>
    <mergeCell ref="L61:M61"/>
    <mergeCell ref="R61:S61"/>
    <mergeCell ref="X61:Y61"/>
    <mergeCell ref="L62:M62"/>
    <mergeCell ref="R62:S62"/>
    <mergeCell ref="X62:Y62"/>
    <mergeCell ref="L63:M63"/>
    <mergeCell ref="L64:M64"/>
    <mergeCell ref="R63:S63"/>
    <mergeCell ref="R64:S64"/>
    <mergeCell ref="U64:V64"/>
    <mergeCell ref="X64:Y64"/>
    <mergeCell ref="AA64:AB64"/>
    <mergeCell ref="AD64:AE64"/>
    <mergeCell ref="AG64:AH64"/>
    <mergeCell ref="AI64:AJ64"/>
    <mergeCell ref="AG65:AH65"/>
    <mergeCell ref="AI65:AJ65"/>
    <mergeCell ref="O64:P64"/>
    <mergeCell ref="O65:P65"/>
    <mergeCell ref="R65:S65"/>
    <mergeCell ref="U65:V65"/>
    <mergeCell ref="X65:Y65"/>
    <mergeCell ref="AA65:AB65"/>
    <mergeCell ref="AD65:AE65"/>
    <mergeCell ref="AA66:AB66"/>
    <mergeCell ref="AD66:AE66"/>
    <mergeCell ref="AG66:AH66"/>
    <mergeCell ref="AI66:AJ66"/>
    <mergeCell ref="B66:G66"/>
    <mergeCell ref="I66:J66"/>
    <mergeCell ref="L66:M66"/>
    <mergeCell ref="O66:P66"/>
    <mergeCell ref="R66:S66"/>
    <mergeCell ref="U66:V66"/>
    <mergeCell ref="X66:Y66"/>
    <mergeCell ref="B62:G62"/>
    <mergeCell ref="B63:G63"/>
    <mergeCell ref="I63:J63"/>
    <mergeCell ref="O63:P63"/>
    <mergeCell ref="B64:G64"/>
    <mergeCell ref="B65:G65"/>
    <mergeCell ref="L65:M65"/>
    <mergeCell ref="T69:V69"/>
    <mergeCell ref="W69:Y69"/>
    <mergeCell ref="Z69:AB69"/>
    <mergeCell ref="AC69:AE69"/>
    <mergeCell ref="AF69:AH69"/>
    <mergeCell ref="AI69:AJ69"/>
    <mergeCell ref="I64:J64"/>
    <mergeCell ref="I65:J65"/>
    <mergeCell ref="B69:G69"/>
    <mergeCell ref="H69:J69"/>
    <mergeCell ref="K69:M69"/>
    <mergeCell ref="N69:P69"/>
    <mergeCell ref="Q69:S69"/>
    <mergeCell ref="AA70:AB70"/>
    <mergeCell ref="AD70:AE70"/>
    <mergeCell ref="AG70:AH70"/>
    <mergeCell ref="AI70:AJ70"/>
    <mergeCell ref="I70:J70"/>
    <mergeCell ref="I71:J71"/>
    <mergeCell ref="O70:P70"/>
    <mergeCell ref="O71:P71"/>
    <mergeCell ref="X71:Y71"/>
    <mergeCell ref="AA71:AB71"/>
    <mergeCell ref="AD71:AE71"/>
    <mergeCell ref="AG71:AH71"/>
    <mergeCell ref="AI71:AJ71"/>
    <mergeCell ref="B70:G70"/>
    <mergeCell ref="L70:M70"/>
    <mergeCell ref="R70:S70"/>
    <mergeCell ref="X70:Y70"/>
    <mergeCell ref="B71:G71"/>
    <mergeCell ref="L71:M71"/>
    <mergeCell ref="R71:S71"/>
    <mergeCell ref="AD72:AE72"/>
    <mergeCell ref="AG72:AH72"/>
    <mergeCell ref="AI72:AJ72"/>
    <mergeCell ref="I72:J72"/>
    <mergeCell ref="I73:J73"/>
    <mergeCell ref="B74:G74"/>
    <mergeCell ref="I74:J74"/>
    <mergeCell ref="L74:M74"/>
    <mergeCell ref="B75:G75"/>
    <mergeCell ref="I75:J75"/>
    <mergeCell ref="L75:M75"/>
    <mergeCell ref="O72:P72"/>
    <mergeCell ref="O73:P73"/>
    <mergeCell ref="O74:P74"/>
    <mergeCell ref="O75:P75"/>
    <mergeCell ref="R75:S75"/>
    <mergeCell ref="AA72:AB72"/>
    <mergeCell ref="AA73:AB73"/>
    <mergeCell ref="AD73:AE73"/>
    <mergeCell ref="AG73:AH73"/>
    <mergeCell ref="AI73:AJ73"/>
    <mergeCell ref="B72:G72"/>
    <mergeCell ref="L72:M72"/>
    <mergeCell ref="R72:S72"/>
    <mergeCell ref="X72:Y72"/>
    <mergeCell ref="B73:G73"/>
    <mergeCell ref="L73:M73"/>
    <mergeCell ref="X73:Y73"/>
    <mergeCell ref="AG75:AH75"/>
    <mergeCell ref="AI75:AJ75"/>
    <mergeCell ref="U70:V70"/>
    <mergeCell ref="U71:V71"/>
    <mergeCell ref="U72:V72"/>
    <mergeCell ref="U75:V75"/>
    <mergeCell ref="X75:Y75"/>
    <mergeCell ref="AA75:AB75"/>
    <mergeCell ref="AD75:AE75"/>
    <mergeCell ref="AG74:AH74"/>
    <mergeCell ref="AI74:AJ74"/>
    <mergeCell ref="R73:S73"/>
    <mergeCell ref="U73:V73"/>
    <mergeCell ref="R74:S74"/>
    <mergeCell ref="U74:V74"/>
    <mergeCell ref="X74:Y74"/>
    <mergeCell ref="AA74:AB74"/>
    <mergeCell ref="AD74:AE74"/>
    <mergeCell ref="V77:Y77"/>
    <mergeCell ref="Z77:AA77"/>
    <mergeCell ref="P78:U78"/>
    <mergeCell ref="W78:Y78"/>
    <mergeCell ref="Z78:AA78"/>
    <mergeCell ref="AC78:AG78"/>
    <mergeCell ref="AH78:AJ78"/>
    <mergeCell ref="H82:J82"/>
    <mergeCell ref="K82:M82"/>
    <mergeCell ref="N82:P82"/>
    <mergeCell ref="Q82:R82"/>
    <mergeCell ref="T82:V82"/>
    <mergeCell ref="AC82:AF82"/>
    <mergeCell ref="AG82:AJ82"/>
    <mergeCell ref="AC83:AF83"/>
    <mergeCell ref="AG83:AJ83"/>
    <mergeCell ref="B82:G82"/>
    <mergeCell ref="B83:G83"/>
    <mergeCell ref="H83:J83"/>
    <mergeCell ref="K83:M83"/>
    <mergeCell ref="N83:P83"/>
    <mergeCell ref="Q83:R83"/>
    <mergeCell ref="T83:V83"/>
    <mergeCell ref="N85:P85"/>
    <mergeCell ref="Q85:R85"/>
    <mergeCell ref="W94:AB94"/>
    <mergeCell ref="B97:AL106"/>
    <mergeCell ref="C93:J93"/>
    <mergeCell ref="K93:Q93"/>
    <mergeCell ref="R93:V93"/>
    <mergeCell ref="W93:AB93"/>
    <mergeCell ref="AG93:AJ93"/>
    <mergeCell ref="H94:J94"/>
    <mergeCell ref="AG94:AJ94"/>
    <mergeCell ref="B84:G84"/>
    <mergeCell ref="H84:J84"/>
    <mergeCell ref="K84:M84"/>
    <mergeCell ref="N84:P84"/>
    <mergeCell ref="Q84:R84"/>
    <mergeCell ref="T84:V84"/>
    <mergeCell ref="B85:G85"/>
    <mergeCell ref="T85:V85"/>
    <mergeCell ref="H85:J85"/>
    <mergeCell ref="K85:M85"/>
    <mergeCell ref="H86:J86"/>
    <mergeCell ref="K86:M86"/>
    <mergeCell ref="N86:P86"/>
    <mergeCell ref="Q86:R86"/>
    <mergeCell ref="T86:V86"/>
    <mergeCell ref="B86:G86"/>
    <mergeCell ref="B87:G87"/>
    <mergeCell ref="H87:J87"/>
    <mergeCell ref="K87:M87"/>
    <mergeCell ref="N87:P87"/>
    <mergeCell ref="Q87:R87"/>
    <mergeCell ref="T87:V87"/>
    <mergeCell ref="K92:Q92"/>
    <mergeCell ref="R92:V92"/>
    <mergeCell ref="W92:AB92"/>
    <mergeCell ref="AD92:AF92"/>
    <mergeCell ref="AG92:AJ92"/>
    <mergeCell ref="B88:G88"/>
    <mergeCell ref="H88:J88"/>
    <mergeCell ref="K88:M88"/>
    <mergeCell ref="N88:P88"/>
    <mergeCell ref="Q88:R88"/>
    <mergeCell ref="T88:V88"/>
    <mergeCell ref="C92:J92"/>
    <mergeCell ref="K94:Q94"/>
    <mergeCell ref="R94:V94"/>
    <mergeCell ref="AD93:AF93"/>
    <mergeCell ref="AD94:AF94"/>
    <mergeCell ref="A1:AM1"/>
    <mergeCell ref="A2:E2"/>
    <mergeCell ref="F2:X2"/>
    <mergeCell ref="AE2:AH2"/>
    <mergeCell ref="AJ2:AL4"/>
    <mergeCell ref="F3:X3"/>
    <mergeCell ref="AE3:AH3"/>
    <mergeCell ref="F4:X4"/>
    <mergeCell ref="A3:E3"/>
    <mergeCell ref="A4:E4"/>
    <mergeCell ref="F5:I5"/>
    <mergeCell ref="K5:L5"/>
    <mergeCell ref="M5:N5"/>
    <mergeCell ref="P5:Q5"/>
    <mergeCell ref="S5:V5"/>
    <mergeCell ref="F6:X6"/>
    <mergeCell ref="A5:E5"/>
    <mergeCell ref="A6:E6"/>
    <mergeCell ref="G9:K9"/>
    <mergeCell ref="L9:T9"/>
    <mergeCell ref="V9:AA9"/>
    <mergeCell ref="L10:T10"/>
    <mergeCell ref="V10:AA10"/>
    <mergeCell ref="AB10:AJ10"/>
    <mergeCell ref="AB11:AJ11"/>
    <mergeCell ref="AB12:AJ12"/>
    <mergeCell ref="AH17:AL17"/>
    <mergeCell ref="Z2:AD2"/>
    <mergeCell ref="Z3:AD3"/>
    <mergeCell ref="Z5:AD5"/>
    <mergeCell ref="AE5:AL5"/>
    <mergeCell ref="Z6:AD6"/>
    <mergeCell ref="AE6:AL6"/>
    <mergeCell ref="AB9:AJ9"/>
    <mergeCell ref="G13:K13"/>
    <mergeCell ref="L13:T13"/>
    <mergeCell ref="V13:AA13"/>
    <mergeCell ref="AB13:AJ13"/>
    <mergeCell ref="G10:K10"/>
    <mergeCell ref="G11:K11"/>
    <mergeCell ref="L11:T11"/>
    <mergeCell ref="V11:AA11"/>
    <mergeCell ref="G12:K12"/>
    <mergeCell ref="L12:T12"/>
    <mergeCell ref="V12:AA12"/>
    <mergeCell ref="F29:AG29"/>
    <mergeCell ref="AH29:AL29"/>
    <mergeCell ref="B27:E27"/>
    <mergeCell ref="F27:AG27"/>
    <mergeCell ref="AH27:AL27"/>
    <mergeCell ref="B28:E28"/>
    <mergeCell ref="F28:AG28"/>
    <mergeCell ref="AH28:AL28"/>
    <mergeCell ref="B29:E29"/>
    <mergeCell ref="F32:AG32"/>
    <mergeCell ref="AH32:AL32"/>
    <mergeCell ref="B30:E30"/>
    <mergeCell ref="F30:AG30"/>
    <mergeCell ref="AH30:AL30"/>
    <mergeCell ref="B31:E31"/>
    <mergeCell ref="F31:AG31"/>
    <mergeCell ref="AH31:AL31"/>
    <mergeCell ref="B32:E32"/>
    <mergeCell ref="F35:AG35"/>
    <mergeCell ref="AH35:AL35"/>
    <mergeCell ref="B33:E33"/>
    <mergeCell ref="F33:AG33"/>
    <mergeCell ref="AH33:AL33"/>
    <mergeCell ref="B34:E34"/>
    <mergeCell ref="F34:AG34"/>
    <mergeCell ref="AH34:AL34"/>
    <mergeCell ref="B35:E35"/>
    <mergeCell ref="AC42:AE43"/>
    <mergeCell ref="AF42:AH43"/>
    <mergeCell ref="AI42:AK43"/>
    <mergeCell ref="K43:M43"/>
    <mergeCell ref="N43:P43"/>
    <mergeCell ref="Q43:S43"/>
    <mergeCell ref="T43:V43"/>
    <mergeCell ref="W43:X43"/>
    <mergeCell ref="B36:E36"/>
    <mergeCell ref="F36:AG36"/>
    <mergeCell ref="AH36:AL36"/>
    <mergeCell ref="B37:E37"/>
    <mergeCell ref="F37:AG37"/>
    <mergeCell ref="AH37:AL37"/>
    <mergeCell ref="B42:X42"/>
    <mergeCell ref="F20:AG20"/>
    <mergeCell ref="AH20:AL20"/>
    <mergeCell ref="B18:E18"/>
    <mergeCell ref="F18:AG18"/>
    <mergeCell ref="AH18:AL18"/>
    <mergeCell ref="B19:E19"/>
    <mergeCell ref="F19:AG19"/>
    <mergeCell ref="AH19:AL19"/>
    <mergeCell ref="B20:E20"/>
    <mergeCell ref="F23:AG23"/>
    <mergeCell ref="AH23:AL23"/>
    <mergeCell ref="B21:E21"/>
    <mergeCell ref="F21:AG21"/>
    <mergeCell ref="AH21:AL21"/>
    <mergeCell ref="B22:E22"/>
    <mergeCell ref="F22:AG22"/>
    <mergeCell ref="AH22:AL22"/>
    <mergeCell ref="B23:E23"/>
    <mergeCell ref="F26:AG26"/>
    <mergeCell ref="AH26:AL26"/>
    <mergeCell ref="B24:E24"/>
    <mergeCell ref="F24:AG24"/>
    <mergeCell ref="AH24:AL24"/>
    <mergeCell ref="B25:E25"/>
    <mergeCell ref="F25:AG25"/>
    <mergeCell ref="AH25:AL25"/>
    <mergeCell ref="B26:E26"/>
    <mergeCell ref="T44:V44"/>
    <mergeCell ref="W44:X44"/>
    <mergeCell ref="Z44:AB44"/>
    <mergeCell ref="AC44:AE44"/>
    <mergeCell ref="AF44:AH44"/>
    <mergeCell ref="AI44:AK44"/>
    <mergeCell ref="B43:G43"/>
    <mergeCell ref="H43:J43"/>
    <mergeCell ref="B44:G44"/>
    <mergeCell ref="H44:J44"/>
    <mergeCell ref="K44:M44"/>
    <mergeCell ref="N44:P44"/>
    <mergeCell ref="Q44:S44"/>
    <mergeCell ref="Z45:AB45"/>
    <mergeCell ref="AC45:AE45"/>
    <mergeCell ref="AF45:AH45"/>
    <mergeCell ref="AI45:AK45"/>
    <mergeCell ref="B45:G45"/>
    <mergeCell ref="H45:J45"/>
    <mergeCell ref="K45:M45"/>
    <mergeCell ref="N45:P45"/>
    <mergeCell ref="Q45:S45"/>
    <mergeCell ref="T45:V45"/>
    <mergeCell ref="W45:X45"/>
    <mergeCell ref="Z46:AB46"/>
    <mergeCell ref="AC46:AE46"/>
    <mergeCell ref="AF46:AH46"/>
    <mergeCell ref="AI46:AK46"/>
    <mergeCell ref="B46:G46"/>
    <mergeCell ref="H46:J46"/>
    <mergeCell ref="K46:M46"/>
    <mergeCell ref="N46:P46"/>
    <mergeCell ref="Q46:S46"/>
    <mergeCell ref="T46:V46"/>
    <mergeCell ref="W46:X46"/>
    <mergeCell ref="Z47:AB47"/>
    <mergeCell ref="AC47:AE47"/>
    <mergeCell ref="AF47:AH47"/>
    <mergeCell ref="AI47:AK47"/>
    <mergeCell ref="Z48:AB48"/>
    <mergeCell ref="AC48:AE48"/>
    <mergeCell ref="AF48:AH48"/>
    <mergeCell ref="AI48:AK48"/>
  </mergeCells>
  <conditionalFormatting sqref="T83:T88">
    <cfRule type="cellIs" dxfId="0" priority="1" operator="equal">
      <formula>"LIMITED SERVICE"</formula>
    </cfRule>
  </conditionalFormatting>
  <conditionalFormatting sqref="T83:T88">
    <cfRule type="cellIs" dxfId="1" priority="2" operator="equal">
      <formula>"FAIL"</formula>
    </cfRule>
  </conditionalFormatting>
  <conditionalFormatting sqref="T83:T88">
    <cfRule type="cellIs" dxfId="2" priority="3" operator="equal">
      <formula>"PASS"</formula>
    </cfRule>
  </conditionalFormatting>
  <conditionalFormatting sqref="T83:T88">
    <cfRule type="cellIs" dxfId="2" priority="4" operator="equal">
      <formula>"""PASS"""</formula>
    </cfRule>
  </conditionalFormatting>
  <conditionalFormatting sqref="T83:V88">
    <cfRule type="expression" dxfId="3" priority="5">
      <formula>($AJ$42="No")</formula>
    </cfRule>
  </conditionalFormatting>
  <conditionalFormatting sqref="AF44:AF49">
    <cfRule type="expression" dxfId="3" priority="6">
      <formula>($AJ$42="No")</formula>
    </cfRule>
  </conditionalFormatting>
  <conditionalFormatting sqref="AF51:AF52">
    <cfRule type="expression" dxfId="3" priority="7">
      <formula>($AJ$42="No")</formula>
    </cfRule>
  </conditionalFormatting>
  <conditionalFormatting sqref="AH78">
    <cfRule type="cellIs" dxfId="0" priority="8" operator="equal">
      <formula>"LIMITED SERVICE"</formula>
    </cfRule>
  </conditionalFormatting>
  <conditionalFormatting sqref="AH78">
    <cfRule type="cellIs" dxfId="1" priority="9" operator="equal">
      <formula>"FAIL"</formula>
    </cfRule>
  </conditionalFormatting>
  <conditionalFormatting sqref="AH78">
    <cfRule type="cellIs" dxfId="2" priority="10" operator="equal">
      <formula>"PASS"</formula>
    </cfRule>
  </conditionalFormatting>
  <conditionalFormatting sqref="AH78">
    <cfRule type="cellIs" dxfId="2" priority="11" operator="equal">
      <formula>"""PASS"""</formula>
    </cfRule>
  </conditionalFormatting>
  <conditionalFormatting sqref="AH78:AJ78">
    <cfRule type="expression" dxfId="3" priority="12">
      <formula>($AJ$42="No")</formula>
    </cfRule>
  </conditionalFormatting>
  <conditionalFormatting sqref="AI44:AI49">
    <cfRule type="cellIs" dxfId="0" priority="13" operator="equal">
      <formula>"LIMITED SERVICE"</formula>
    </cfRule>
  </conditionalFormatting>
  <conditionalFormatting sqref="AI44:AI49">
    <cfRule type="cellIs" dxfId="1" priority="14" operator="equal">
      <formula>"FAIL"</formula>
    </cfRule>
  </conditionalFormatting>
  <conditionalFormatting sqref="AI44:AI49">
    <cfRule type="cellIs" dxfId="2" priority="15" operator="equal">
      <formula>"PASS"</formula>
    </cfRule>
  </conditionalFormatting>
  <conditionalFormatting sqref="AI44:AI49">
    <cfRule type="cellIs" dxfId="2" priority="16" operator="equal">
      <formula>"""PASS"""</formula>
    </cfRule>
  </conditionalFormatting>
  <conditionalFormatting sqref="AI51:AI52">
    <cfRule type="cellIs" dxfId="0" priority="17" operator="equal">
      <formula>"LIMITED SERVICE"</formula>
    </cfRule>
  </conditionalFormatting>
  <conditionalFormatting sqref="AI51:AI52">
    <cfRule type="cellIs" dxfId="1" priority="18" operator="equal">
      <formula>"FAIL"</formula>
    </cfRule>
  </conditionalFormatting>
  <conditionalFormatting sqref="AI51:AI52">
    <cfRule type="cellIs" dxfId="2" priority="19" operator="equal">
      <formula>"PASS"</formula>
    </cfRule>
  </conditionalFormatting>
  <conditionalFormatting sqref="AI51:AI52">
    <cfRule type="cellIs" dxfId="2" priority="20" operator="equal">
      <formula>"""PASS"""</formula>
    </cfRule>
  </conditionalFormatting>
  <conditionalFormatting sqref="AI44:AK49">
    <cfRule type="expression" dxfId="3" priority="21">
      <formula>($AJ$42="No")</formula>
    </cfRule>
  </conditionalFormatting>
  <conditionalFormatting sqref="AI51:AK52">
    <cfRule type="expression" dxfId="3" priority="22">
      <formula>($AJ$42="No")</formula>
    </cfRule>
  </conditionalFormatting>
  <conditionalFormatting sqref="AJ2">
    <cfRule type="cellIs" dxfId="0" priority="23" operator="equal">
      <formula>"LIMITED SERVICE"</formula>
    </cfRule>
  </conditionalFormatting>
  <conditionalFormatting sqref="AJ2">
    <cfRule type="cellIs" dxfId="1" priority="24" operator="equal">
      <formula>"FAIL"</formula>
    </cfRule>
  </conditionalFormatting>
  <conditionalFormatting sqref="AJ2">
    <cfRule type="cellIs" dxfId="2" priority="25" operator="equal">
      <formula>"PASS"</formula>
    </cfRule>
  </conditionalFormatting>
  <conditionalFormatting sqref="AJ2">
    <cfRule type="cellIs" dxfId="2" priority="26" operator="equal">
      <formula>"""PASS"""</formula>
    </cfRule>
  </conditionalFormatting>
  <dataValidations>
    <dataValidation type="list" allowBlank="1" showErrorMessage="1" sqref="AF44:AF49 AF51:AF52">
      <formula1>"&lt;50%,N/A"</formula1>
    </dataValidation>
    <dataValidation type="list" allowBlank="1" showErrorMessage="1" sqref="Z78">
      <formula1>"MΩ,GΩ"</formula1>
    </dataValidation>
    <dataValidation type="list" allowBlank="1" showErrorMessage="1" sqref="AG82">
      <formula1>"1.6 kVAC,2.2 kVAC,14 kVAC,27 kVAC,37 kVAC,45 kVAC,60 kVAC,120 kVAC,2.3 kVDC,3.1 kVDC,20 kVDC,37.5 kVDC"</formula1>
    </dataValidation>
    <dataValidation type="list" allowBlank="1" showErrorMessage="1" sqref="H61:H66 K61:K66 N61:N66 Q61:Q66 T61:T66 W61:W66 Z61:Z66 AC61:AC66 AF61:AF66">
      <formula1>"&gt;,&lt;"</formula1>
    </dataValidation>
    <dataValidation type="list" allowBlank="1" showErrorMessage="1" sqref="AH57">
      <formula1>"250V,500V,1000V,2500V,5000V"</formula1>
    </dataValidation>
    <dataValidation type="list" allowBlank="1" showErrorMessage="1" sqref="Q83:Q88">
      <formula1>"μA,mA"</formula1>
    </dataValidation>
    <dataValidation type="list" allowBlank="1" showInputMessage="1" prompt="Used in Formula - Please put a NUMBER here as it is used in formulas for the sheet" sqref="AB9">
      <formula1>"250,480,600,1000,2500,5000,8000,15000,25000,34500,46000"</formula1>
    </dataValidation>
    <dataValidation type="list" allowBlank="1" showErrorMessage="1" sqref="AH78 T83:T88">
      <formula1>"N/A,PASS,FAIL"</formula1>
    </dataValidation>
    <dataValidation type="list" allowBlank="1" showErrorMessage="1" sqref="AI61:AI66">
      <formula1>"kΩ,MΩ,GΩ"</formula1>
    </dataValidation>
    <dataValidation type="list" allowBlank="1" showErrorMessage="1" sqref="AJ2">
      <formula1>"PASS,FAIL,LIMITED SERVICE"</formula1>
    </dataValidation>
    <dataValidation type="list" allowBlank="1" showErrorMessage="1" sqref="W44:W49">
      <formula1>"µΩ,mΩ,Ω"</formula1>
    </dataValidation>
    <dataValidation type="list" allowBlank="1" showErrorMessage="1" sqref="AM2:AM4">
      <formula1>#REF!</formula1>
    </dataValidation>
    <dataValidation type="list" allowBlank="1" sqref="AH18:AH37 AH38:AL38">
      <formula1>"Satisfactory,Unsatisfactory,Cleaned,See Comments,Not Applicable,By Others"</formula1>
    </dataValidation>
  </dataValidations>
  <printOptions horizontalCentered="1"/>
  <pageMargins bottom="0.5" footer="0.0" header="0.0" left="0.5" right="0.5" top="1.0"/>
  <pageSetup fitToHeight="0" orientation="portrait"/>
  <headerFooter>
    <oddHeader>&amp;L                   &amp;CSwitchgear and Switchboard Assemblies  Inspection and Test Report&amp;R000000 ATS 7.1.1 2025 Edition        </oddHeader>
    <oddFooter>&amp;L00-041AMPQES.COM&amp;CSheet &amp;P of &amp;R 00-041256-513-8255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2009-06-02T15:38:13Z</dcterms:created>
  <dc:creator>Brian Rodgers</dc:creator>
</cp:coreProperties>
</file>
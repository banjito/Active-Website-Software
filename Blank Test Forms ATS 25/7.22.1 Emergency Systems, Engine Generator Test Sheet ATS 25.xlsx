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Shared drives\AMP ALL\Client Files\04. Blank Test Reports\Blank Test Forms ATS 25\"/>
    </mc:Choice>
  </mc:AlternateContent>
  <xr:revisionPtr revIDLastSave="0" documentId="13_ncr:1_{8142939C-5392-4F4F-849F-CC6D944CBE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st Sheet" sheetId="1" r:id="rId1"/>
  </sheets>
  <definedNames>
    <definedName name="_xlnm.Print_Area" localSheetId="0">'Test Sheet'!$A$1:$AM$62</definedName>
  </definedNames>
  <calcPr calcId="191029"/>
  <fileRecoveryPr autoRecover="0"/>
</workbook>
</file>

<file path=xl/calcChain.xml><?xml version="1.0" encoding="utf-8"?>
<calcChain xmlns="http://schemas.openxmlformats.org/spreadsheetml/2006/main">
  <c r="AG31" i="1" l="1"/>
  <c r="AA36" i="1" s="1"/>
  <c r="AD31" i="1"/>
  <c r="AA31" i="1"/>
  <c r="AA35" i="1" s="1"/>
  <c r="AG30" i="1"/>
  <c r="AD30" i="1"/>
  <c r="AA30" i="1"/>
  <c r="W35" i="1" s="1"/>
  <c r="AG29" i="1"/>
  <c r="AD29" i="1"/>
  <c r="S36" i="1" s="1"/>
  <c r="AA29" i="1"/>
  <c r="S35" i="1" s="1"/>
  <c r="AG32" i="1"/>
  <c r="AD32" i="1"/>
  <c r="AA32" i="1"/>
  <c r="AE35" i="1" s="1"/>
  <c r="M26" i="1"/>
  <c r="W36" i="1" l="1"/>
  <c r="AE36" i="1"/>
  <c r="P5" i="1" l="1"/>
</calcChain>
</file>

<file path=xl/sharedStrings.xml><?xml version="1.0" encoding="utf-8"?>
<sst xmlns="http://schemas.openxmlformats.org/spreadsheetml/2006/main" count="80" uniqueCount="78">
  <si>
    <t>Customer</t>
  </si>
  <si>
    <t>Address</t>
  </si>
  <si>
    <t>Technicians</t>
  </si>
  <si>
    <t>User</t>
  </si>
  <si>
    <t>Date</t>
  </si>
  <si>
    <t>Temp.</t>
  </si>
  <si>
    <t>°C</t>
  </si>
  <si>
    <t>Humidity</t>
  </si>
  <si>
    <t>%</t>
  </si>
  <si>
    <t>Eqpt. Location</t>
  </si>
  <si>
    <t>Manufacturer</t>
  </si>
  <si>
    <t>Serial Number</t>
  </si>
  <si>
    <t>Comments:</t>
  </si>
  <si>
    <t>Job #</t>
  </si>
  <si>
    <t>°F</t>
  </si>
  <si>
    <t>Visual and Mechanical Inspection</t>
  </si>
  <si>
    <t>PASS</t>
  </si>
  <si>
    <t>Units</t>
  </si>
  <si>
    <t>Substation</t>
  </si>
  <si>
    <t>Identifier</t>
  </si>
  <si>
    <t>Test Equipment Used</t>
  </si>
  <si>
    <t>AMP ID:</t>
  </si>
  <si>
    <t>Megohmmeter:</t>
  </si>
  <si>
    <t>Serial Number:</t>
  </si>
  <si>
    <t>Nameplate Data</t>
  </si>
  <si>
    <t>Results</t>
  </si>
  <si>
    <t>NETA Section</t>
  </si>
  <si>
    <t>/</t>
  </si>
  <si>
    <t>Inspect physical and mechanical condition.</t>
  </si>
  <si>
    <t>Inspect anchorage, alignment, and grounding.</t>
  </si>
  <si>
    <t>Winding Under Test</t>
  </si>
  <si>
    <t>1 Min.</t>
  </si>
  <si>
    <t>Voltages (V)</t>
  </si>
  <si>
    <t>Compare equipment nameplate data with drawings.</t>
  </si>
  <si>
    <t>Electrical - Insulation Resistance Tests</t>
  </si>
  <si>
    <t>Temperature Corrected Values</t>
  </si>
  <si>
    <t>Test Voltage</t>
  </si>
  <si>
    <t>10 Min.</t>
  </si>
  <si>
    <t>Power Factor</t>
  </si>
  <si>
    <t>Rated KVA</t>
  </si>
  <si>
    <t>Rated kW</t>
  </si>
  <si>
    <t>Frequency (Hz)</t>
  </si>
  <si>
    <t>Cat./Model No.</t>
  </si>
  <si>
    <t>Current Rating (A)</t>
  </si>
  <si>
    <t xml:space="preserve">RPM </t>
  </si>
  <si>
    <t>HP</t>
  </si>
  <si>
    <t>Connections</t>
  </si>
  <si>
    <t>Verify the unit is clean.</t>
  </si>
  <si>
    <t>7.22.1.A.1</t>
  </si>
  <si>
    <t>7.22.1.A.2</t>
  </si>
  <si>
    <t>7.22.1.A.3</t>
  </si>
  <si>
    <t>7.22.1.A.4</t>
  </si>
  <si>
    <t>Year Mfd.</t>
  </si>
  <si>
    <t>Dielectric Absorption</t>
  </si>
  <si>
    <t>Polarization Index</t>
  </si>
  <si>
    <t>Insulation Type:</t>
  </si>
  <si>
    <t>Thermosetting</t>
  </si>
  <si>
    <t>Test method:</t>
  </si>
  <si>
    <t>Single test from all phases to ground</t>
  </si>
  <si>
    <t>Insulation Temperature (°C):</t>
  </si>
  <si>
    <t>Temperature Correction Factor to 40°C :</t>
  </si>
  <si>
    <t>Measured Values</t>
  </si>
  <si>
    <t>30 Sec.</t>
  </si>
  <si>
    <t>30. Sec.</t>
  </si>
  <si>
    <t>A-Phase to Ground, B- &amp; C-phases Grounded</t>
  </si>
  <si>
    <t>B-Phase to Ground, A- &amp; C-phases Grounded</t>
  </si>
  <si>
    <t>C-Phase to Ground, A- &amp; B-phases Grounded</t>
  </si>
  <si>
    <t>A-, B-, &amp; C-Phase (shorted) to Ground</t>
  </si>
  <si>
    <t>Calculated as:</t>
  </si>
  <si>
    <t>A Phase</t>
  </si>
  <si>
    <t>B Phase</t>
  </si>
  <si>
    <t>C Phase</t>
  </si>
  <si>
    <t>Phases to Gnd</t>
  </si>
  <si>
    <t>Result</t>
  </si>
  <si>
    <t>Ratio of 1 Min. to 30 Sec. Results</t>
  </si>
  <si>
    <t>Ratio of 10 Min. to 1 Min. Results</t>
  </si>
  <si>
    <t xml:space="preserve">Compare temperature corrected values to IEEE-43 &amp; NETA minimum insulation resistances:  </t>
  </si>
  <si>
    <t>Cal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</si>
</sst>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0"/>
      <color rgb="FF351D13"/>
      <name val="Calibri"/>
      <family val="2"/>
      <scheme val="minor"/>
    </font>
    <font>
      <b/>
      <sz val="10"/>
      <color rgb="FF663300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/>
      <top/>
      <bottom style="medium">
        <color rgb="FFDAB56C"/>
      </bottom>
      <diagonal/>
    </border>
    <border>
      <left/>
      <right/>
      <top style="medium">
        <color rgb="FFDAB56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6" fillId="2" borderId="8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6" fillId="0" borderId="0" xfId="0" applyFont="1"/>
    <xf numFmtId="0" fontId="3" fillId="2" borderId="9" xfId="0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9" fillId="2" borderId="10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 applyProtection="1">
      <alignment vertical="top" wrapText="1"/>
      <protection locked="0"/>
    </xf>
    <xf numFmtId="0" fontId="6" fillId="2" borderId="9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vertical="center" wrapText="1"/>
    </xf>
    <xf numFmtId="0" fontId="11" fillId="3" borderId="9" xfId="0" applyFont="1" applyFill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/>
    <xf numFmtId="0" fontId="6" fillId="2" borderId="5" xfId="0" applyFont="1" applyFill="1" applyBorder="1" applyAlignment="1">
      <alignment horizontal="left" vertic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13" xfId="0" applyFont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right" vertical="center"/>
    </xf>
    <xf numFmtId="0" fontId="6" fillId="2" borderId="3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164" fontId="6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vertical="center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 applyProtection="1">
      <protection locked="0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2" fontId="6" fillId="0" borderId="0" xfId="0" applyNumberFormat="1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2" borderId="5" xfId="0" applyFont="1" applyFill="1" applyBorder="1" applyAlignment="1" applyProtection="1">
      <alignment vertical="center"/>
      <protection locked="0"/>
    </xf>
    <xf numFmtId="0" fontId="13" fillId="3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14" fillId="3" borderId="0" xfId="0" applyFont="1" applyFill="1" applyAlignment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6" fillId="0" borderId="1" xfId="0" applyFont="1" applyBorder="1" applyAlignment="1">
      <alignment horizontal="center" wrapText="1"/>
    </xf>
    <xf numFmtId="2" fontId="6" fillId="0" borderId="3" xfId="0" applyNumberFormat="1" applyFont="1" applyBorder="1" applyAlignment="1">
      <alignment vertical="center"/>
    </xf>
    <xf numFmtId="2" fontId="6" fillId="0" borderId="2" xfId="0" applyNumberFormat="1" applyFont="1" applyBorder="1" applyAlignment="1">
      <alignment vertical="center"/>
    </xf>
    <xf numFmtId="2" fontId="6" fillId="0" borderId="4" xfId="0" applyNumberFormat="1" applyFont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2" fontId="6" fillId="0" borderId="5" xfId="0" applyNumberFormat="1" applyFont="1" applyBorder="1" applyAlignment="1">
      <alignment horizontal="right" vertical="center"/>
    </xf>
  </cellXfs>
  <cellStyles count="1">
    <cellStyle name="Normal" xfId="0" builtinId="0"/>
  </cellStyles>
  <dxfs count="84">
    <dxf>
      <numFmt numFmtId="0" formatCode="General"/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>
          <bgColor theme="0" tint="-0.14996795556505021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DAB56C"/>
      <color rgb="FF9C0006"/>
      <color rgb="FFFFC7CE"/>
      <color rgb="FFC6EFCE"/>
      <color rgb="FF006100"/>
      <color rgb="FF351D13"/>
      <color rgb="FF663300"/>
      <color rgb="FFF267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62"/>
  <sheetViews>
    <sheetView showGridLines="0" tabSelected="1" view="pageLayout" zoomScale="74" zoomScaleNormal="100" zoomScalePageLayoutView="74" workbookViewId="0">
      <selection activeCell="F4" sqref="F4:X4"/>
    </sheetView>
  </sheetViews>
  <sheetFormatPr defaultColWidth="2.54296875" defaultRowHeight="11.5" customHeight="1" x14ac:dyDescent="0.35"/>
  <cols>
    <col min="1" max="19" width="2.54296875" style="2"/>
    <col min="20" max="20" width="2.54296875" style="2" customWidth="1"/>
    <col min="21" max="16384" width="2.54296875" style="2"/>
  </cols>
  <sheetData>
    <row r="1" spans="1:71" ht="5.5" customHeight="1" x14ac:dyDescent="0.35">
      <c r="A1" s="56"/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</row>
    <row r="2" spans="1:71" ht="11.5" customHeight="1" x14ac:dyDescent="0.35">
      <c r="B2" s="62" t="s">
        <v>0</v>
      </c>
      <c r="C2" s="62"/>
      <c r="D2" s="62"/>
      <c r="E2" s="62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3"/>
      <c r="Z2" s="48" t="s">
        <v>13</v>
      </c>
      <c r="AA2" s="48"/>
      <c r="AB2" s="48"/>
      <c r="AC2" s="48"/>
      <c r="AD2" s="48"/>
      <c r="AE2" s="51"/>
      <c r="AF2" s="51"/>
      <c r="AG2" s="51"/>
      <c r="AH2" s="51"/>
      <c r="AI2" s="4"/>
      <c r="AJ2" s="60" t="s">
        <v>16</v>
      </c>
      <c r="AK2" s="60"/>
      <c r="AL2" s="60"/>
      <c r="AM2" s="5"/>
    </row>
    <row r="3" spans="1:71" ht="11.5" customHeight="1" x14ac:dyDescent="0.35">
      <c r="B3" s="62" t="s">
        <v>1</v>
      </c>
      <c r="C3" s="62"/>
      <c r="D3" s="62"/>
      <c r="E3" s="62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3"/>
      <c r="Z3" s="48" t="s">
        <v>2</v>
      </c>
      <c r="AA3" s="48"/>
      <c r="AB3" s="48"/>
      <c r="AC3" s="48"/>
      <c r="AD3" s="48"/>
      <c r="AE3" s="58"/>
      <c r="AF3" s="58"/>
      <c r="AG3" s="58"/>
      <c r="AH3" s="58"/>
      <c r="AI3" s="4"/>
      <c r="AJ3" s="60"/>
      <c r="AK3" s="60"/>
      <c r="AL3" s="60"/>
      <c r="AM3" s="5"/>
    </row>
    <row r="4" spans="1:71" ht="11.5" customHeight="1" x14ac:dyDescent="0.35">
      <c r="B4" s="62" t="s">
        <v>3</v>
      </c>
      <c r="C4" s="62"/>
      <c r="D4" s="62"/>
      <c r="E4" s="62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60"/>
      <c r="AK4" s="60"/>
      <c r="AL4" s="60"/>
      <c r="AM4" s="5"/>
    </row>
    <row r="5" spans="1:71" ht="11.5" customHeight="1" x14ac:dyDescent="0.35">
      <c r="B5" s="62" t="s">
        <v>4</v>
      </c>
      <c r="C5" s="62"/>
      <c r="D5" s="62"/>
      <c r="E5" s="62"/>
      <c r="F5" s="59"/>
      <c r="G5" s="59"/>
      <c r="H5" s="59"/>
      <c r="I5" s="59"/>
      <c r="J5" s="4"/>
      <c r="K5" s="31" t="s">
        <v>5</v>
      </c>
      <c r="L5" s="31"/>
      <c r="M5" s="51"/>
      <c r="N5" s="51"/>
      <c r="O5" s="4" t="s">
        <v>14</v>
      </c>
      <c r="P5" s="57">
        <f>ROUND((M5-32)*5/9,1)</f>
        <v>-17.8</v>
      </c>
      <c r="Q5" s="57"/>
      <c r="R5" s="4" t="s">
        <v>6</v>
      </c>
      <c r="S5" s="31" t="s">
        <v>7</v>
      </c>
      <c r="T5" s="31"/>
      <c r="U5" s="31"/>
      <c r="V5" s="31"/>
      <c r="W5" s="1"/>
      <c r="X5" s="6" t="s">
        <v>8</v>
      </c>
      <c r="Y5" s="4"/>
      <c r="Z5" s="48" t="s">
        <v>18</v>
      </c>
      <c r="AA5" s="48"/>
      <c r="AB5" s="48"/>
      <c r="AC5" s="48"/>
      <c r="AD5" s="48"/>
      <c r="AE5" s="61"/>
      <c r="AF5" s="61"/>
      <c r="AG5" s="61"/>
      <c r="AH5" s="61"/>
      <c r="AI5" s="61"/>
      <c r="AJ5" s="61"/>
      <c r="AK5" s="61"/>
      <c r="AL5" s="61"/>
      <c r="AM5" s="4"/>
    </row>
    <row r="6" spans="1:71" ht="11.5" customHeight="1" x14ac:dyDescent="0.35">
      <c r="B6" s="62" t="s">
        <v>19</v>
      </c>
      <c r="C6" s="62"/>
      <c r="D6" s="62"/>
      <c r="E6" s="62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4"/>
      <c r="Z6" s="48" t="s">
        <v>9</v>
      </c>
      <c r="AA6" s="48"/>
      <c r="AB6" s="48"/>
      <c r="AC6" s="48"/>
      <c r="AD6" s="48"/>
      <c r="AE6" s="63"/>
      <c r="AF6" s="63"/>
      <c r="AG6" s="63"/>
      <c r="AH6" s="63"/>
      <c r="AI6" s="63"/>
      <c r="AJ6" s="63"/>
      <c r="AK6" s="63"/>
      <c r="AL6" s="63"/>
      <c r="AM6" s="4"/>
    </row>
    <row r="7" spans="1:71" ht="11.5" customHeight="1" thickBot="1" x14ac:dyDescent="0.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71" ht="11.5" customHeight="1" x14ac:dyDescent="0.35">
      <c r="A8" s="8" t="s">
        <v>24</v>
      </c>
      <c r="B8" s="9"/>
      <c r="C8" s="9"/>
      <c r="D8" s="9"/>
      <c r="E8" s="9"/>
      <c r="F8" s="10"/>
      <c r="G8" s="11"/>
      <c r="H8" s="11"/>
      <c r="I8" s="11"/>
      <c r="J8" s="11"/>
      <c r="K8" s="11"/>
      <c r="L8" s="11"/>
      <c r="M8" s="11"/>
      <c r="N8" s="11"/>
      <c r="O8" s="11"/>
      <c r="U8" s="11"/>
      <c r="V8" s="11"/>
      <c r="W8" s="12"/>
      <c r="X8" s="11"/>
      <c r="Y8" s="12"/>
      <c r="AF8" s="12"/>
      <c r="AG8" s="12"/>
      <c r="AH8" s="12"/>
      <c r="AI8" s="12"/>
      <c r="AJ8" s="12"/>
      <c r="AK8" s="12"/>
      <c r="AL8" s="12"/>
      <c r="AM8" s="12"/>
    </row>
    <row r="9" spans="1:71" ht="11.5" customHeight="1" x14ac:dyDescent="0.35">
      <c r="A9" s="8"/>
      <c r="B9" s="9"/>
      <c r="C9" s="9"/>
      <c r="D9" s="9"/>
      <c r="E9" s="9"/>
      <c r="F9" s="10"/>
      <c r="G9" s="11"/>
      <c r="H9" s="11"/>
      <c r="I9" s="11"/>
      <c r="J9" s="11"/>
      <c r="K9" s="11"/>
      <c r="L9" s="11"/>
      <c r="M9" s="11"/>
      <c r="N9" s="11"/>
      <c r="O9" s="11"/>
      <c r="AM9" s="12"/>
    </row>
    <row r="10" spans="1:71" ht="11.5" customHeight="1" x14ac:dyDescent="0.3">
      <c r="A10" s="8"/>
      <c r="B10" s="41" t="s">
        <v>10</v>
      </c>
      <c r="C10" s="41"/>
      <c r="D10" s="41"/>
      <c r="E10" s="41"/>
      <c r="F10" s="80"/>
      <c r="G10" s="80"/>
      <c r="H10" s="80"/>
      <c r="I10" s="80"/>
      <c r="J10" s="80"/>
      <c r="K10" s="80"/>
      <c r="L10" s="81"/>
      <c r="M10" s="22"/>
      <c r="N10" s="70" t="s">
        <v>42</v>
      </c>
      <c r="O10" s="70"/>
      <c r="P10" s="70"/>
      <c r="Q10" s="70"/>
      <c r="R10" s="42"/>
      <c r="S10" s="42"/>
      <c r="T10" s="42"/>
      <c r="U10" s="42"/>
      <c r="V10" s="42"/>
      <c r="W10" s="72"/>
      <c r="X10" s="70" t="s">
        <v>11</v>
      </c>
      <c r="Y10" s="70"/>
      <c r="Z10" s="70"/>
      <c r="AA10" s="70"/>
      <c r="AB10" s="42"/>
      <c r="AC10" s="42"/>
      <c r="AD10" s="42"/>
      <c r="AE10" s="42"/>
      <c r="AF10" s="42"/>
      <c r="AG10" s="22"/>
      <c r="AH10" s="41" t="s">
        <v>52</v>
      </c>
      <c r="AI10" s="41"/>
      <c r="AJ10" s="41"/>
      <c r="AK10" s="78"/>
      <c r="AL10" s="78"/>
      <c r="AM10" s="4"/>
      <c r="BC10" s="13"/>
    </row>
    <row r="11" spans="1:71" ht="11.5" customHeight="1" x14ac:dyDescent="0.3">
      <c r="B11" s="68" t="s">
        <v>39</v>
      </c>
      <c r="C11" s="68"/>
      <c r="D11" s="68"/>
      <c r="E11" s="22"/>
      <c r="F11" s="42"/>
      <c r="G11" s="42"/>
      <c r="H11" s="42"/>
      <c r="I11" s="22"/>
      <c r="J11" s="43" t="s">
        <v>38</v>
      </c>
      <c r="K11" s="43"/>
      <c r="L11" s="43"/>
      <c r="M11" s="43"/>
      <c r="N11" s="42"/>
      <c r="O11" s="42"/>
      <c r="P11" s="72"/>
      <c r="Q11" s="71" t="s">
        <v>40</v>
      </c>
      <c r="R11" s="71"/>
      <c r="S11" s="71"/>
      <c r="T11" s="78"/>
      <c r="U11" s="78"/>
      <c r="V11" s="78"/>
      <c r="W11" s="22"/>
      <c r="X11" s="76" t="s">
        <v>45</v>
      </c>
      <c r="Y11" s="76"/>
      <c r="Z11" s="78"/>
      <c r="AA11" s="78"/>
      <c r="AB11" s="22"/>
      <c r="AC11" s="77" t="s">
        <v>44</v>
      </c>
      <c r="AD11" s="77"/>
      <c r="AE11" s="78"/>
      <c r="AF11" s="78"/>
      <c r="AG11" s="22"/>
      <c r="AH11" s="22"/>
      <c r="AI11" s="22"/>
      <c r="AJ11" s="22"/>
      <c r="AK11" s="22"/>
      <c r="AL11" s="22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  <c r="BP11" s="73"/>
      <c r="BQ11" s="73"/>
      <c r="BR11" s="73"/>
      <c r="BS11" s="73"/>
    </row>
    <row r="12" spans="1:71" ht="11.5" customHeight="1" x14ac:dyDescent="0.3">
      <c r="B12" s="71" t="s">
        <v>32</v>
      </c>
      <c r="C12" s="71"/>
      <c r="D12" s="71"/>
      <c r="E12" s="71"/>
      <c r="F12" s="42"/>
      <c r="G12" s="42"/>
      <c r="H12" s="69" t="s">
        <v>27</v>
      </c>
      <c r="I12" s="42"/>
      <c r="J12" s="42"/>
      <c r="K12" s="22"/>
      <c r="L12" s="71" t="s">
        <v>43</v>
      </c>
      <c r="M12" s="71"/>
      <c r="N12" s="71"/>
      <c r="O12" s="71"/>
      <c r="P12" s="71"/>
      <c r="Q12" s="78"/>
      <c r="R12" s="78"/>
      <c r="S12" s="75"/>
      <c r="T12" s="79" t="s">
        <v>41</v>
      </c>
      <c r="U12" s="79"/>
      <c r="V12" s="79"/>
      <c r="W12" s="79"/>
      <c r="X12" s="78"/>
      <c r="Y12" s="78"/>
      <c r="Z12" s="22"/>
      <c r="AA12" s="71" t="s">
        <v>46</v>
      </c>
      <c r="AB12" s="71"/>
      <c r="AC12" s="71"/>
      <c r="AD12" s="71"/>
      <c r="AE12" s="78"/>
      <c r="AF12" s="78"/>
      <c r="AG12" s="78"/>
      <c r="AH12" s="78"/>
      <c r="AI12" s="78"/>
      <c r="AJ12" s="22"/>
      <c r="AK12" s="22"/>
      <c r="AL12" s="22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</row>
    <row r="13" spans="1:71" ht="11.5" customHeight="1" thickBot="1" x14ac:dyDescent="0.4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7"/>
      <c r="X13" s="14"/>
      <c r="Y13" s="7"/>
      <c r="Z13" s="7"/>
      <c r="AA13" s="7"/>
      <c r="AB13" s="7"/>
      <c r="AC13" s="14"/>
      <c r="AD13" s="14"/>
      <c r="AE13" s="14"/>
      <c r="AF13" s="15"/>
      <c r="AG13" s="15"/>
      <c r="AH13" s="15"/>
      <c r="AI13" s="15"/>
      <c r="AJ13" s="15"/>
      <c r="AK13" s="15"/>
      <c r="AL13" s="15"/>
      <c r="AM13" s="15"/>
    </row>
    <row r="14" spans="1:71" ht="11.5" customHeight="1" x14ac:dyDescent="0.35">
      <c r="A14" s="8" t="s">
        <v>15</v>
      </c>
      <c r="B14" s="16"/>
      <c r="C14" s="16"/>
      <c r="D14" s="16"/>
      <c r="E14" s="16"/>
      <c r="F14" s="16"/>
      <c r="G14" s="16"/>
      <c r="H14" s="16"/>
      <c r="I14" s="16"/>
      <c r="J14" s="10"/>
      <c r="K14" s="10"/>
      <c r="L14" s="17"/>
      <c r="M14" s="12"/>
      <c r="N14" s="11"/>
      <c r="O14" s="11"/>
      <c r="P14" s="11"/>
      <c r="Q14" s="11"/>
      <c r="R14" s="11"/>
      <c r="S14" s="11"/>
      <c r="T14" s="11"/>
      <c r="U14" s="11"/>
      <c r="V14" s="18"/>
      <c r="W14" s="18"/>
      <c r="X14" s="18"/>
      <c r="Y14" s="17"/>
      <c r="Z14" s="17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71" ht="11.5" customHeight="1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4"/>
    </row>
    <row r="16" spans="1:71" ht="11.5" customHeight="1" x14ac:dyDescent="0.35">
      <c r="B16" s="4" t="s">
        <v>26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9" t="s">
        <v>25</v>
      </c>
      <c r="AI16" s="49"/>
      <c r="AJ16" s="49"/>
      <c r="AK16" s="49"/>
      <c r="AL16" s="49"/>
    </row>
    <row r="17" spans="1:39" ht="11.5" customHeight="1" x14ac:dyDescent="0.35">
      <c r="B17" s="44" t="s">
        <v>48</v>
      </c>
      <c r="C17" s="44"/>
      <c r="D17" s="44"/>
      <c r="E17" s="44"/>
      <c r="F17" s="67" t="s">
        <v>33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45"/>
      <c r="AI17" s="46"/>
      <c r="AJ17" s="46"/>
      <c r="AK17" s="46"/>
      <c r="AL17" s="47"/>
      <c r="AM17" s="12"/>
    </row>
    <row r="18" spans="1:39" ht="11.5" customHeight="1" x14ac:dyDescent="0.35">
      <c r="B18" s="44" t="s">
        <v>49</v>
      </c>
      <c r="C18" s="44"/>
      <c r="D18" s="44"/>
      <c r="E18" s="44"/>
      <c r="F18" s="64" t="s">
        <v>28</v>
      </c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6"/>
      <c r="AH18" s="45"/>
      <c r="AI18" s="46"/>
      <c r="AJ18" s="46"/>
      <c r="AK18" s="46"/>
      <c r="AL18" s="47"/>
      <c r="AM18" s="12"/>
    </row>
    <row r="19" spans="1:39" ht="11.5" customHeight="1" x14ac:dyDescent="0.35">
      <c r="B19" s="44" t="s">
        <v>50</v>
      </c>
      <c r="C19" s="44"/>
      <c r="D19" s="44"/>
      <c r="E19" s="44"/>
      <c r="F19" s="64" t="s">
        <v>29</v>
      </c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6"/>
      <c r="AH19" s="45"/>
      <c r="AI19" s="46"/>
      <c r="AJ19" s="46"/>
      <c r="AK19" s="46"/>
      <c r="AL19" s="47"/>
      <c r="AM19" s="12"/>
    </row>
    <row r="20" spans="1:39" ht="11.5" customHeight="1" x14ac:dyDescent="0.35">
      <c r="B20" s="44" t="s">
        <v>51</v>
      </c>
      <c r="C20" s="44"/>
      <c r="D20" s="44"/>
      <c r="E20" s="44"/>
      <c r="F20" s="53" t="s">
        <v>47</v>
      </c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5"/>
      <c r="AH20" s="45"/>
      <c r="AI20" s="46"/>
      <c r="AJ20" s="46"/>
      <c r="AK20" s="46"/>
      <c r="AL20" s="47"/>
      <c r="AM20" s="12"/>
    </row>
    <row r="21" spans="1:39" ht="11.5" customHeight="1" thickBot="1" x14ac:dyDescent="0.4">
      <c r="A21" s="23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7"/>
      <c r="AI21" s="28"/>
      <c r="AJ21" s="28"/>
      <c r="AK21" s="28"/>
      <c r="AL21" s="28"/>
      <c r="AM21" s="23"/>
    </row>
    <row r="22" spans="1:39" ht="11.5" customHeight="1" x14ac:dyDescent="0.35">
      <c r="A22" s="19" t="s">
        <v>34</v>
      </c>
      <c r="B22" s="20"/>
      <c r="C22" s="20"/>
      <c r="D22" s="20"/>
      <c r="E22" s="20"/>
      <c r="F22" s="20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r="23" spans="1:39" ht="11.5" customHeight="1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12"/>
    </row>
    <row r="24" spans="1:39" ht="11.5" customHeight="1" x14ac:dyDescent="0.35">
      <c r="A24" s="8"/>
      <c r="B24" s="86" t="s">
        <v>55</v>
      </c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33" t="s">
        <v>56</v>
      </c>
      <c r="N24" s="34"/>
      <c r="O24" s="34"/>
      <c r="P24" s="35"/>
      <c r="R24" s="36" t="s">
        <v>57</v>
      </c>
      <c r="S24" s="36"/>
      <c r="T24" s="36"/>
      <c r="U24" s="36"/>
      <c r="V24" s="87" t="s">
        <v>58</v>
      </c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12"/>
    </row>
    <row r="25" spans="1:39" ht="11.5" customHeight="1" x14ac:dyDescent="0.35">
      <c r="A25" s="8"/>
      <c r="B25" s="86" t="s">
        <v>59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33"/>
      <c r="N25" s="34"/>
      <c r="O25" s="34"/>
      <c r="P25" s="35"/>
      <c r="AK25" s="88"/>
      <c r="AL25" s="88"/>
      <c r="AM25" s="12"/>
    </row>
    <row r="26" spans="1:39" ht="11.5" customHeight="1" x14ac:dyDescent="0.35">
      <c r="A26" s="8"/>
      <c r="B26" s="86" t="s">
        <v>60</v>
      </c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33">
        <f>ROUND(IF(M24="Thermoplastic",(0.5)^((40-M25)/10),IF(M25&lt;40,EXP(-4320*((1/(M25+273))-(1/313))),EXP(-1245*((1/(M25+273))-(1/313))))),4)</f>
        <v>0.13239999999999999</v>
      </c>
      <c r="N26" s="34"/>
      <c r="O26" s="34"/>
      <c r="P26" s="35"/>
      <c r="AM26" s="12"/>
    </row>
    <row r="27" spans="1:39" ht="11.5" customHeight="1" x14ac:dyDescent="0.35">
      <c r="A27" s="8"/>
      <c r="B27" s="22"/>
      <c r="C27" s="22"/>
      <c r="N27" s="22"/>
      <c r="O27" s="22"/>
      <c r="P27" s="22"/>
      <c r="Q27" s="22"/>
      <c r="R27" s="32" t="s">
        <v>61</v>
      </c>
      <c r="S27" s="32"/>
      <c r="T27" s="32"/>
      <c r="U27" s="32"/>
      <c r="V27" s="32"/>
      <c r="W27" s="32"/>
      <c r="X27" s="32"/>
      <c r="Y27" s="32"/>
      <c r="Z27" s="32"/>
      <c r="AA27" s="32" t="s">
        <v>35</v>
      </c>
      <c r="AB27" s="32"/>
      <c r="AC27" s="32"/>
      <c r="AD27" s="32"/>
      <c r="AE27" s="32"/>
      <c r="AF27" s="32"/>
      <c r="AG27" s="32"/>
      <c r="AH27" s="32"/>
      <c r="AI27" s="32"/>
      <c r="AJ27" s="22"/>
      <c r="AK27" s="22"/>
    </row>
    <row r="28" spans="1:39" ht="11.5" customHeight="1" x14ac:dyDescent="0.35">
      <c r="A28" s="8"/>
      <c r="B28" s="32" t="s">
        <v>30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 t="s">
        <v>36</v>
      </c>
      <c r="O28" s="32"/>
      <c r="P28" s="32"/>
      <c r="Q28" s="32"/>
      <c r="R28" s="32" t="s">
        <v>62</v>
      </c>
      <c r="S28" s="32"/>
      <c r="T28" s="32"/>
      <c r="U28" s="32" t="s">
        <v>31</v>
      </c>
      <c r="V28" s="32"/>
      <c r="W28" s="32"/>
      <c r="X28" s="32" t="s">
        <v>37</v>
      </c>
      <c r="Y28" s="32"/>
      <c r="Z28" s="32"/>
      <c r="AA28" s="32" t="s">
        <v>63</v>
      </c>
      <c r="AB28" s="32"/>
      <c r="AC28" s="32"/>
      <c r="AD28" s="32" t="s">
        <v>31</v>
      </c>
      <c r="AE28" s="32"/>
      <c r="AF28" s="32"/>
      <c r="AG28" s="32" t="s">
        <v>37</v>
      </c>
      <c r="AH28" s="32"/>
      <c r="AI28" s="32"/>
      <c r="AJ28" s="36" t="s">
        <v>17</v>
      </c>
      <c r="AK28" s="36"/>
      <c r="AL28" s="36"/>
    </row>
    <row r="29" spans="1:39" ht="11.5" customHeight="1" x14ac:dyDescent="0.35">
      <c r="A29" s="8"/>
      <c r="B29" s="36" t="s">
        <v>64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6" t="str">
        <f>IF(R29="","",IF(ISNUMBER(R29)=FALSE,R29,R29*#REF!))</f>
        <v/>
      </c>
      <c r="AB29" s="36"/>
      <c r="AC29" s="36"/>
      <c r="AD29" s="32" t="str">
        <f>IF(U29="","",IF(ISNUMBER(U29)=FALSE,U29,U29*#REF!))</f>
        <v/>
      </c>
      <c r="AE29" s="32"/>
      <c r="AF29" s="32"/>
      <c r="AG29" s="32" t="str">
        <f>IF(X29="","",IF(ISNUMBER(X29)=FALSE,X29,X29*#REF!))</f>
        <v/>
      </c>
      <c r="AH29" s="32"/>
      <c r="AI29" s="32"/>
      <c r="AJ29" s="37"/>
      <c r="AK29" s="37"/>
      <c r="AL29" s="37"/>
    </row>
    <row r="30" spans="1:39" ht="11.5" customHeight="1" x14ac:dyDescent="0.35">
      <c r="A30" s="8"/>
      <c r="B30" s="36" t="s">
        <v>65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6" t="str">
        <f>IF(R30="","",IF(ISNUMBER(R30)=FALSE,R30,R30*#REF!))</f>
        <v/>
      </c>
      <c r="AB30" s="36"/>
      <c r="AC30" s="36"/>
      <c r="AD30" s="32" t="str">
        <f>IF(U30="","",IF(ISNUMBER(U30)=FALSE,U30,U30*#REF!))</f>
        <v/>
      </c>
      <c r="AE30" s="32"/>
      <c r="AF30" s="32"/>
      <c r="AG30" s="32" t="str">
        <f>IF(X30="","",IF(ISNUMBER(X30)=FALSE,X30,X30*#REF!))</f>
        <v/>
      </c>
      <c r="AH30" s="32"/>
      <c r="AI30" s="32"/>
      <c r="AJ30" s="37"/>
      <c r="AK30" s="37"/>
      <c r="AL30" s="37"/>
    </row>
    <row r="31" spans="1:39" ht="11.5" customHeight="1" x14ac:dyDescent="0.35">
      <c r="A31" s="8"/>
      <c r="B31" s="36" t="s">
        <v>66</v>
      </c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6" t="str">
        <f>IF(R31="","",IF(ISNUMBER(R31)=FALSE,R31,R31*#REF!))</f>
        <v/>
      </c>
      <c r="AB31" s="36"/>
      <c r="AC31" s="36"/>
      <c r="AD31" s="32" t="str">
        <f>IF(U31="","",IF(ISNUMBER(U31)=FALSE,U31,U31*#REF!))</f>
        <v/>
      </c>
      <c r="AE31" s="32"/>
      <c r="AF31" s="32"/>
      <c r="AG31" s="32" t="str">
        <f>IF(X31="","",IF(ISNUMBER(X31)=FALSE,X31,X31*#REF!))</f>
        <v/>
      </c>
      <c r="AH31" s="32"/>
      <c r="AI31" s="32"/>
      <c r="AJ31" s="37"/>
      <c r="AK31" s="37"/>
      <c r="AL31" s="37"/>
    </row>
    <row r="32" spans="1:39" ht="11.5" customHeight="1" x14ac:dyDescent="0.35">
      <c r="A32" s="8"/>
      <c r="B32" s="36" t="s">
        <v>67</v>
      </c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8" t="str">
        <f>IF(R32="","",IF(ISNUMBER(R32)=FALSE,R32,R32*#REF!))</f>
        <v/>
      </c>
      <c r="AB32" s="89"/>
      <c r="AC32" s="39"/>
      <c r="AD32" s="32" t="str">
        <f>IF(U32="","",IF(ISNUMBER(U32)=FALSE,U32,U32*#REF!))</f>
        <v/>
      </c>
      <c r="AE32" s="32"/>
      <c r="AF32" s="32"/>
      <c r="AG32" s="36" t="str">
        <f>IF(X32="","",IF(ISNUMBER(X32)=FALSE,X32,X32*#REF!))</f>
        <v/>
      </c>
      <c r="AH32" s="36"/>
      <c r="AI32" s="36"/>
      <c r="AJ32" s="37"/>
      <c r="AK32" s="37"/>
      <c r="AL32" s="37"/>
    </row>
    <row r="33" spans="1:65" ht="11.5" customHeight="1" x14ac:dyDescent="0.35">
      <c r="A33" s="8"/>
      <c r="B33" s="90"/>
      <c r="C33" s="90"/>
      <c r="D33" s="90"/>
      <c r="E33" s="90"/>
      <c r="F33" s="90"/>
      <c r="G33" s="88"/>
      <c r="H33" s="88"/>
      <c r="I33" s="88"/>
      <c r="J33" s="88"/>
      <c r="K33" s="88"/>
      <c r="L33" s="88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</row>
    <row r="34" spans="1:65" ht="11.5" customHeight="1" x14ac:dyDescent="0.3">
      <c r="A34" s="8"/>
      <c r="C34" s="22"/>
      <c r="D34" s="22"/>
      <c r="E34" s="22"/>
      <c r="F34" s="22"/>
      <c r="G34" s="22"/>
      <c r="H34" s="22"/>
      <c r="I34" s="78" t="s">
        <v>68</v>
      </c>
      <c r="J34" s="78"/>
      <c r="K34" s="78"/>
      <c r="L34" s="78"/>
      <c r="M34" s="78"/>
      <c r="N34" s="78"/>
      <c r="O34" s="78"/>
      <c r="P34" s="78"/>
      <c r="Q34" s="78"/>
      <c r="R34" s="78"/>
      <c r="S34" s="40" t="s">
        <v>69</v>
      </c>
      <c r="T34" s="40"/>
      <c r="U34" s="40"/>
      <c r="V34" s="40"/>
      <c r="W34" s="40" t="s">
        <v>70</v>
      </c>
      <c r="X34" s="40"/>
      <c r="Y34" s="40"/>
      <c r="Z34" s="40"/>
      <c r="AA34" s="92" t="s">
        <v>71</v>
      </c>
      <c r="AB34" s="92"/>
      <c r="AC34" s="92"/>
      <c r="AD34" s="92"/>
      <c r="AE34" s="92" t="s">
        <v>72</v>
      </c>
      <c r="AF34" s="92"/>
      <c r="AG34" s="92"/>
      <c r="AH34" s="92"/>
      <c r="AI34" s="40" t="s">
        <v>73</v>
      </c>
      <c r="AJ34" s="40"/>
      <c r="AK34" s="40"/>
      <c r="AL34" s="40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</row>
    <row r="35" spans="1:65" ht="11.5" customHeight="1" x14ac:dyDescent="0.3">
      <c r="A35" s="8"/>
      <c r="B35" s="29" t="s">
        <v>53</v>
      </c>
      <c r="C35" s="29"/>
      <c r="D35" s="29"/>
      <c r="E35" s="29"/>
      <c r="F35" s="29"/>
      <c r="G35" s="29"/>
      <c r="H35" s="29"/>
      <c r="I35" s="82" t="s">
        <v>74</v>
      </c>
      <c r="J35" s="83"/>
      <c r="K35" s="83"/>
      <c r="L35" s="83"/>
      <c r="M35" s="83"/>
      <c r="N35" s="83"/>
      <c r="O35" s="83"/>
      <c r="P35" s="83"/>
      <c r="Q35" s="83"/>
      <c r="R35" s="84"/>
      <c r="S35" s="93" t="str">
        <f>IF(OR(AA29="",AD29=""),"",AD29/AA29)</f>
        <v/>
      </c>
      <c r="T35" s="94"/>
      <c r="U35" s="94"/>
      <c r="V35" s="95"/>
      <c r="W35" s="93" t="str">
        <f>IF(OR(AA30="",AD30=""),"",AD30/AA30)</f>
        <v/>
      </c>
      <c r="X35" s="94"/>
      <c r="Y35" s="94"/>
      <c r="Z35" s="95"/>
      <c r="AA35" s="93" t="str">
        <f>IF(OR(AA31="",AD31=""),"",AD31/AA31)</f>
        <v/>
      </c>
      <c r="AB35" s="94"/>
      <c r="AC35" s="94"/>
      <c r="AD35" s="95"/>
      <c r="AE35" s="93" t="str">
        <f>IF(OR(AA32="",AD32=""),"",AD32/AA32)</f>
        <v/>
      </c>
      <c r="AF35" s="94"/>
      <c r="AG35" s="94"/>
      <c r="AH35" s="95"/>
      <c r="AI35" s="96"/>
      <c r="AJ35" s="96"/>
      <c r="AK35" s="96"/>
      <c r="AL35" s="96"/>
      <c r="AM35" s="4"/>
    </row>
    <row r="36" spans="1:65" ht="11.5" customHeight="1" x14ac:dyDescent="0.3">
      <c r="A36" s="8"/>
      <c r="B36" s="29" t="s">
        <v>54</v>
      </c>
      <c r="C36" s="29"/>
      <c r="D36" s="29"/>
      <c r="E36" s="29"/>
      <c r="F36" s="29"/>
      <c r="G36" s="29"/>
      <c r="H36" s="29"/>
      <c r="I36" s="82" t="s">
        <v>75</v>
      </c>
      <c r="J36" s="83"/>
      <c r="K36" s="83"/>
      <c r="L36" s="83"/>
      <c r="M36" s="83"/>
      <c r="N36" s="83"/>
      <c r="O36" s="83"/>
      <c r="P36" s="83"/>
      <c r="Q36" s="83"/>
      <c r="R36" s="84"/>
      <c r="S36" s="93" t="str">
        <f>IF(OR(AD29 = "",AG29=""),"",AG29/AD29)</f>
        <v/>
      </c>
      <c r="T36" s="94"/>
      <c r="U36" s="94"/>
      <c r="V36" s="95"/>
      <c r="W36" s="93" t="str">
        <f>IF(OR(AD30 = "",AG30=""),"",AG30/AD30)</f>
        <v/>
      </c>
      <c r="X36" s="94"/>
      <c r="Y36" s="94"/>
      <c r="Z36" s="95"/>
      <c r="AA36" s="93" t="str">
        <f>IF(OR(AD31 = "",AG31=""),"",AG31/AD31)</f>
        <v/>
      </c>
      <c r="AB36" s="94"/>
      <c r="AC36" s="94"/>
      <c r="AD36" s="95"/>
      <c r="AE36" s="93" t="str">
        <f>IF(OR(AD32 = "",AG32=""),"",AG32/AD32)</f>
        <v/>
      </c>
      <c r="AF36" s="94"/>
      <c r="AG36" s="94"/>
      <c r="AH36" s="95"/>
      <c r="AI36" s="96"/>
      <c r="AJ36" s="96"/>
      <c r="AK36" s="96"/>
      <c r="AL36" s="96"/>
    </row>
    <row r="37" spans="1:65" ht="11.5" customHeight="1" x14ac:dyDescent="0.35">
      <c r="A37" s="4"/>
      <c r="B37" s="97" t="s">
        <v>76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6"/>
      <c r="AJ37" s="96"/>
      <c r="AK37" s="96"/>
      <c r="AL37" s="96"/>
    </row>
    <row r="38" spans="1:65" ht="11.5" customHeight="1" x14ac:dyDescent="0.35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</row>
    <row r="39" spans="1:65" ht="11.5" customHeight="1" thickBot="1" x14ac:dyDescent="0.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</row>
    <row r="40" spans="1:65" ht="11.5" customHeight="1" x14ac:dyDescent="0.35">
      <c r="A40" s="8" t="s">
        <v>20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</row>
    <row r="41" spans="1:65" ht="11.5" customHeight="1" x14ac:dyDescent="0.35">
      <c r="A41" s="8"/>
      <c r="B41" s="12"/>
      <c r="C41" s="12"/>
      <c r="D41" s="12"/>
      <c r="E41" s="12"/>
      <c r="F41" s="12"/>
      <c r="G41" s="12"/>
      <c r="H41" s="12"/>
      <c r="I41" s="12"/>
      <c r="AJ41" s="12"/>
      <c r="AK41" s="12"/>
      <c r="AL41" s="12"/>
      <c r="AM41" s="12"/>
    </row>
    <row r="42" spans="1:65" ht="11.5" customHeight="1" x14ac:dyDescent="0.35">
      <c r="A42" s="12"/>
      <c r="B42" s="4" t="s">
        <v>22</v>
      </c>
      <c r="C42" s="4"/>
      <c r="D42" s="4"/>
      <c r="E42" s="4"/>
      <c r="F42" s="50"/>
      <c r="G42" s="50"/>
      <c r="H42" s="50"/>
      <c r="I42" s="50"/>
      <c r="J42" s="50"/>
      <c r="K42" s="50"/>
      <c r="L42" s="50"/>
      <c r="M42" s="52" t="s">
        <v>23</v>
      </c>
      <c r="N42" s="52"/>
      <c r="O42" s="52"/>
      <c r="P42" s="52"/>
      <c r="Q42" s="52"/>
      <c r="R42" s="50"/>
      <c r="S42" s="50"/>
      <c r="T42" s="50"/>
      <c r="U42" s="50"/>
      <c r="V42" s="50"/>
      <c r="W42" s="50"/>
      <c r="X42" s="4"/>
      <c r="Y42" s="52" t="s">
        <v>21</v>
      </c>
      <c r="Z42" s="52"/>
      <c r="AA42" s="52"/>
      <c r="AB42" s="51"/>
      <c r="AC42" s="51"/>
      <c r="AD42" s="51"/>
      <c r="AE42" s="51"/>
      <c r="AG42" s="41" t="s">
        <v>77</v>
      </c>
      <c r="AH42" s="41"/>
      <c r="AI42" s="41"/>
      <c r="AJ42" s="74"/>
      <c r="AK42" s="74"/>
      <c r="AL42" s="74"/>
      <c r="AM42" s="12"/>
    </row>
    <row r="43" spans="1:65" ht="11.5" customHeight="1" thickBot="1" x14ac:dyDescent="0.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</row>
    <row r="44" spans="1:65" ht="11.5" customHeight="1" x14ac:dyDescent="0.35">
      <c r="A44" s="8" t="s">
        <v>12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</row>
    <row r="45" spans="1:65" ht="11.5" customHeight="1" x14ac:dyDescent="0.35">
      <c r="A45" s="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</row>
    <row r="46" spans="1:65" ht="11.5" customHeight="1" x14ac:dyDescent="0.35">
      <c r="A46" s="8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12"/>
    </row>
    <row r="47" spans="1:65" ht="11.5" customHeight="1" x14ac:dyDescent="0.35">
      <c r="A47" s="8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12"/>
    </row>
    <row r="48" spans="1:65" ht="11.5" customHeight="1" x14ac:dyDescent="0.35">
      <c r="A48" s="8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12"/>
    </row>
    <row r="49" spans="1:39" ht="11.5" customHeight="1" x14ac:dyDescent="0.35">
      <c r="A49" s="8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12"/>
    </row>
    <row r="50" spans="1:39" ht="11.5" customHeight="1" x14ac:dyDescent="0.35">
      <c r="A50" s="8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12"/>
    </row>
    <row r="51" spans="1:39" ht="11.5" customHeight="1" x14ac:dyDescent="0.35">
      <c r="A51" s="8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12"/>
    </row>
    <row r="52" spans="1:39" ht="11.5" customHeight="1" x14ac:dyDescent="0.35">
      <c r="A52" s="8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12"/>
    </row>
    <row r="53" spans="1:39" ht="11.5" customHeight="1" x14ac:dyDescent="0.35">
      <c r="A53" s="8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12"/>
    </row>
    <row r="54" spans="1:39" ht="11.5" customHeight="1" x14ac:dyDescent="0.35">
      <c r="A54" s="8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12"/>
    </row>
    <row r="55" spans="1:39" ht="11.5" customHeight="1" x14ac:dyDescent="0.35">
      <c r="A55" s="8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12"/>
    </row>
    <row r="56" spans="1:39" ht="11.5" customHeight="1" x14ac:dyDescent="0.35">
      <c r="A56" s="8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12"/>
    </row>
    <row r="57" spans="1:39" ht="11.5" customHeight="1" x14ac:dyDescent="0.35">
      <c r="A57" s="8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12"/>
    </row>
    <row r="58" spans="1:39" ht="11.5" customHeight="1" x14ac:dyDescent="0.35">
      <c r="A58" s="8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12"/>
    </row>
    <row r="59" spans="1:39" ht="11.5" customHeight="1" x14ac:dyDescent="0.35">
      <c r="A59" s="8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12"/>
    </row>
    <row r="60" spans="1:39" ht="11.5" customHeight="1" x14ac:dyDescent="0.35">
      <c r="A60" s="8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12"/>
    </row>
    <row r="61" spans="1:39" ht="11.5" customHeight="1" x14ac:dyDescent="0.35">
      <c r="A61" s="8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12"/>
    </row>
    <row r="62" spans="1:39" ht="11.5" customHeight="1" thickBot="1" x14ac:dyDescent="0.4">
      <c r="A62" s="7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7"/>
    </row>
  </sheetData>
  <sheetProtection formatCells="0" selectLockedCells="1"/>
  <dataConsolidate/>
  <mergeCells count="149">
    <mergeCell ref="AI37:AL37"/>
    <mergeCell ref="AG42:AI42"/>
    <mergeCell ref="AJ42:AL42"/>
    <mergeCell ref="I34:R34"/>
    <mergeCell ref="S34:V34"/>
    <mergeCell ref="W34:Z34"/>
    <mergeCell ref="AA34:AD34"/>
    <mergeCell ref="AE34:AH34"/>
    <mergeCell ref="AI34:AL34"/>
    <mergeCell ref="I35:R35"/>
    <mergeCell ref="S35:V35"/>
    <mergeCell ref="W35:Z35"/>
    <mergeCell ref="AA35:AD35"/>
    <mergeCell ref="AE35:AH35"/>
    <mergeCell ref="AI35:AL35"/>
    <mergeCell ref="AJ31:AL31"/>
    <mergeCell ref="B32:M32"/>
    <mergeCell ref="N32:Q32"/>
    <mergeCell ref="U32:W32"/>
    <mergeCell ref="X32:Z32"/>
    <mergeCell ref="AA32:AC32"/>
    <mergeCell ref="AD32:AF32"/>
    <mergeCell ref="AG32:AI32"/>
    <mergeCell ref="AJ32:AL32"/>
    <mergeCell ref="AA29:AC29"/>
    <mergeCell ref="AD29:AF29"/>
    <mergeCell ref="AG29:AI29"/>
    <mergeCell ref="AJ29:AL29"/>
    <mergeCell ref="B30:M30"/>
    <mergeCell ref="N30:Q30"/>
    <mergeCell ref="U30:W30"/>
    <mergeCell ref="X30:Z30"/>
    <mergeCell ref="AA30:AC30"/>
    <mergeCell ref="AD30:AF30"/>
    <mergeCell ref="AG30:AI30"/>
    <mergeCell ref="AJ30:AL30"/>
    <mergeCell ref="B24:L24"/>
    <mergeCell ref="M24:P24"/>
    <mergeCell ref="R24:U24"/>
    <mergeCell ref="V24:AL24"/>
    <mergeCell ref="B25:L25"/>
    <mergeCell ref="M25:P25"/>
    <mergeCell ref="B26:L26"/>
    <mergeCell ref="M26:P26"/>
    <mergeCell ref="R27:Z27"/>
    <mergeCell ref="AA27:AI27"/>
    <mergeCell ref="B28:M28"/>
    <mergeCell ref="N28:Q28"/>
    <mergeCell ref="U28:W28"/>
    <mergeCell ref="X28:Z28"/>
    <mergeCell ref="AA28:AC28"/>
    <mergeCell ref="AD28:AF28"/>
    <mergeCell ref="I36:R36"/>
    <mergeCell ref="S36:V36"/>
    <mergeCell ref="W36:Z36"/>
    <mergeCell ref="AA36:AD36"/>
    <mergeCell ref="AE36:AH36"/>
    <mergeCell ref="AI36:AL36"/>
    <mergeCell ref="R31:T31"/>
    <mergeCell ref="R32:T32"/>
    <mergeCell ref="B31:M31"/>
    <mergeCell ref="N31:Q31"/>
    <mergeCell ref="U31:W31"/>
    <mergeCell ref="X31:Z31"/>
    <mergeCell ref="AA31:AC31"/>
    <mergeCell ref="AD31:AF31"/>
    <mergeCell ref="AG31:AI31"/>
    <mergeCell ref="Z11:AA11"/>
    <mergeCell ref="N11:O11"/>
    <mergeCell ref="AE11:AF11"/>
    <mergeCell ref="AK10:AL10"/>
    <mergeCell ref="AH10:AJ10"/>
    <mergeCell ref="B35:H35"/>
    <mergeCell ref="B36:H36"/>
    <mergeCell ref="B37:AH37"/>
    <mergeCell ref="B12:E12"/>
    <mergeCell ref="T11:V11"/>
    <mergeCell ref="X12:Y12"/>
    <mergeCell ref="F12:G12"/>
    <mergeCell ref="I12:J12"/>
    <mergeCell ref="Q12:R12"/>
    <mergeCell ref="AE12:AI12"/>
    <mergeCell ref="F10:K10"/>
    <mergeCell ref="Q11:S11"/>
    <mergeCell ref="B11:D11"/>
    <mergeCell ref="X11:Y11"/>
    <mergeCell ref="N10:Q10"/>
    <mergeCell ref="X10:AA10"/>
    <mergeCell ref="AB10:AF10"/>
    <mergeCell ref="R10:V10"/>
    <mergeCell ref="T12:W12"/>
    <mergeCell ref="AC11:AD11"/>
    <mergeCell ref="A1:AM1"/>
    <mergeCell ref="K5:L5"/>
    <mergeCell ref="S5:V5"/>
    <mergeCell ref="Z6:AD6"/>
    <mergeCell ref="Z2:AD2"/>
    <mergeCell ref="AE2:AH2"/>
    <mergeCell ref="M5:N5"/>
    <mergeCell ref="P5:Q5"/>
    <mergeCell ref="Z3:AD3"/>
    <mergeCell ref="F4:X4"/>
    <mergeCell ref="F5:I5"/>
    <mergeCell ref="F2:X2"/>
    <mergeCell ref="AJ2:AL4"/>
    <mergeCell ref="AE3:AH3"/>
    <mergeCell ref="Z5:AD5"/>
    <mergeCell ref="AE5:AL5"/>
    <mergeCell ref="B2:E2"/>
    <mergeCell ref="B3:E3"/>
    <mergeCell ref="B4:E4"/>
    <mergeCell ref="B5:E5"/>
    <mergeCell ref="B6:E6"/>
    <mergeCell ref="AE6:AL6"/>
    <mergeCell ref="F3:X3"/>
    <mergeCell ref="F6:X6"/>
    <mergeCell ref="AH18:AL18"/>
    <mergeCell ref="AH19:AL19"/>
    <mergeCell ref="AH17:AL17"/>
    <mergeCell ref="B19:E19"/>
    <mergeCell ref="B18:E18"/>
    <mergeCell ref="F18:AG18"/>
    <mergeCell ref="B17:E17"/>
    <mergeCell ref="F19:AG19"/>
    <mergeCell ref="F17:AG17"/>
    <mergeCell ref="B20:E20"/>
    <mergeCell ref="F20:AG20"/>
    <mergeCell ref="B10:E10"/>
    <mergeCell ref="F11:H11"/>
    <mergeCell ref="AH16:AL16"/>
    <mergeCell ref="F42:L42"/>
    <mergeCell ref="R42:W42"/>
    <mergeCell ref="AB42:AE42"/>
    <mergeCell ref="Y42:AA42"/>
    <mergeCell ref="M42:Q42"/>
    <mergeCell ref="AH20:AL20"/>
    <mergeCell ref="AA12:AD12"/>
    <mergeCell ref="J11:M11"/>
    <mergeCell ref="L12:P12"/>
    <mergeCell ref="R30:T30"/>
    <mergeCell ref="AG28:AI28"/>
    <mergeCell ref="AJ28:AL28"/>
    <mergeCell ref="B29:M29"/>
    <mergeCell ref="N29:Q29"/>
    <mergeCell ref="U29:W29"/>
    <mergeCell ref="X29:Z29"/>
    <mergeCell ref="R28:T28"/>
    <mergeCell ref="B46:AL61"/>
    <mergeCell ref="R29:T29"/>
  </mergeCells>
  <phoneticPr fontId="2" type="noConversion"/>
  <conditionalFormatting sqref="AJ2">
    <cfRule type="cellIs" dxfId="10" priority="41" operator="equal">
      <formula>"LIMITED SERVICE"</formula>
    </cfRule>
    <cfRule type="cellIs" dxfId="9" priority="42" operator="equal">
      <formula>"FAIL"</formula>
    </cfRule>
    <cfRule type="cellIs" dxfId="8" priority="43" operator="equal">
      <formula>"PASS"</formula>
    </cfRule>
    <cfRule type="cellIs" dxfId="7" priority="44" operator="equal">
      <formula>"""PASS"""</formula>
    </cfRule>
  </conditionalFormatting>
  <conditionalFormatting sqref="S35:AD36">
    <cfRule type="expression" dxfId="6" priority="7">
      <formula>($V$24="Single test from all phases to ground")</formula>
    </cfRule>
  </conditionalFormatting>
  <conditionalFormatting sqref="N32:AL32 AE35:AH36">
    <cfRule type="expression" dxfId="5" priority="8">
      <formula>($V$24="Each phase to ground with other phases grounded")</formula>
    </cfRule>
  </conditionalFormatting>
  <conditionalFormatting sqref="AI35:AI37">
    <cfRule type="cellIs" dxfId="4" priority="3" operator="equal">
      <formula>"LIMITED SERVICE"</formula>
    </cfRule>
    <cfRule type="cellIs" dxfId="3" priority="4" operator="equal">
      <formula>"FAIL"</formula>
    </cfRule>
    <cfRule type="cellIs" dxfId="2" priority="5" operator="equal">
      <formula>"Yes"</formula>
    </cfRule>
    <cfRule type="cellIs" dxfId="1" priority="6" operator="equal">
      <formula>"PASS"</formula>
    </cfRule>
  </conditionalFormatting>
  <conditionalFormatting sqref="N29:AL31">
    <cfRule type="expression" dxfId="0" priority="2">
      <formula>($V$24="Single test from all phases to ground")</formula>
    </cfRule>
  </conditionalFormatting>
  <dataValidations count="8">
    <dataValidation type="list" errorStyle="warning" allowBlank="1" showInputMessage="1" showErrorMessage="1" sqref="AH17:AL20" xr:uid="{6EEF4E07-8C3A-4411-B37D-774BCC384790}">
      <formula1>",Satisfactory, Unsatisfactory,Cleaned,See Comments,Not Applicable, By Others"</formula1>
    </dataValidation>
    <dataValidation type="list" allowBlank="1" showInputMessage="1" showErrorMessage="1" sqref="AM2:AM4 AJ2" xr:uid="{FD88D42F-4C2C-4489-B3FE-AA52572567EE}">
      <formula1>#REF!</formula1>
    </dataValidation>
    <dataValidation type="list" allowBlank="1" showInputMessage="1" showErrorMessage="1" sqref="AD11 AE12:AI12" xr:uid="{3A187397-E167-4A31-BE72-63BA5EDEB647}">
      <formula1>"Delta,WYE,Single Phase"</formula1>
    </dataValidation>
    <dataValidation type="list" allowBlank="1" showInputMessage="1" showErrorMessage="1" sqref="AI35:AL37" xr:uid="{2C864610-492A-4127-9261-41359D31BE3A}">
      <formula1>"PASS, FAIL"</formula1>
    </dataValidation>
    <dataValidation type="list" allowBlank="1" showInputMessage="1" showErrorMessage="1" prompt="Common Thermoplastic Insulations: PVC, Polyethylene (PE), Nylon, FEB, typically applies to motors made before 1960_x000a__x000a_Common Thermoset Insulations: XLPE, EPR, Rubber Silicone, Neoprene, typically applies to motors made after 1960" sqref="M24:P24" xr:uid="{2FF9E9CA-60C3-425D-8E3B-883177BE93DD}">
      <formula1>"Thermoplastic, Thermosetting"</formula1>
    </dataValidation>
    <dataValidation type="list" allowBlank="1" showInputMessage="1" showErrorMessage="1" sqref="V24:AL24" xr:uid="{0C79926A-A12D-45BE-A186-5FEB0032CBE7}">
      <formula1>"Each phase to ground with other phases grounded, Single test from all phases to ground"</formula1>
    </dataValidation>
    <dataValidation type="list" allowBlank="1" showInputMessage="1" showErrorMessage="1" sqref="AJ29:AL32" xr:uid="{E7850BB5-ED0A-4CA4-BB79-E9D44F9F5FC0}">
      <formula1>"MΩ, GΩ,"</formula1>
    </dataValidation>
    <dataValidation type="list" allowBlank="1" showInputMessage="1" showErrorMessage="1" sqref="N29:Q32" xr:uid="{6A2345E3-71AF-4DFC-8F2B-DA9623E40DAE}">
      <formula1>"500VDC, 1000VDC, 2500VDC, 5000VDC, 10000VDC"</formula1>
    </dataValidation>
  </dataValidations>
  <printOptions horizontalCentered="1"/>
  <pageMargins left="0.5" right="0.5" top="1" bottom="0.5" header="0.3" footer="0.3"/>
  <pageSetup scale="96" fitToHeight="0" orientation="portrait" r:id="rId1"/>
  <headerFooter>
    <oddHeader xml:space="preserve">&amp;L  &amp;G
                &amp;C&amp;"-,Bold"&amp;13Emergency Systems
Engine Generator&amp;R&amp;"-,Bold"&amp;12&amp;K000000&amp;G
ATS 7.22.1
2025 Edition      
&amp;14 </oddHeader>
    <oddFooter>&amp;L&amp;8&amp;K00-041AMPQES.COM&amp;C&amp;"Arial,Regular"&amp;9Sheet &amp;P of &amp;N&amp;R&amp;8 &amp;K00-041256-513-8255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 Sheet</vt:lpstr>
      <vt:lpstr>'Test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Rodgers</dc:creator>
  <cp:lastModifiedBy>Ryan Marthaler</cp:lastModifiedBy>
  <cp:lastPrinted>2024-12-03T21:22:19Z</cp:lastPrinted>
  <dcterms:created xsi:type="dcterms:W3CDTF">2009-06-02T15:38:13Z</dcterms:created>
  <dcterms:modified xsi:type="dcterms:W3CDTF">2026-01-27T18:37:05Z</dcterms:modified>
</cp:coreProperties>
</file>
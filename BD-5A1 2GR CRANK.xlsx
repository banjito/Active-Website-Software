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Objects="none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Shared drives\AMP ALL\Client Files\Toyota Motor Manufacturing Alabama (TMMAL)\26097\Test Results\Sub 5\SUB 5A\"/>
    </mc:Choice>
  </mc:AlternateContent>
  <xr:revisionPtr revIDLastSave="0" documentId="13_ncr:1_{492843B6-438D-41F9-A043-57F073986DA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st Sheet" sheetId="1" r:id="rId1"/>
    <sheet name="NETA ATS 7.3.3" sheetId="5" r:id="rId2"/>
    <sheet name="TCF" sheetId="2" r:id="rId3"/>
    <sheet name="Temp Conv" sheetId="3" r:id="rId4"/>
    <sheet name="Dropdowns" sheetId="4" r:id="rId5"/>
  </sheets>
  <definedNames>
    <definedName name="_xlnm.Print_Area" localSheetId="0">'Test Sheet'!$A$1:$AM$123</definedName>
  </definedNames>
  <calcPr calcId="191029" iterateCount="1"/>
  <fileRecoveryPr autoRecover="0"/>
</workbook>
</file>

<file path=xl/calcChain.xml><?xml version="1.0" encoding="utf-8"?>
<calcChain xmlns="http://schemas.openxmlformats.org/spreadsheetml/2006/main">
  <c r="Z56" i="1" l="1"/>
  <c r="AC56" i="1"/>
  <c r="Z57" i="1"/>
  <c r="AC57" i="1"/>
  <c r="Z58" i="1"/>
  <c r="AC58" i="1"/>
  <c r="W56" i="1"/>
  <c r="W58" i="1"/>
  <c r="W57" i="1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19" i="2"/>
  <c r="C20" i="2"/>
  <c r="C21" i="2"/>
  <c r="C2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9" i="3"/>
  <c r="C134" i="2"/>
  <c r="C135" i="2"/>
  <c r="C136" i="2"/>
  <c r="C137" i="2"/>
  <c r="C129" i="2"/>
  <c r="C130" i="2"/>
  <c r="C131" i="2"/>
  <c r="C132" i="2"/>
  <c r="C124" i="2"/>
  <c r="C125" i="2"/>
  <c r="C126" i="2"/>
  <c r="C127" i="2"/>
  <c r="C119" i="2"/>
  <c r="C120" i="2"/>
  <c r="C121" i="2"/>
  <c r="C122" i="2"/>
  <c r="C114" i="2"/>
  <c r="C115" i="2"/>
  <c r="C116" i="2"/>
  <c r="C117" i="2"/>
  <c r="C109" i="2"/>
  <c r="C110" i="2"/>
  <c r="C111" i="2"/>
  <c r="C112" i="2"/>
  <c r="C104" i="2"/>
  <c r="C105" i="2"/>
  <c r="C106" i="2"/>
  <c r="C107" i="2"/>
  <c r="C94" i="2"/>
  <c r="C95" i="2"/>
  <c r="C96" i="2"/>
  <c r="C97" i="2"/>
  <c r="C90" i="2"/>
  <c r="C91" i="2"/>
  <c r="C92" i="2"/>
  <c r="C85" i="2"/>
  <c r="C86" i="2"/>
  <c r="C87" i="2"/>
  <c r="C79" i="2"/>
  <c r="C80" i="2"/>
  <c r="C81" i="2"/>
  <c r="C82" i="2"/>
  <c r="C74" i="2"/>
  <c r="C75" i="2"/>
  <c r="C76" i="2"/>
  <c r="C77" i="2"/>
  <c r="C69" i="2"/>
  <c r="C70" i="2"/>
  <c r="C71" i="2"/>
  <c r="C72" i="2"/>
  <c r="C59" i="2"/>
  <c r="C60" i="2"/>
  <c r="C61" i="2"/>
  <c r="C62" i="2"/>
  <c r="C54" i="2"/>
  <c r="C55" i="2"/>
  <c r="C56" i="2"/>
  <c r="C57" i="2"/>
  <c r="C44" i="2"/>
  <c r="C45" i="2"/>
  <c r="C46" i="2"/>
  <c r="C47" i="2"/>
  <c r="C39" i="2"/>
  <c r="C40" i="2"/>
  <c r="C41" i="2"/>
  <c r="C42" i="2"/>
  <c r="C35" i="2"/>
  <c r="C36" i="2"/>
  <c r="C37" i="2"/>
  <c r="C24" i="2"/>
  <c r="C25" i="2"/>
  <c r="C26" i="2"/>
  <c r="C27" i="2"/>
  <c r="P5" i="1"/>
  <c r="V5" i="1" l="1"/>
</calcChain>
</file>

<file path=xl/sharedStrings.xml><?xml version="1.0" encoding="utf-8"?>
<sst xmlns="http://schemas.openxmlformats.org/spreadsheetml/2006/main" count="289" uniqueCount="197">
  <si>
    <t>Customer</t>
  </si>
  <si>
    <t>Address</t>
  </si>
  <si>
    <t>Technicians</t>
  </si>
  <si>
    <t>User</t>
  </si>
  <si>
    <t>Date</t>
  </si>
  <si>
    <t>Temp.</t>
  </si>
  <si>
    <t>°C</t>
  </si>
  <si>
    <t>Humidity</t>
  </si>
  <si>
    <t>%</t>
  </si>
  <si>
    <t>Eqpt. Location</t>
  </si>
  <si>
    <t>Manufacturer</t>
  </si>
  <si>
    <t>Comments:</t>
  </si>
  <si>
    <t>Job #</t>
  </si>
  <si>
    <t>Insulation Correction Factors (20C)</t>
  </si>
  <si>
    <t>Tempurature</t>
  </si>
  <si>
    <t>Multiplier</t>
  </si>
  <si>
    <t>TCF</t>
  </si>
  <si>
    <t>°F</t>
  </si>
  <si>
    <t>Temperature Conversion</t>
  </si>
  <si>
    <t>Visual and Mechanical Inspection</t>
  </si>
  <si>
    <t>FAIL</t>
  </si>
  <si>
    <t>PASS</t>
  </si>
  <si>
    <t>Units</t>
  </si>
  <si>
    <t>Insulation Resistance Unit Answer Choices</t>
  </si>
  <si>
    <t>MΩ</t>
  </si>
  <si>
    <t>kΩ</t>
  </si>
  <si>
    <t>GΩ</t>
  </si>
  <si>
    <t>Kilo-Ohms</t>
  </si>
  <si>
    <t>Mega-Ohms</t>
  </si>
  <si>
    <t>Giga-Ohms</t>
  </si>
  <si>
    <t>1000V</t>
  </si>
  <si>
    <t>Insulation Resistance Test Voltages</t>
  </si>
  <si>
    <t>250V</t>
  </si>
  <si>
    <t>500V</t>
  </si>
  <si>
    <t>2500V</t>
  </si>
  <si>
    <t>5000V</t>
  </si>
  <si>
    <t>Substation</t>
  </si>
  <si>
    <t>Identifier</t>
  </si>
  <si>
    <t>LIMITED SERVICE</t>
  </si>
  <si>
    <t>Contact Resistance</t>
  </si>
  <si>
    <t>μΩ</t>
  </si>
  <si>
    <t>mΩ</t>
  </si>
  <si>
    <t>Ω</t>
  </si>
  <si>
    <t>Micro-Ohms</t>
  </si>
  <si>
    <t>Milli-Ohms</t>
  </si>
  <si>
    <t>Ohms</t>
  </si>
  <si>
    <t>Equipment Evaluation Result</t>
  </si>
  <si>
    <t>Test Equipment Used</t>
  </si>
  <si>
    <t>AMP ID:</t>
  </si>
  <si>
    <t>Megohmmeter:</t>
  </si>
  <si>
    <t>Serial Number:</t>
  </si>
  <si>
    <t>Results</t>
  </si>
  <si>
    <t>mA</t>
  </si>
  <si>
    <t>μA</t>
  </si>
  <si>
    <t>Milli Amp</t>
  </si>
  <si>
    <t>Mirco Amp</t>
  </si>
  <si>
    <t>Dielectric Withstand Unit Answer Choices</t>
  </si>
  <si>
    <t>VLF Withstand Test Voltages</t>
  </si>
  <si>
    <t>Cable Rating</t>
  </si>
  <si>
    <t>Test voltage</t>
  </si>
  <si>
    <t>Satisfactory</t>
  </si>
  <si>
    <t>Unsatisfactory</t>
  </si>
  <si>
    <t>NETA Section</t>
  </si>
  <si>
    <t>Select One</t>
  </si>
  <si>
    <t>Visual &amp; Mechanical Inspectiom Dropdown Options</t>
  </si>
  <si>
    <t>Cleaned</t>
  </si>
  <si>
    <t>See Comments</t>
  </si>
  <si>
    <t>Not Applicable</t>
  </si>
  <si>
    <t>Catalog Number</t>
  </si>
  <si>
    <t>Serial Number</t>
  </si>
  <si>
    <t>Type</t>
  </si>
  <si>
    <t>I.C. Rating (kA)</t>
  </si>
  <si>
    <t>Nameplate Data</t>
  </si>
  <si>
    <t>Compare equipment nameplate data with drawings and specifications.</t>
  </si>
  <si>
    <t>Inspect physical and mechanical condition.</t>
  </si>
  <si>
    <t>Verify the unit is clean.</t>
  </si>
  <si>
    <t>Verify cell fit and element alignment.</t>
  </si>
  <si>
    <t>Verify racking mechanism operation.</t>
  </si>
  <si>
    <t>Electrical Tests - Contact/Pole Resistance</t>
  </si>
  <si>
    <t>P1</t>
  </si>
  <si>
    <t>P2</t>
  </si>
  <si>
    <t>P3</t>
  </si>
  <si>
    <t>Electrical Tests - Insulation Resistance</t>
  </si>
  <si>
    <t>Test Voltage</t>
  </si>
  <si>
    <t>Pole to Pole</t>
  </si>
  <si>
    <t>Closed</t>
  </si>
  <si>
    <t>Pole to Frame</t>
  </si>
  <si>
    <t>Line to Load</t>
  </si>
  <si>
    <t>Open</t>
  </si>
  <si>
    <t>Low-Resistance Ohmmeter:</t>
  </si>
  <si>
    <t>Frame Size (A)</t>
  </si>
  <si>
    <t>Trip Unit Type</t>
  </si>
  <si>
    <t>Rating Plug (A)</t>
  </si>
  <si>
    <t>Curve No.</t>
  </si>
  <si>
    <t>Charge Motor Voltage</t>
  </si>
  <si>
    <t>Operation</t>
  </si>
  <si>
    <t>Mounting</t>
  </si>
  <si>
    <t>Zone Interlock</t>
  </si>
  <si>
    <t>Thermal Memory</t>
  </si>
  <si>
    <t>Inspect anchorage and alignment.</t>
  </si>
  <si>
    <t>Verify that all maintenance devices are available for servicing and operating the breaker.</t>
  </si>
  <si>
    <t>Verify the arc chutes are intact.</t>
  </si>
  <si>
    <t>Inspect moving and stationary contacts for condition and alignment.</t>
  </si>
  <si>
    <t>Verify that primary and secondary contact wipe and other dimensions vital to satisfactory
operation of the breaker are correct.</t>
  </si>
  <si>
    <t>Perform all mechanical operator and contact alignment tests on both the breaker and its
operating mechanism in accordance with manufacturer’s published data.</t>
  </si>
  <si>
    <t>Use of a low-resistance ohmmeter in accordance with Section 7.6.1.2.B.1.</t>
  </si>
  <si>
    <t>Verify appropriate lubrication on moving current-carrying parts and on moving and sliding surfaces.</t>
  </si>
  <si>
    <t>Perform adjustments for final protective device settings in accordance with coordination study provided by end user.</t>
  </si>
  <si>
    <t>7.6.1.2.A.1</t>
  </si>
  <si>
    <t>7.6.1.2.A.2</t>
  </si>
  <si>
    <t>7.6.1.2.A.3</t>
  </si>
  <si>
    <t>7.6.1.2.A.4</t>
  </si>
  <si>
    <t>7.6.1.2.A.5</t>
  </si>
  <si>
    <t>7.6.1.2.A.6</t>
  </si>
  <si>
    <t>7.6.1.2.A.7</t>
  </si>
  <si>
    <t>7.6.1.2.A.8</t>
  </si>
  <si>
    <t>7.6.1.2.A.9</t>
  </si>
  <si>
    <t>7.6.1.2.A.11</t>
  </si>
  <si>
    <t>7.6.1.2.A.12</t>
  </si>
  <si>
    <t>7.6.1.2.A.13</t>
  </si>
  <si>
    <t>7.6.1.2.A.14</t>
  </si>
  <si>
    <t>7.6.1.2.A.10.1</t>
  </si>
  <si>
    <t>Device Settings</t>
  </si>
  <si>
    <t>Settings As Found</t>
  </si>
  <si>
    <t>Setting</t>
  </si>
  <si>
    <t>Delay</t>
  </si>
  <si>
    <r>
      <t>I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t</t>
    </r>
  </si>
  <si>
    <t>Long Time</t>
  </si>
  <si>
    <t>Short Time</t>
  </si>
  <si>
    <t>Instantaneous</t>
  </si>
  <si>
    <t>Tested Settings</t>
  </si>
  <si>
    <t>Function</t>
  </si>
  <si>
    <t>Rated Amperes</t>
  </si>
  <si>
    <t>Test Amperes</t>
  </si>
  <si>
    <t>sec.</t>
  </si>
  <si>
    <t>Ground Fault</t>
  </si>
  <si>
    <t>LI</t>
  </si>
  <si>
    <t>LSI</t>
  </si>
  <si>
    <t>LSIG</t>
  </si>
  <si>
    <t>Electronic Trip Breaker Trip Unit Dropdown</t>
  </si>
  <si>
    <t>LS</t>
  </si>
  <si>
    <t>Long Time Settings</t>
  </si>
  <si>
    <t>Settings As Left</t>
  </si>
  <si>
    <t>P1 (P1-P2)</t>
  </si>
  <si>
    <t>Measured Values</t>
  </si>
  <si>
    <t>Temperature Corrected</t>
  </si>
  <si>
    <t>P2 (P2-P3)</t>
  </si>
  <si>
    <t>P3 (P3-P1)</t>
  </si>
  <si>
    <t>Secondary Injection</t>
  </si>
  <si>
    <t>Secondary Injection Test Set:</t>
  </si>
  <si>
    <t>N/A</t>
  </si>
  <si>
    <t>Pass/Fail</t>
  </si>
  <si>
    <t>Pass</t>
  </si>
  <si>
    <t>SQUARE D S33595</t>
  </si>
  <si>
    <t>B0032216</t>
  </si>
  <si>
    <t>Square D</t>
  </si>
  <si>
    <t>Micrologic 6.0 P</t>
  </si>
  <si>
    <t>Manual</t>
  </si>
  <si>
    <t>&gt;2200</t>
  </si>
  <si>
    <t>Fluke 1587</t>
  </si>
  <si>
    <t>65</t>
  </si>
  <si>
    <t>Electrical Tests - Primar Verification</t>
  </si>
  <si>
    <t>Primary Confirmation</t>
  </si>
  <si>
    <t>Megger DLRO10HD</t>
  </si>
  <si>
    <t>101339243</t>
  </si>
  <si>
    <t>1-385</t>
  </si>
  <si>
    <t>67590137</t>
  </si>
  <si>
    <t>1-213</t>
  </si>
  <si>
    <t>Test Current (A)</t>
  </si>
  <si>
    <t>Measured Current (A)</t>
  </si>
  <si>
    <t>Trip</t>
  </si>
  <si>
    <t>Electrical Tests - Secondary Injection</t>
  </si>
  <si>
    <t>Toyota Motor Manufacturing Alabama</t>
  </si>
  <si>
    <t>1 Cottonvalley Dr NW, Huntsville, AL 35810,United States</t>
  </si>
  <si>
    <t>66</t>
  </si>
  <si>
    <t>26097</t>
  </si>
  <si>
    <t>RM/HG</t>
  </si>
  <si>
    <t>SUB 5</t>
  </si>
  <si>
    <t>SUB 5A</t>
  </si>
  <si>
    <t>Draw-out</t>
  </si>
  <si>
    <t>Simulated</t>
  </si>
  <si>
    <t>WAEBR64ASXFXXXXA</t>
  </si>
  <si>
    <t>NW 16 H1</t>
  </si>
  <si>
    <t>1600</t>
  </si>
  <si>
    <t>085224035902</t>
  </si>
  <si>
    <t>1200</t>
  </si>
  <si>
    <t>1</t>
  </si>
  <si>
    <t>16</t>
  </si>
  <si>
    <t>5</t>
  </si>
  <si>
    <t>0.1</t>
  </si>
  <si>
    <t>Off</t>
  </si>
  <si>
    <t>6</t>
  </si>
  <si>
    <t>H</t>
  </si>
  <si>
    <t>0.2</t>
  </si>
  <si>
    <t>13</t>
  </si>
  <si>
    <t>11</t>
  </si>
  <si>
    <t>BD-5A1 2GR CRANK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</si>
</sst>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0"/>
      <color rgb="FF351D13"/>
      <name val="Calibri"/>
      <family val="2"/>
      <scheme val="minor"/>
    </font>
    <font>
      <b/>
      <sz val="10"/>
      <color rgb="FF663300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DAB56C"/>
      </bottom>
      <diagonal/>
    </border>
    <border>
      <left/>
      <right/>
      <top style="thin">
        <color indexed="64"/>
      </top>
      <bottom style="medium">
        <color rgb="FFDAB56C"/>
      </bottom>
      <diagonal/>
    </border>
    <border>
      <left/>
      <right/>
      <top style="medium">
        <color rgb="FFDAB56C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6" xfId="0" applyBorder="1"/>
    <xf numFmtId="0" fontId="5" fillId="0" borderId="0" xfId="0" applyFont="1"/>
    <xf numFmtId="0" fontId="6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Protection="1">
      <protection hidden="1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13" fillId="0" borderId="0" xfId="0" applyFont="1"/>
    <xf numFmtId="49" fontId="8" fillId="2" borderId="9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0" fontId="3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8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3" fillId="0" borderId="11" xfId="0" applyFont="1" applyBorder="1" applyAlignment="1">
      <alignment vertical="center"/>
    </xf>
    <xf numFmtId="0" fontId="3" fillId="2" borderId="11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11" fillId="2" borderId="13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right" vertical="center" wrapText="1"/>
    </xf>
    <xf numFmtId="49" fontId="3" fillId="2" borderId="0" xfId="0" applyNumberFormat="1" applyFont="1" applyFill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  <xf numFmtId="49" fontId="3" fillId="2" borderId="5" xfId="0" applyNumberFormat="1" applyFont="1" applyFill="1" applyBorder="1" applyAlignment="1" applyProtection="1">
      <alignment horizontal="center" vertical="center"/>
      <protection locked="0"/>
    </xf>
    <xf numFmtId="0" fontId="3" fillId="0" borderId="5" xfId="0" applyFont="1" applyBorder="1" applyAlignment="1">
      <alignment horizont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wrapText="1"/>
    </xf>
    <xf numFmtId="0" fontId="8" fillId="2" borderId="0" xfId="0" applyFont="1" applyFill="1" applyAlignment="1">
      <alignment vertical="center"/>
    </xf>
    <xf numFmtId="0" fontId="8" fillId="2" borderId="14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15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8" fillId="2" borderId="16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right"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49" fontId="3" fillId="3" borderId="3" xfId="0" applyNumberFormat="1" applyFont="1" applyFill="1" applyBorder="1" applyAlignment="1" applyProtection="1">
      <alignment horizontal="center" vertical="center"/>
      <protection locked="0"/>
    </xf>
    <xf numFmtId="49" fontId="3" fillId="3" borderId="2" xfId="0" applyNumberFormat="1" applyFont="1" applyFill="1" applyBorder="1" applyAlignment="1" applyProtection="1">
      <alignment horizontal="center" vertical="center"/>
      <protection locked="0"/>
    </xf>
    <xf numFmtId="49" fontId="3" fillId="3" borderId="4" xfId="0" applyNumberFormat="1" applyFont="1" applyFill="1" applyBorder="1" applyAlignment="1" applyProtection="1">
      <alignment horizontal="center" vertical="center"/>
      <protection locked="0"/>
    </xf>
    <xf numFmtId="0" fontId="8" fillId="2" borderId="5" xfId="0" applyFont="1" applyFill="1" applyBorder="1" applyAlignment="1">
      <alignment horizontal="center" vertical="center"/>
    </xf>
    <xf numFmtId="49" fontId="8" fillId="2" borderId="5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 applyProtection="1">
      <alignment horizontal="center" vertical="center"/>
      <protection locked="0"/>
    </xf>
    <xf numFmtId="0" fontId="8" fillId="2" borderId="5" xfId="0" applyFont="1" applyFill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/>
      <protection locked="0"/>
    </xf>
    <xf numFmtId="49" fontId="3" fillId="0" borderId="2" xfId="0" applyNumberFormat="1" applyFont="1" applyBorder="1" applyAlignment="1" applyProtection="1">
      <alignment horizontal="center"/>
      <protection locked="0"/>
    </xf>
    <xf numFmtId="49" fontId="3" fillId="0" borderId="4" xfId="0" applyNumberFormat="1" applyFont="1" applyBorder="1" applyAlignment="1" applyProtection="1">
      <alignment horizontal="center"/>
      <protection locked="0"/>
    </xf>
    <xf numFmtId="0" fontId="8" fillId="2" borderId="5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15" xfId="0" applyFont="1" applyFill="1" applyBorder="1" applyAlignment="1" applyProtection="1">
      <alignment horizontal="center" vertical="center"/>
      <protection locked="0"/>
    </xf>
    <xf numFmtId="0" fontId="3" fillId="2" borderId="16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 applyProtection="1">
      <alignment horizontal="center" vertical="center"/>
      <protection locked="0"/>
    </xf>
    <xf numFmtId="0" fontId="8" fillId="2" borderId="5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49" fontId="8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>
      <alignment horizontal="left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8" fillId="2" borderId="9" xfId="0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 applyProtection="1">
      <alignment horizontal="center" vertical="center"/>
      <protection locked="0"/>
    </xf>
    <xf numFmtId="14" fontId="8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49" fontId="8" fillId="2" borderId="2" xfId="0" applyNumberFormat="1" applyFont="1" applyFill="1" applyBorder="1" applyAlignment="1" applyProtection="1">
      <alignment horizontal="center" vertical="center"/>
      <protection locked="0"/>
    </xf>
    <xf numFmtId="49" fontId="8" fillId="2" borderId="7" xfId="0" applyNumberFormat="1" applyFont="1" applyFill="1" applyBorder="1" applyAlignment="1" applyProtection="1">
      <alignment horizontal="center" vertical="center"/>
      <protection locked="0"/>
    </xf>
    <xf numFmtId="49" fontId="8" fillId="2" borderId="8" xfId="0" applyNumberFormat="1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 vertical="center"/>
    </xf>
    <xf numFmtId="49" fontId="3" fillId="2" borderId="1" xfId="0" applyNumberFormat="1" applyFont="1" applyFill="1" applyBorder="1" applyAlignment="1" applyProtection="1">
      <alignment horizontal="center"/>
      <protection locked="0"/>
    </xf>
    <xf numFmtId="164" fontId="3" fillId="2" borderId="5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9" fontId="3" fillId="0" borderId="0" xfId="0" applyNumberFormat="1" applyFont="1" applyAlignment="1" applyProtection="1">
      <alignment horizontal="left" vertical="top" wrapText="1"/>
      <protection locked="0"/>
    </xf>
    <xf numFmtId="0" fontId="3" fillId="2" borderId="5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49" fontId="8" fillId="0" borderId="1" xfId="0" applyNumberFormat="1" applyFont="1" applyBorder="1" applyAlignment="1" applyProtection="1">
      <alignment horizontal="center" vertical="center"/>
      <protection locked="0"/>
    </xf>
    <xf numFmtId="49" fontId="8" fillId="0" borderId="2" xfId="0" applyNumberFormat="1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left" vertical="top" wrapText="1"/>
      <protection hidden="1"/>
    </xf>
    <xf numFmtId="0" fontId="0" fillId="0" borderId="0" xfId="0" applyAlignment="1" applyProtection="1">
      <alignment horizontal="left" vertical="top"/>
      <protection hidden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40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numFmt numFmtId="165" formatCode=";;;"/>
      <fill>
        <patternFill>
          <bgColor theme="0" tint="-0.14996795556505021"/>
        </patternFill>
      </fill>
      <border>
        <left/>
        <right/>
        <top/>
        <bottom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numFmt numFmtId="165" formatCode=";;;"/>
      <fill>
        <patternFill patternType="solid">
          <bgColor theme="0" tint="-0.14996795556505021"/>
        </patternFill>
      </fill>
      <border>
        <left/>
        <right/>
        <top/>
        <bottom/>
      </border>
    </dxf>
    <dxf>
      <numFmt numFmtId="165" formatCode=";;;"/>
      <fill>
        <patternFill patternType="solid">
          <bgColor theme="0" tint="-0.14996795556505021"/>
        </patternFill>
      </fill>
      <border>
        <left/>
        <right/>
        <top/>
        <bottom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numFmt numFmtId="165" formatCode=";;;"/>
      <fill>
        <patternFill>
          <bgColor theme="0" tint="-0.14996795556505021"/>
        </patternFill>
      </fill>
      <border>
        <left/>
        <right/>
        <top/>
        <bottom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;;;"/>
      <fill>
        <patternFill>
          <bgColor theme="0" tint="-0.14996795556505021"/>
        </patternFill>
      </fill>
      <border>
        <left/>
        <right/>
        <top/>
        <bottom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</dxfs>
  <tableStyles count="0" defaultTableStyle="TableStyleMedium9" defaultPivotStyle="PivotStyleLight16"/>
  <colors>
    <mruColors>
      <color rgb="FFDAB56C"/>
      <color rgb="FF351D13"/>
      <color rgb="FF663300"/>
      <color rgb="FFF267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171451</xdr:rowOff>
    </xdr:from>
    <xdr:to>
      <xdr:col>9</xdr:col>
      <xdr:colOff>387925</xdr:colOff>
      <xdr:row>42</xdr:row>
      <xdr:rowOff>111126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A8A871-A77A-85B1-5D6D-CE076841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71451"/>
          <a:ext cx="5826700" cy="7540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9525</xdr:rowOff>
    </xdr:from>
    <xdr:to>
      <xdr:col>9</xdr:col>
      <xdr:colOff>582133</xdr:colOff>
      <xdr:row>92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987D25-6796-3A1E-736B-F3A3FDB68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696325"/>
          <a:ext cx="6151083" cy="80010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95</xdr:row>
      <xdr:rowOff>31749</xdr:rowOff>
    </xdr:from>
    <xdr:to>
      <xdr:col>9</xdr:col>
      <xdr:colOff>603066</xdr:colOff>
      <xdr:row>139</xdr:row>
      <xdr:rowOff>53975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487231F-8B0E-4A70-00DF-003F0A085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" y="17224374"/>
          <a:ext cx="6165666" cy="79851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158752</xdr:rowOff>
    </xdr:from>
    <xdr:to>
      <xdr:col>9</xdr:col>
      <xdr:colOff>580140</xdr:colOff>
      <xdr:row>185</xdr:row>
      <xdr:rowOff>120651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ABB0DD5-73D7-65B6-E661-A4E8DA686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676227"/>
          <a:ext cx="6149090" cy="7927974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189</xdr:row>
      <xdr:rowOff>28575</xdr:rowOff>
    </xdr:from>
    <xdr:to>
      <xdr:col>9</xdr:col>
      <xdr:colOff>577850</xdr:colOff>
      <xdr:row>233</xdr:row>
      <xdr:rowOff>9872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3CAB330-4110-2C6A-B306-87A7E0F8A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4232850"/>
          <a:ext cx="6111875" cy="794419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180974</xdr:rowOff>
    </xdr:from>
    <xdr:to>
      <xdr:col>19</xdr:col>
      <xdr:colOff>606673</xdr:colOff>
      <xdr:row>44</xdr:row>
      <xdr:rowOff>152399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F0E9226-1202-C455-1ED9-6CF4839C5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0" y="180974"/>
          <a:ext cx="6178798" cy="79343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180974</xdr:rowOff>
    </xdr:from>
    <xdr:to>
      <xdr:col>19</xdr:col>
      <xdr:colOff>599616</xdr:colOff>
      <xdr:row>91</xdr:row>
      <xdr:rowOff>171449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A8DC7A-662E-228C-177C-FBB4602B3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91250" y="8686799"/>
          <a:ext cx="6171741" cy="7953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95</xdr:row>
      <xdr:rowOff>0</xdr:rowOff>
    </xdr:from>
    <xdr:to>
      <xdr:col>19</xdr:col>
      <xdr:colOff>600075</xdr:colOff>
      <xdr:row>139</xdr:row>
      <xdr:rowOff>88116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C878CBA-379E-6878-B36F-F9A47227F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91250" y="17192625"/>
          <a:ext cx="6172200" cy="804466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142</xdr:row>
      <xdr:rowOff>1</xdr:rowOff>
    </xdr:from>
    <xdr:to>
      <xdr:col>20</xdr:col>
      <xdr:colOff>7942</xdr:colOff>
      <xdr:row>185</xdr:row>
      <xdr:rowOff>57150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CA475EF-E69E-4D2F-0501-B2E1C2623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91250" y="25698451"/>
          <a:ext cx="6202367" cy="7839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23"/>
  <sheetViews>
    <sheetView showGridLines="0" tabSelected="1" view="pageLayout" topLeftCell="A70" zoomScaleNormal="100" workbookViewId="0">
      <selection activeCell="T10" sqref="T10:Y10"/>
    </sheetView>
  </sheetViews>
  <sheetFormatPr defaultColWidth="2.54296875" defaultRowHeight="11.5" customHeight="1" x14ac:dyDescent="0.35"/>
  <cols>
    <col min="1" max="16384" width="2.54296875" style="13"/>
  </cols>
  <sheetData>
    <row r="1" spans="1:39" ht="5.5" customHeight="1" x14ac:dyDescent="0.35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1.5" customHeight="1" x14ac:dyDescent="0.35">
      <c r="B2" s="56" t="s">
        <v>0</v>
      </c>
      <c r="C2" s="56"/>
      <c r="D2" s="56"/>
      <c r="E2" s="56"/>
      <c r="F2" s="101" t="s">
        <v>172</v>
      </c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5"/>
      <c r="Z2" s="100" t="s">
        <v>12</v>
      </c>
      <c r="AA2" s="100"/>
      <c r="AB2" s="100"/>
      <c r="AC2" s="100"/>
      <c r="AD2" s="100"/>
      <c r="AE2" s="99" t="s">
        <v>175</v>
      </c>
      <c r="AF2" s="99"/>
      <c r="AG2" s="99"/>
      <c r="AH2" s="99"/>
      <c r="AI2" s="14"/>
      <c r="AJ2" s="107" t="s">
        <v>21</v>
      </c>
      <c r="AK2" s="107"/>
      <c r="AL2" s="107"/>
      <c r="AM2" s="16"/>
    </row>
    <row r="3" spans="1:39" ht="11.5" customHeight="1" x14ac:dyDescent="0.35">
      <c r="B3" s="56" t="s">
        <v>1</v>
      </c>
      <c r="C3" s="56"/>
      <c r="D3" s="56"/>
      <c r="E3" s="56"/>
      <c r="F3" s="105" t="s">
        <v>173</v>
      </c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5"/>
      <c r="Z3" s="100" t="s">
        <v>2</v>
      </c>
      <c r="AA3" s="100"/>
      <c r="AB3" s="100"/>
      <c r="AC3" s="100"/>
      <c r="AD3" s="100"/>
      <c r="AE3" s="108" t="s">
        <v>176</v>
      </c>
      <c r="AF3" s="108"/>
      <c r="AG3" s="108"/>
      <c r="AH3" s="108"/>
      <c r="AI3" s="14"/>
      <c r="AJ3" s="107"/>
      <c r="AK3" s="107"/>
      <c r="AL3" s="107"/>
      <c r="AM3" s="16"/>
    </row>
    <row r="4" spans="1:39" ht="11.5" customHeight="1" x14ac:dyDescent="0.35">
      <c r="B4" s="56" t="s">
        <v>3</v>
      </c>
      <c r="C4" s="56"/>
      <c r="D4" s="56"/>
      <c r="E4" s="56"/>
      <c r="F4" s="101" t="s">
        <v>172</v>
      </c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07"/>
      <c r="AK4" s="107"/>
      <c r="AL4" s="107"/>
      <c r="AM4" s="16"/>
    </row>
    <row r="5" spans="1:39" ht="11.5" customHeight="1" x14ac:dyDescent="0.35">
      <c r="B5" s="56" t="s">
        <v>4</v>
      </c>
      <c r="C5" s="56"/>
      <c r="D5" s="56"/>
      <c r="E5" s="56"/>
      <c r="F5" s="106">
        <v>46214</v>
      </c>
      <c r="G5" s="106"/>
      <c r="H5" s="106"/>
      <c r="I5" s="106"/>
      <c r="J5" s="14"/>
      <c r="K5" s="98" t="s">
        <v>5</v>
      </c>
      <c r="L5" s="98"/>
      <c r="M5" s="101">
        <v>82</v>
      </c>
      <c r="N5" s="101"/>
      <c r="O5" s="14" t="s">
        <v>17</v>
      </c>
      <c r="P5" s="102">
        <f>VLOOKUP(M5,'Temp Conv'!A4:D138,3,TRUE)</f>
        <v>27</v>
      </c>
      <c r="Q5" s="102"/>
      <c r="R5" s="14" t="s">
        <v>6</v>
      </c>
      <c r="S5" s="14"/>
      <c r="T5" s="98" t="s">
        <v>16</v>
      </c>
      <c r="U5" s="98"/>
      <c r="V5" s="103">
        <f>VLOOKUP(P5, TCF!A4:F138, 3, FALSE)</f>
        <v>1.3820000000000001</v>
      </c>
      <c r="W5" s="104"/>
      <c r="X5" s="104"/>
      <c r="Y5" s="14"/>
      <c r="Z5" s="100" t="s">
        <v>36</v>
      </c>
      <c r="AA5" s="100"/>
      <c r="AB5" s="100"/>
      <c r="AC5" s="100"/>
      <c r="AD5" s="100"/>
      <c r="AE5" s="109" t="s">
        <v>178</v>
      </c>
      <c r="AF5" s="109"/>
      <c r="AG5" s="109"/>
      <c r="AH5" s="109"/>
      <c r="AI5" s="109"/>
      <c r="AJ5" s="109"/>
      <c r="AK5" s="109"/>
      <c r="AL5" s="109"/>
      <c r="AM5" s="14"/>
    </row>
    <row r="6" spans="1:39" ht="11.5" customHeight="1" x14ac:dyDescent="0.35">
      <c r="B6" s="56" t="s">
        <v>37</v>
      </c>
      <c r="C6" s="56"/>
      <c r="D6" s="56"/>
      <c r="E6" s="56"/>
      <c r="F6" s="99" t="s">
        <v>196</v>
      </c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8" t="s">
        <v>7</v>
      </c>
      <c r="T6" s="98"/>
      <c r="U6" s="98"/>
      <c r="V6" s="98"/>
      <c r="W6" s="11" t="s">
        <v>174</v>
      </c>
      <c r="X6" s="17" t="s">
        <v>8</v>
      </c>
      <c r="Y6" s="14"/>
      <c r="Z6" s="100" t="s">
        <v>9</v>
      </c>
      <c r="AA6" s="100"/>
      <c r="AB6" s="100"/>
      <c r="AC6" s="100"/>
      <c r="AD6" s="100"/>
      <c r="AE6" s="110" t="s">
        <v>177</v>
      </c>
      <c r="AF6" s="110"/>
      <c r="AG6" s="110"/>
      <c r="AH6" s="110"/>
      <c r="AI6" s="110"/>
      <c r="AJ6" s="110"/>
      <c r="AK6" s="110"/>
      <c r="AL6" s="110"/>
      <c r="AM6" s="14"/>
    </row>
    <row r="7" spans="1:39" ht="11.5" customHeight="1" thickBot="1" x14ac:dyDescent="0.4">
      <c r="A7" s="18"/>
      <c r="B7" s="18"/>
      <c r="C7" s="18"/>
      <c r="D7" s="18"/>
      <c r="E7" s="18"/>
      <c r="F7" s="19"/>
      <c r="G7" s="19"/>
      <c r="H7" s="19"/>
      <c r="I7" s="19"/>
      <c r="J7" s="19"/>
      <c r="K7" s="19"/>
      <c r="L7" s="19"/>
      <c r="M7" s="19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8" spans="1:39" ht="11.5" customHeight="1" x14ac:dyDescent="0.35">
      <c r="A8" s="20" t="s">
        <v>72</v>
      </c>
      <c r="B8" s="21"/>
      <c r="C8" s="21"/>
      <c r="D8" s="21"/>
      <c r="E8" s="21"/>
      <c r="F8" s="22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4"/>
      <c r="X8" s="23"/>
      <c r="Y8" s="24"/>
      <c r="Z8" s="25"/>
      <c r="AA8" s="24"/>
      <c r="AB8" s="24"/>
      <c r="AC8" s="24"/>
      <c r="AD8" s="24"/>
      <c r="AE8" s="24"/>
      <c r="AF8" s="24"/>
      <c r="AG8" s="24"/>
      <c r="AM8" s="24"/>
    </row>
    <row r="9" spans="1:39" ht="11.5" customHeight="1" x14ac:dyDescent="0.35">
      <c r="A9" s="20"/>
      <c r="B9" s="21"/>
      <c r="C9" s="21"/>
      <c r="D9" s="21"/>
      <c r="E9" s="21"/>
      <c r="F9" s="22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4"/>
      <c r="X9" s="23"/>
      <c r="Y9" s="24"/>
      <c r="Z9" s="25"/>
      <c r="AA9" s="24"/>
      <c r="AB9" s="24"/>
      <c r="AC9" s="24"/>
      <c r="AD9" s="24"/>
      <c r="AE9" s="24"/>
      <c r="AF9" s="24"/>
      <c r="AG9" s="24"/>
      <c r="AM9" s="24"/>
    </row>
    <row r="10" spans="1:39" ht="11.5" customHeight="1" x14ac:dyDescent="0.35">
      <c r="A10" s="26"/>
      <c r="B10" s="56" t="s">
        <v>10</v>
      </c>
      <c r="C10" s="56"/>
      <c r="D10" s="56"/>
      <c r="E10" s="56"/>
      <c r="F10" s="56"/>
      <c r="G10" s="99" t="s">
        <v>155</v>
      </c>
      <c r="H10" s="99"/>
      <c r="I10" s="99"/>
      <c r="J10" s="99"/>
      <c r="K10" s="99"/>
      <c r="L10" s="99"/>
      <c r="M10" s="14"/>
      <c r="N10" s="56" t="s">
        <v>71</v>
      </c>
      <c r="O10" s="56"/>
      <c r="P10" s="56"/>
      <c r="Q10" s="56"/>
      <c r="R10" s="56"/>
      <c r="S10" s="56"/>
      <c r="T10" s="99" t="s">
        <v>160</v>
      </c>
      <c r="U10" s="99"/>
      <c r="V10" s="99"/>
      <c r="W10" s="99"/>
      <c r="X10" s="99"/>
      <c r="Y10" s="99"/>
      <c r="AA10" s="119" t="s">
        <v>95</v>
      </c>
      <c r="AB10" s="119"/>
      <c r="AC10" s="119"/>
      <c r="AD10" s="119"/>
      <c r="AE10" s="119"/>
      <c r="AF10" s="120" t="s">
        <v>157</v>
      </c>
      <c r="AG10" s="120"/>
      <c r="AH10" s="120"/>
      <c r="AI10" s="120"/>
      <c r="AJ10" s="120"/>
      <c r="AK10" s="120"/>
      <c r="AM10" s="24"/>
    </row>
    <row r="11" spans="1:39" ht="11.5" customHeight="1" x14ac:dyDescent="0.35">
      <c r="A11" s="26"/>
      <c r="B11" s="56" t="s">
        <v>68</v>
      </c>
      <c r="C11" s="56"/>
      <c r="D11" s="56"/>
      <c r="E11" s="56"/>
      <c r="F11" s="56"/>
      <c r="G11" s="108" t="s">
        <v>181</v>
      </c>
      <c r="H11" s="108"/>
      <c r="I11" s="108"/>
      <c r="J11" s="108"/>
      <c r="K11" s="108"/>
      <c r="L11" s="108"/>
      <c r="M11" s="24"/>
      <c r="N11" s="56" t="s">
        <v>91</v>
      </c>
      <c r="O11" s="56"/>
      <c r="P11" s="56"/>
      <c r="Q11" s="56"/>
      <c r="R11" s="56"/>
      <c r="S11" s="56"/>
      <c r="T11" s="108" t="s">
        <v>156</v>
      </c>
      <c r="U11" s="108"/>
      <c r="V11" s="108"/>
      <c r="W11" s="108"/>
      <c r="X11" s="108"/>
      <c r="Y11" s="108"/>
      <c r="AA11" s="119" t="s">
        <v>96</v>
      </c>
      <c r="AB11" s="119"/>
      <c r="AC11" s="119"/>
      <c r="AD11" s="119"/>
      <c r="AE11" s="119"/>
      <c r="AF11" s="121" t="s">
        <v>179</v>
      </c>
      <c r="AG11" s="121"/>
      <c r="AH11" s="121"/>
      <c r="AI11" s="121"/>
      <c r="AJ11" s="121"/>
      <c r="AK11" s="121"/>
      <c r="AM11" s="24"/>
    </row>
    <row r="12" spans="1:39" ht="11.5" customHeight="1" x14ac:dyDescent="0.35">
      <c r="A12" s="26"/>
      <c r="B12" s="56" t="s">
        <v>69</v>
      </c>
      <c r="C12" s="56"/>
      <c r="D12" s="56"/>
      <c r="E12" s="56"/>
      <c r="F12" s="56"/>
      <c r="G12" s="108" t="s">
        <v>184</v>
      </c>
      <c r="H12" s="108"/>
      <c r="I12" s="108"/>
      <c r="J12" s="108"/>
      <c r="K12" s="108"/>
      <c r="L12" s="108"/>
      <c r="M12" s="24"/>
      <c r="N12" s="56" t="s">
        <v>92</v>
      </c>
      <c r="O12" s="56"/>
      <c r="P12" s="56"/>
      <c r="Q12" s="56"/>
      <c r="R12" s="56"/>
      <c r="S12" s="56"/>
      <c r="T12" s="99" t="s">
        <v>185</v>
      </c>
      <c r="U12" s="99"/>
      <c r="V12" s="99"/>
      <c r="W12" s="99"/>
      <c r="X12" s="99"/>
      <c r="Y12" s="99"/>
      <c r="AA12" s="119" t="s">
        <v>97</v>
      </c>
      <c r="AB12" s="119"/>
      <c r="AC12" s="119"/>
      <c r="AD12" s="119"/>
      <c r="AE12" s="119"/>
      <c r="AF12" s="121" t="s">
        <v>150</v>
      </c>
      <c r="AG12" s="121"/>
      <c r="AH12" s="121"/>
      <c r="AI12" s="121"/>
      <c r="AJ12" s="121"/>
      <c r="AK12" s="121"/>
      <c r="AM12" s="24"/>
    </row>
    <row r="13" spans="1:39" ht="11.5" customHeight="1" x14ac:dyDescent="0.35">
      <c r="A13" s="26"/>
      <c r="B13" s="56" t="s">
        <v>70</v>
      </c>
      <c r="C13" s="56"/>
      <c r="D13" s="56"/>
      <c r="E13" s="56"/>
      <c r="F13" s="56"/>
      <c r="G13" s="108" t="s">
        <v>182</v>
      </c>
      <c r="H13" s="108"/>
      <c r="I13" s="108"/>
      <c r="J13" s="108"/>
      <c r="K13" s="108"/>
      <c r="L13" s="108"/>
      <c r="M13" s="24"/>
      <c r="N13" s="56" t="s">
        <v>93</v>
      </c>
      <c r="O13" s="56"/>
      <c r="P13" s="56"/>
      <c r="Q13" s="56"/>
      <c r="R13" s="56"/>
      <c r="S13" s="56"/>
      <c r="T13" s="108" t="s">
        <v>150</v>
      </c>
      <c r="U13" s="108"/>
      <c r="V13" s="108"/>
      <c r="W13" s="108"/>
      <c r="X13" s="108"/>
      <c r="Y13" s="108"/>
      <c r="AA13" s="119" t="s">
        <v>98</v>
      </c>
      <c r="AB13" s="119"/>
      <c r="AC13" s="119"/>
      <c r="AD13" s="119"/>
      <c r="AE13" s="119"/>
      <c r="AF13" s="120" t="s">
        <v>180</v>
      </c>
      <c r="AG13" s="120"/>
      <c r="AH13" s="120"/>
      <c r="AI13" s="120"/>
      <c r="AJ13" s="120"/>
      <c r="AK13" s="120"/>
      <c r="AM13" s="24"/>
    </row>
    <row r="14" spans="1:39" ht="11.5" customHeight="1" x14ac:dyDescent="0.35">
      <c r="A14" s="26"/>
      <c r="B14" s="56" t="s">
        <v>90</v>
      </c>
      <c r="C14" s="56"/>
      <c r="D14" s="56"/>
      <c r="E14" s="56"/>
      <c r="F14" s="56"/>
      <c r="G14" s="108" t="s">
        <v>183</v>
      </c>
      <c r="H14" s="108"/>
      <c r="I14" s="108"/>
      <c r="J14" s="108"/>
      <c r="K14" s="108"/>
      <c r="L14" s="108"/>
      <c r="M14" s="24"/>
      <c r="N14" s="56" t="s">
        <v>94</v>
      </c>
      <c r="O14" s="56"/>
      <c r="P14" s="56"/>
      <c r="Q14" s="56"/>
      <c r="R14" s="56"/>
      <c r="S14" s="56"/>
      <c r="T14" s="108" t="s">
        <v>150</v>
      </c>
      <c r="U14" s="108"/>
      <c r="V14" s="108"/>
      <c r="W14" s="108"/>
      <c r="X14" s="108"/>
      <c r="Y14" s="108"/>
      <c r="AF14" s="24"/>
      <c r="AG14" s="24"/>
      <c r="AH14" s="24"/>
      <c r="AI14" s="24"/>
      <c r="AJ14" s="24"/>
      <c r="AK14" s="24"/>
      <c r="AL14" s="24"/>
      <c r="AM14" s="24"/>
    </row>
    <row r="15" spans="1:39" ht="11.5" customHeight="1" thickBot="1" x14ac:dyDescent="0.4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11.5" customHeight="1" x14ac:dyDescent="0.35">
      <c r="A16" s="20" t="s">
        <v>19</v>
      </c>
      <c r="B16" s="27"/>
      <c r="C16" s="27"/>
      <c r="D16" s="27"/>
      <c r="E16" s="27"/>
      <c r="F16" s="27"/>
      <c r="G16" s="27"/>
      <c r="H16" s="27"/>
      <c r="I16" s="27"/>
      <c r="J16" s="22"/>
      <c r="K16" s="22"/>
      <c r="L16" s="28"/>
      <c r="M16" s="24"/>
      <c r="N16" s="23"/>
      <c r="O16" s="23"/>
      <c r="P16" s="23"/>
      <c r="Q16" s="23"/>
      <c r="R16" s="23"/>
      <c r="S16" s="23"/>
      <c r="T16" s="23"/>
      <c r="U16" s="23"/>
      <c r="V16" s="29"/>
      <c r="W16" s="29"/>
      <c r="X16" s="29"/>
      <c r="Y16" s="28"/>
      <c r="Z16" s="28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</row>
    <row r="17" spans="1:39" ht="11.5" customHeight="1" x14ac:dyDescent="0.3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14"/>
    </row>
    <row r="18" spans="1:39" ht="11.5" customHeight="1" x14ac:dyDescent="0.35">
      <c r="B18" s="24" t="s">
        <v>62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 t="s">
        <v>51</v>
      </c>
      <c r="AI18" s="24"/>
      <c r="AJ18" s="24"/>
      <c r="AK18" s="24"/>
      <c r="AL18" s="24"/>
      <c r="AM18" s="24"/>
    </row>
    <row r="19" spans="1:39" ht="11.5" customHeight="1" x14ac:dyDescent="0.35">
      <c r="B19" s="86" t="s">
        <v>108</v>
      </c>
      <c r="C19" s="86"/>
      <c r="D19" s="86"/>
      <c r="E19" s="86"/>
      <c r="F19" s="86" t="s">
        <v>73</v>
      </c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8" t="s">
        <v>60</v>
      </c>
      <c r="AI19" s="88"/>
      <c r="AJ19" s="88"/>
      <c r="AK19" s="88"/>
      <c r="AL19" s="88"/>
      <c r="AM19" s="24"/>
    </row>
    <row r="20" spans="1:39" ht="11.5" customHeight="1" x14ac:dyDescent="0.35">
      <c r="B20" s="86" t="s">
        <v>109</v>
      </c>
      <c r="C20" s="86"/>
      <c r="D20" s="86"/>
      <c r="E20" s="86"/>
      <c r="F20" s="86" t="s">
        <v>74</v>
      </c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8" t="s">
        <v>60</v>
      </c>
      <c r="AI20" s="88"/>
      <c r="AJ20" s="88"/>
      <c r="AK20" s="88"/>
      <c r="AL20" s="88"/>
      <c r="AM20" s="24"/>
    </row>
    <row r="21" spans="1:39" ht="11.5" customHeight="1" x14ac:dyDescent="0.35">
      <c r="B21" s="86" t="s">
        <v>110</v>
      </c>
      <c r="C21" s="86"/>
      <c r="D21" s="86"/>
      <c r="E21" s="86"/>
      <c r="F21" s="86" t="s">
        <v>99</v>
      </c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8" t="s">
        <v>67</v>
      </c>
      <c r="AI21" s="88"/>
      <c r="AJ21" s="88"/>
      <c r="AK21" s="88"/>
      <c r="AL21" s="88"/>
      <c r="AM21" s="24"/>
    </row>
    <row r="22" spans="1:39" ht="11.5" customHeight="1" x14ac:dyDescent="0.35">
      <c r="B22" s="86" t="s">
        <v>111</v>
      </c>
      <c r="C22" s="86"/>
      <c r="D22" s="86"/>
      <c r="E22" s="86"/>
      <c r="F22" s="87" t="s">
        <v>100</v>
      </c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8" t="s">
        <v>60</v>
      </c>
      <c r="AI22" s="88"/>
      <c r="AJ22" s="88"/>
      <c r="AK22" s="88"/>
      <c r="AL22" s="88"/>
      <c r="AM22" s="24"/>
    </row>
    <row r="23" spans="1:39" ht="11.5" customHeight="1" x14ac:dyDescent="0.35">
      <c r="B23" s="86" t="s">
        <v>112</v>
      </c>
      <c r="C23" s="86"/>
      <c r="D23" s="86"/>
      <c r="E23" s="86"/>
      <c r="F23" s="87" t="s">
        <v>75</v>
      </c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8" t="s">
        <v>65</v>
      </c>
      <c r="AI23" s="88"/>
      <c r="AJ23" s="88"/>
      <c r="AK23" s="88"/>
      <c r="AL23" s="88"/>
      <c r="AM23" s="14"/>
    </row>
    <row r="24" spans="1:39" ht="11.5" customHeight="1" x14ac:dyDescent="0.35">
      <c r="B24" s="86" t="s">
        <v>113</v>
      </c>
      <c r="C24" s="86"/>
      <c r="D24" s="86"/>
      <c r="E24" s="86"/>
      <c r="F24" s="87" t="s">
        <v>101</v>
      </c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8" t="s">
        <v>60</v>
      </c>
      <c r="AI24" s="88"/>
      <c r="AJ24" s="88"/>
      <c r="AK24" s="88"/>
      <c r="AL24" s="88"/>
      <c r="AM24" s="14"/>
    </row>
    <row r="25" spans="1:39" ht="11.5" customHeight="1" x14ac:dyDescent="0.35">
      <c r="B25" s="86" t="s">
        <v>114</v>
      </c>
      <c r="C25" s="86"/>
      <c r="D25" s="86"/>
      <c r="E25" s="86"/>
      <c r="F25" s="87" t="s">
        <v>102</v>
      </c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8" t="s">
        <v>60</v>
      </c>
      <c r="AI25" s="88"/>
      <c r="AJ25" s="88"/>
      <c r="AK25" s="88"/>
      <c r="AL25" s="88"/>
      <c r="AM25" s="14"/>
    </row>
    <row r="26" spans="1:39" ht="11.5" customHeight="1" x14ac:dyDescent="0.35">
      <c r="B26" s="57" t="s">
        <v>115</v>
      </c>
      <c r="C26" s="58"/>
      <c r="D26" s="58"/>
      <c r="E26" s="59"/>
      <c r="F26" s="65" t="s">
        <v>103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7"/>
      <c r="AH26" s="89" t="s">
        <v>60</v>
      </c>
      <c r="AI26" s="90"/>
      <c r="AJ26" s="90"/>
      <c r="AK26" s="90"/>
      <c r="AL26" s="91"/>
      <c r="AM26" s="14"/>
    </row>
    <row r="27" spans="1:39" ht="11.5" customHeight="1" x14ac:dyDescent="0.35">
      <c r="B27" s="60"/>
      <c r="C27" s="61"/>
      <c r="D27" s="61"/>
      <c r="E27" s="62"/>
      <c r="F27" s="68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70"/>
      <c r="AH27" s="92"/>
      <c r="AI27" s="93"/>
      <c r="AJ27" s="93"/>
      <c r="AK27" s="93"/>
      <c r="AL27" s="94"/>
      <c r="AM27" s="14"/>
    </row>
    <row r="28" spans="1:39" ht="11.5" customHeight="1" x14ac:dyDescent="0.35">
      <c r="B28" s="95" t="s">
        <v>116</v>
      </c>
      <c r="C28" s="95"/>
      <c r="D28" s="95"/>
      <c r="E28" s="95"/>
      <c r="F28" s="96" t="s">
        <v>104</v>
      </c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88" t="s">
        <v>60</v>
      </c>
      <c r="AI28" s="88"/>
      <c r="AJ28" s="88"/>
      <c r="AK28" s="88"/>
      <c r="AL28" s="88"/>
      <c r="AM28" s="14"/>
    </row>
    <row r="29" spans="1:39" ht="11.5" customHeight="1" x14ac:dyDescent="0.35">
      <c r="B29" s="95"/>
      <c r="C29" s="95"/>
      <c r="D29" s="95"/>
      <c r="E29" s="95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88"/>
      <c r="AI29" s="88"/>
      <c r="AJ29" s="88"/>
      <c r="AK29" s="88"/>
      <c r="AL29" s="88"/>
      <c r="AM29" s="14"/>
    </row>
    <row r="30" spans="1:39" ht="11.5" customHeight="1" x14ac:dyDescent="0.35">
      <c r="B30" s="86" t="s">
        <v>121</v>
      </c>
      <c r="C30" s="86"/>
      <c r="D30" s="86"/>
      <c r="E30" s="86"/>
      <c r="F30" s="87" t="s">
        <v>105</v>
      </c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8" t="s">
        <v>60</v>
      </c>
      <c r="AI30" s="88"/>
      <c r="AJ30" s="88"/>
      <c r="AK30" s="88"/>
      <c r="AL30" s="88"/>
      <c r="AM30" s="14"/>
    </row>
    <row r="31" spans="1:39" ht="11.5" customHeight="1" x14ac:dyDescent="0.35">
      <c r="B31" s="86" t="s">
        <v>117</v>
      </c>
      <c r="C31" s="86"/>
      <c r="D31" s="86"/>
      <c r="E31" s="86"/>
      <c r="F31" s="87" t="s">
        <v>76</v>
      </c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8" t="s">
        <v>67</v>
      </c>
      <c r="AI31" s="88"/>
      <c r="AJ31" s="88"/>
      <c r="AK31" s="88"/>
      <c r="AL31" s="88"/>
      <c r="AM31" s="14"/>
    </row>
    <row r="32" spans="1:39" ht="11.5" customHeight="1" x14ac:dyDescent="0.35">
      <c r="B32" s="86" t="s">
        <v>118</v>
      </c>
      <c r="C32" s="86"/>
      <c r="D32" s="86"/>
      <c r="E32" s="86"/>
      <c r="F32" s="87" t="s">
        <v>77</v>
      </c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8" t="s">
        <v>67</v>
      </c>
      <c r="AI32" s="88"/>
      <c r="AJ32" s="88"/>
      <c r="AK32" s="88"/>
      <c r="AL32" s="88"/>
      <c r="AM32" s="14"/>
    </row>
    <row r="33" spans="1:39" ht="11.5" customHeight="1" x14ac:dyDescent="0.35">
      <c r="B33" s="86" t="s">
        <v>119</v>
      </c>
      <c r="C33" s="86"/>
      <c r="D33" s="86"/>
      <c r="E33" s="86"/>
      <c r="F33" s="87" t="s">
        <v>106</v>
      </c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8" t="s">
        <v>60</v>
      </c>
      <c r="AI33" s="88"/>
      <c r="AJ33" s="88"/>
      <c r="AK33" s="88"/>
      <c r="AL33" s="88"/>
      <c r="AM33" s="14"/>
    </row>
    <row r="34" spans="1:39" ht="11.5" customHeight="1" x14ac:dyDescent="0.35">
      <c r="B34" s="57" t="s">
        <v>120</v>
      </c>
      <c r="C34" s="58"/>
      <c r="D34" s="58"/>
      <c r="E34" s="59"/>
      <c r="F34" s="65" t="s">
        <v>107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7"/>
      <c r="AH34" s="89" t="s">
        <v>67</v>
      </c>
      <c r="AI34" s="90"/>
      <c r="AJ34" s="90"/>
      <c r="AK34" s="90"/>
      <c r="AL34" s="91"/>
      <c r="AM34" s="14"/>
    </row>
    <row r="35" spans="1:39" ht="11.5" customHeight="1" x14ac:dyDescent="0.35">
      <c r="B35" s="60"/>
      <c r="C35" s="61"/>
      <c r="D35" s="61"/>
      <c r="E35" s="62"/>
      <c r="F35" s="68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70"/>
      <c r="AH35" s="92"/>
      <c r="AI35" s="93"/>
      <c r="AJ35" s="93"/>
      <c r="AK35" s="93"/>
      <c r="AL35" s="94"/>
      <c r="AM35" s="14"/>
    </row>
    <row r="36" spans="1:39" ht="11.5" customHeight="1" thickBot="1" x14ac:dyDescent="0.4">
      <c r="A36" s="30"/>
      <c r="B36" s="31"/>
      <c r="C36" s="31"/>
      <c r="D36" s="31"/>
      <c r="E36" s="31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1"/>
      <c r="AI36" s="31"/>
      <c r="AJ36" s="31"/>
      <c r="AK36" s="31"/>
      <c r="AL36" s="31"/>
      <c r="AM36" s="33"/>
    </row>
    <row r="37" spans="1:39" ht="11.5" customHeight="1" x14ac:dyDescent="0.35">
      <c r="A37" s="20" t="s">
        <v>122</v>
      </c>
      <c r="B37" s="22"/>
      <c r="C37" s="22"/>
      <c r="D37" s="22"/>
      <c r="E37" s="22"/>
      <c r="F37" s="22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</row>
    <row r="38" spans="1:39" ht="11.5" customHeight="1" x14ac:dyDescent="0.3">
      <c r="A38" s="20"/>
      <c r="B38" s="22"/>
      <c r="C38" s="22"/>
      <c r="D38" s="22"/>
      <c r="E38" s="22"/>
      <c r="F38" s="22"/>
      <c r="G38" s="50" t="s">
        <v>123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U38" s="24"/>
      <c r="V38" s="50" t="s">
        <v>142</v>
      </c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24"/>
      <c r="AJ38" s="24"/>
      <c r="AK38" s="24"/>
      <c r="AL38" s="24"/>
      <c r="AM38" s="24"/>
    </row>
    <row r="39" spans="1:39" ht="11.5" customHeight="1" x14ac:dyDescent="0.35">
      <c r="A39" s="20"/>
      <c r="B39" s="71"/>
      <c r="C39" s="71"/>
      <c r="D39" s="71"/>
      <c r="E39" s="71"/>
      <c r="F39" s="71"/>
      <c r="G39" s="63"/>
      <c r="H39" s="63"/>
      <c r="I39" s="63"/>
      <c r="J39" s="63"/>
      <c r="K39" s="63"/>
      <c r="L39" s="52" t="s">
        <v>124</v>
      </c>
      <c r="M39" s="52"/>
      <c r="N39" s="52"/>
      <c r="O39" s="52" t="s">
        <v>125</v>
      </c>
      <c r="P39" s="52"/>
      <c r="Q39" s="52"/>
      <c r="R39" s="52" t="s">
        <v>126</v>
      </c>
      <c r="S39" s="52"/>
      <c r="U39" s="24"/>
      <c r="V39" s="63"/>
      <c r="W39" s="63"/>
      <c r="X39" s="63"/>
      <c r="Y39" s="63"/>
      <c r="Z39" s="63"/>
      <c r="AA39" s="52" t="s">
        <v>124</v>
      </c>
      <c r="AB39" s="52"/>
      <c r="AC39" s="52"/>
      <c r="AD39" s="52" t="s">
        <v>125</v>
      </c>
      <c r="AE39" s="52"/>
      <c r="AF39" s="52"/>
      <c r="AG39" s="52" t="s">
        <v>126</v>
      </c>
      <c r="AH39" s="52"/>
      <c r="AM39" s="24"/>
    </row>
    <row r="40" spans="1:39" ht="11.5" customHeight="1" x14ac:dyDescent="0.3">
      <c r="A40" s="20"/>
      <c r="B40" s="71"/>
      <c r="C40" s="71"/>
      <c r="D40" s="71"/>
      <c r="E40" s="71"/>
      <c r="F40" s="71"/>
      <c r="G40" s="50" t="s">
        <v>127</v>
      </c>
      <c r="H40" s="50"/>
      <c r="I40" s="50"/>
      <c r="J40" s="50"/>
      <c r="K40" s="50"/>
      <c r="L40" s="51" t="s">
        <v>186</v>
      </c>
      <c r="M40" s="51"/>
      <c r="N40" s="51"/>
      <c r="O40" s="51" t="s">
        <v>187</v>
      </c>
      <c r="P40" s="51"/>
      <c r="Q40" s="51"/>
      <c r="R40" s="64"/>
      <c r="S40" s="64"/>
      <c r="U40" s="24"/>
      <c r="V40" s="50" t="s">
        <v>127</v>
      </c>
      <c r="W40" s="50"/>
      <c r="X40" s="50"/>
      <c r="Y40" s="50"/>
      <c r="Z40" s="50"/>
      <c r="AA40" s="51" t="s">
        <v>186</v>
      </c>
      <c r="AB40" s="51"/>
      <c r="AC40" s="51"/>
      <c r="AD40" s="51" t="s">
        <v>187</v>
      </c>
      <c r="AE40" s="51"/>
      <c r="AF40" s="51"/>
      <c r="AG40" s="64"/>
      <c r="AH40" s="64"/>
      <c r="AM40" s="24"/>
    </row>
    <row r="41" spans="1:39" ht="11.5" customHeight="1" x14ac:dyDescent="0.3">
      <c r="A41" s="20"/>
      <c r="G41" s="50" t="s">
        <v>128</v>
      </c>
      <c r="H41" s="50"/>
      <c r="I41" s="50"/>
      <c r="J41" s="50"/>
      <c r="K41" s="50"/>
      <c r="L41" s="51" t="s">
        <v>188</v>
      </c>
      <c r="M41" s="51"/>
      <c r="N41" s="51"/>
      <c r="O41" s="51" t="s">
        <v>189</v>
      </c>
      <c r="P41" s="51"/>
      <c r="Q41" s="51"/>
      <c r="R41" s="51" t="s">
        <v>190</v>
      </c>
      <c r="S41" s="51"/>
      <c r="U41" s="24"/>
      <c r="V41" s="50" t="s">
        <v>128</v>
      </c>
      <c r="W41" s="50"/>
      <c r="X41" s="50"/>
      <c r="Y41" s="50"/>
      <c r="Z41" s="50"/>
      <c r="AA41" s="51" t="s">
        <v>188</v>
      </c>
      <c r="AB41" s="51"/>
      <c r="AC41" s="51"/>
      <c r="AD41" s="51" t="s">
        <v>189</v>
      </c>
      <c r="AE41" s="51"/>
      <c r="AF41" s="51"/>
      <c r="AG41" s="51" t="s">
        <v>190</v>
      </c>
      <c r="AH41" s="51"/>
      <c r="AM41" s="24"/>
    </row>
    <row r="42" spans="1:39" ht="11.5" customHeight="1" x14ac:dyDescent="0.35">
      <c r="A42" s="35"/>
      <c r="G42" s="63" t="s">
        <v>129</v>
      </c>
      <c r="H42" s="63"/>
      <c r="I42" s="63"/>
      <c r="J42" s="63"/>
      <c r="K42" s="63"/>
      <c r="L42" s="51" t="s">
        <v>191</v>
      </c>
      <c r="M42" s="51"/>
      <c r="N42" s="51"/>
      <c r="O42" s="76"/>
      <c r="P42" s="77"/>
      <c r="Q42" s="77"/>
      <c r="R42" s="77"/>
      <c r="S42" s="78"/>
      <c r="U42" s="24"/>
      <c r="V42" s="63" t="s">
        <v>129</v>
      </c>
      <c r="W42" s="63"/>
      <c r="X42" s="63"/>
      <c r="Y42" s="63"/>
      <c r="Z42" s="63"/>
      <c r="AA42" s="51" t="s">
        <v>191</v>
      </c>
      <c r="AB42" s="51"/>
      <c r="AC42" s="51"/>
      <c r="AD42" s="76"/>
      <c r="AE42" s="77"/>
      <c r="AF42" s="77"/>
      <c r="AG42" s="77"/>
      <c r="AH42" s="78"/>
      <c r="AM42" s="35"/>
    </row>
    <row r="43" spans="1:39" ht="11.5" customHeight="1" x14ac:dyDescent="0.3">
      <c r="A43" s="35"/>
      <c r="G43" s="50" t="s">
        <v>135</v>
      </c>
      <c r="H43" s="50"/>
      <c r="I43" s="50"/>
      <c r="J43" s="50"/>
      <c r="K43" s="50"/>
      <c r="L43" s="51" t="s">
        <v>192</v>
      </c>
      <c r="M43" s="51"/>
      <c r="N43" s="51"/>
      <c r="O43" s="51" t="s">
        <v>193</v>
      </c>
      <c r="P43" s="51"/>
      <c r="Q43" s="51"/>
      <c r="R43" s="51" t="s">
        <v>190</v>
      </c>
      <c r="S43" s="51"/>
      <c r="U43" s="24"/>
      <c r="V43" s="50" t="s">
        <v>135</v>
      </c>
      <c r="W43" s="50"/>
      <c r="X43" s="50"/>
      <c r="Y43" s="50"/>
      <c r="Z43" s="50"/>
      <c r="AA43" s="51" t="s">
        <v>192</v>
      </c>
      <c r="AB43" s="51"/>
      <c r="AC43" s="51"/>
      <c r="AD43" s="51" t="s">
        <v>193</v>
      </c>
      <c r="AE43" s="51"/>
      <c r="AF43" s="51"/>
      <c r="AG43" s="51" t="s">
        <v>190</v>
      </c>
      <c r="AH43" s="51"/>
      <c r="AM43" s="35"/>
    </row>
    <row r="44" spans="1:39" ht="11.5" customHeight="1" x14ac:dyDescent="0.35">
      <c r="A44" s="35"/>
      <c r="S44" s="24"/>
      <c r="T44" s="24"/>
      <c r="U44" s="24"/>
      <c r="AM44" s="35"/>
    </row>
    <row r="45" spans="1:39" ht="11.5" customHeight="1" thickBot="1" x14ac:dyDescent="0.4">
      <c r="A45" s="31"/>
      <c r="B45" s="31"/>
      <c r="C45" s="31"/>
      <c r="D45" s="31"/>
      <c r="E45" s="31"/>
      <c r="F45" s="31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18"/>
      <c r="AL45" s="18"/>
      <c r="AM45" s="18"/>
    </row>
    <row r="46" spans="1:39" ht="11.5" customHeight="1" x14ac:dyDescent="0.35">
      <c r="A46" s="20" t="s">
        <v>78</v>
      </c>
      <c r="B46" s="22"/>
      <c r="C46" s="22"/>
      <c r="D46" s="22"/>
      <c r="E46" s="22"/>
      <c r="F46" s="22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</row>
    <row r="47" spans="1:39" ht="11.5" customHeight="1" x14ac:dyDescent="0.3">
      <c r="A47" s="35"/>
      <c r="B47" s="37"/>
      <c r="C47" s="37"/>
      <c r="D47" s="34"/>
      <c r="E47" s="34"/>
      <c r="F47" s="34"/>
      <c r="G47" s="34"/>
      <c r="H47" s="34"/>
      <c r="I47" s="34"/>
      <c r="J47" s="34"/>
      <c r="K47" s="34"/>
      <c r="L47" s="38"/>
      <c r="O47" s="37"/>
      <c r="P47" s="37"/>
      <c r="Q47" s="34"/>
      <c r="R47" s="34"/>
      <c r="S47" s="34"/>
      <c r="T47" s="34"/>
      <c r="U47" s="34"/>
      <c r="V47" s="34"/>
      <c r="W47" s="34"/>
      <c r="X47" s="34"/>
      <c r="AB47" s="37"/>
      <c r="AC47" s="37"/>
      <c r="AD47" s="34"/>
      <c r="AE47" s="34"/>
      <c r="AF47" s="34"/>
      <c r="AG47" s="34"/>
      <c r="AH47" s="34"/>
      <c r="AI47" s="34"/>
      <c r="AJ47" s="34"/>
      <c r="AK47" s="34"/>
      <c r="AM47" s="35"/>
    </row>
    <row r="48" spans="1:39" ht="11.5" customHeight="1" x14ac:dyDescent="0.35">
      <c r="A48" s="35"/>
      <c r="J48" s="123" t="s">
        <v>39</v>
      </c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5"/>
      <c r="AE48" s="34"/>
      <c r="AF48" s="34"/>
      <c r="AG48" s="34"/>
      <c r="AH48" s="34"/>
      <c r="AI48" s="34"/>
      <c r="AJ48" s="34"/>
      <c r="AK48" s="34"/>
      <c r="AM48" s="35"/>
    </row>
    <row r="49" spans="1:39" ht="11.5" customHeight="1" x14ac:dyDescent="0.3">
      <c r="A49" s="35"/>
      <c r="J49" s="122" t="s">
        <v>79</v>
      </c>
      <c r="K49" s="122"/>
      <c r="L49" s="122"/>
      <c r="M49" s="122"/>
      <c r="N49" s="122"/>
      <c r="O49" s="122"/>
      <c r="P49" s="122" t="s">
        <v>80</v>
      </c>
      <c r="Q49" s="122"/>
      <c r="R49" s="122"/>
      <c r="S49" s="122"/>
      <c r="T49" s="122"/>
      <c r="U49" s="122"/>
      <c r="V49" s="122" t="s">
        <v>81</v>
      </c>
      <c r="W49" s="122"/>
      <c r="X49" s="122"/>
      <c r="Y49" s="122"/>
      <c r="Z49" s="122"/>
      <c r="AA49" s="122"/>
      <c r="AB49" s="79" t="s">
        <v>22</v>
      </c>
      <c r="AC49" s="79"/>
      <c r="AD49" s="79"/>
      <c r="AE49" s="34"/>
      <c r="AF49" s="34"/>
      <c r="AG49" s="34"/>
      <c r="AH49" s="34"/>
      <c r="AI49" s="34"/>
      <c r="AJ49" s="34"/>
      <c r="AK49" s="34"/>
      <c r="AM49" s="35"/>
    </row>
    <row r="50" spans="1:39" ht="11.5" customHeight="1" x14ac:dyDescent="0.3">
      <c r="A50" s="35"/>
      <c r="J50" s="83" t="s">
        <v>194</v>
      </c>
      <c r="K50" s="84"/>
      <c r="L50" s="84"/>
      <c r="M50" s="84"/>
      <c r="N50" s="84"/>
      <c r="O50" s="85"/>
      <c r="P50" s="83" t="s">
        <v>194</v>
      </c>
      <c r="Q50" s="84"/>
      <c r="R50" s="84"/>
      <c r="S50" s="84"/>
      <c r="T50" s="84"/>
      <c r="U50" s="85"/>
      <c r="V50" s="83" t="s">
        <v>195</v>
      </c>
      <c r="W50" s="84"/>
      <c r="X50" s="84"/>
      <c r="Y50" s="84"/>
      <c r="Z50" s="84"/>
      <c r="AA50" s="85"/>
      <c r="AB50" s="81" t="s">
        <v>40</v>
      </c>
      <c r="AC50" s="82"/>
      <c r="AD50" s="82"/>
      <c r="AE50" s="34"/>
      <c r="AF50" s="34"/>
      <c r="AG50" s="34"/>
      <c r="AH50" s="34"/>
      <c r="AI50" s="34"/>
      <c r="AJ50" s="34"/>
      <c r="AK50" s="34"/>
      <c r="AM50" s="35"/>
    </row>
    <row r="51" spans="1:39" ht="11.5" customHeight="1" thickBot="1" x14ac:dyDescent="0.4">
      <c r="A51" s="31"/>
      <c r="B51" s="31"/>
      <c r="C51" s="31"/>
      <c r="D51" s="31"/>
      <c r="E51" s="31"/>
      <c r="F51" s="31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18"/>
      <c r="AL51" s="18"/>
      <c r="AM51" s="18"/>
    </row>
    <row r="52" spans="1:39" ht="11.5" customHeight="1" x14ac:dyDescent="0.35">
      <c r="A52" s="20" t="s">
        <v>82</v>
      </c>
      <c r="B52" s="22"/>
      <c r="C52" s="22"/>
      <c r="D52" s="22"/>
      <c r="E52" s="22"/>
      <c r="F52" s="22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</row>
    <row r="53" spans="1:39" ht="11.5" customHeight="1" x14ac:dyDescent="0.3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</row>
    <row r="54" spans="1:39" ht="11.5" customHeight="1" x14ac:dyDescent="0.35">
      <c r="A54" s="35"/>
      <c r="F54" s="63" t="s">
        <v>83</v>
      </c>
      <c r="G54" s="63"/>
      <c r="H54" s="63"/>
      <c r="I54" s="63"/>
      <c r="J54" s="88" t="s">
        <v>30</v>
      </c>
      <c r="K54" s="88"/>
      <c r="L54" s="88"/>
      <c r="M54" s="24"/>
      <c r="N54" s="114" t="s">
        <v>144</v>
      </c>
      <c r="O54" s="115"/>
      <c r="P54" s="115"/>
      <c r="Q54" s="115"/>
      <c r="R54" s="115"/>
      <c r="S54" s="115"/>
      <c r="T54" s="115"/>
      <c r="U54" s="115"/>
      <c r="V54" s="116"/>
      <c r="W54" s="114" t="s">
        <v>145</v>
      </c>
      <c r="X54" s="115"/>
      <c r="Y54" s="115"/>
      <c r="Z54" s="115"/>
      <c r="AA54" s="115"/>
      <c r="AB54" s="115"/>
      <c r="AC54" s="115"/>
      <c r="AD54" s="115"/>
      <c r="AE54" s="116"/>
    </row>
    <row r="55" spans="1:39" ht="11.5" customHeight="1" x14ac:dyDescent="0.35">
      <c r="A55" s="35"/>
      <c r="F55" s="24"/>
      <c r="G55" s="24"/>
      <c r="H55" s="24"/>
      <c r="I55" s="24"/>
      <c r="J55" s="24"/>
      <c r="K55" s="24"/>
      <c r="L55" s="24"/>
      <c r="M55" s="24"/>
      <c r="N55" s="80" t="s">
        <v>143</v>
      </c>
      <c r="O55" s="80"/>
      <c r="P55" s="80"/>
      <c r="Q55" s="80" t="s">
        <v>146</v>
      </c>
      <c r="R55" s="80"/>
      <c r="S55" s="80"/>
      <c r="T55" s="80" t="s">
        <v>147</v>
      </c>
      <c r="U55" s="80"/>
      <c r="V55" s="80"/>
      <c r="W55" s="80" t="s">
        <v>143</v>
      </c>
      <c r="X55" s="80"/>
      <c r="Y55" s="80"/>
      <c r="Z55" s="80" t="s">
        <v>146</v>
      </c>
      <c r="AA55" s="80"/>
      <c r="AB55" s="80"/>
      <c r="AC55" s="80" t="s">
        <v>147</v>
      </c>
      <c r="AD55" s="80"/>
      <c r="AE55" s="80"/>
      <c r="AF55" s="79" t="s">
        <v>22</v>
      </c>
      <c r="AG55" s="79"/>
      <c r="AH55" s="79"/>
    </row>
    <row r="56" spans="1:39" ht="11.5" customHeight="1" x14ac:dyDescent="0.35">
      <c r="A56" s="35"/>
      <c r="F56" s="118" t="s">
        <v>84</v>
      </c>
      <c r="G56" s="118"/>
      <c r="H56" s="118"/>
      <c r="I56" s="118"/>
      <c r="J56" s="118"/>
      <c r="K56" s="63" t="s">
        <v>85</v>
      </c>
      <c r="L56" s="63"/>
      <c r="M56" s="63"/>
      <c r="N56" s="49" t="s">
        <v>158</v>
      </c>
      <c r="O56" s="49"/>
      <c r="P56" s="49"/>
      <c r="Q56" s="49" t="s">
        <v>158</v>
      </c>
      <c r="R56" s="49"/>
      <c r="S56" s="49"/>
      <c r="T56" s="49" t="s">
        <v>158</v>
      </c>
      <c r="U56" s="49"/>
      <c r="V56" s="49"/>
      <c r="W56" s="113" t="str">
        <f>IF(OR(COUNTIF(N56,"*&gt;*"),COUNTIF(N56,"*&lt;*"),COUNTIF(N56,"N/A")),N56,IF(N56="","",N56*$V$5))</f>
        <v>&gt;2200</v>
      </c>
      <c r="X56" s="113"/>
      <c r="Y56" s="113"/>
      <c r="Z56" s="113" t="str">
        <f>IF(OR(COUNTIF(Q56,"*&gt;*"),COUNTIF(Q56,"*&lt;*"),COUNTIF(Q56,"N/A")),Q56,IF(Q56="","",Q56*$V$5))</f>
        <v>&gt;2200</v>
      </c>
      <c r="AA56" s="113"/>
      <c r="AB56" s="113"/>
      <c r="AC56" s="113" t="str">
        <f>IF(OR(COUNTIF(T56,"*&gt;*"),COUNTIF(T56,"*&lt;*"),COUNTIF(T56,"N/A")),T56,IF(T56="","",T56*$V$5))</f>
        <v>&gt;2200</v>
      </c>
      <c r="AD56" s="113"/>
      <c r="AE56" s="113"/>
      <c r="AF56" s="81" t="s">
        <v>24</v>
      </c>
      <c r="AG56" s="82"/>
      <c r="AH56" s="82"/>
    </row>
    <row r="57" spans="1:39" ht="11.5" customHeight="1" x14ac:dyDescent="0.35">
      <c r="A57" s="35"/>
      <c r="F57" s="118" t="s">
        <v>86</v>
      </c>
      <c r="G57" s="118"/>
      <c r="H57" s="118"/>
      <c r="I57" s="118"/>
      <c r="J57" s="118"/>
      <c r="K57" s="63"/>
      <c r="L57" s="63"/>
      <c r="M57" s="63"/>
      <c r="N57" s="49" t="s">
        <v>158</v>
      </c>
      <c r="O57" s="49"/>
      <c r="P57" s="49"/>
      <c r="Q57" s="49" t="s">
        <v>158</v>
      </c>
      <c r="R57" s="49"/>
      <c r="S57" s="49"/>
      <c r="T57" s="49" t="s">
        <v>158</v>
      </c>
      <c r="U57" s="49"/>
      <c r="V57" s="49"/>
      <c r="W57" s="113" t="str">
        <f>IF(OR(COUNTIF(N57,"*&gt;*"),COUNTIF(N57,"*&lt;*"),COUNTIF(N57,"N/A")),N57,IF(N57="","",N57*$V$5))</f>
        <v>&gt;2200</v>
      </c>
      <c r="X57" s="113"/>
      <c r="Y57" s="113"/>
      <c r="Z57" s="113" t="str">
        <f>IF(OR(COUNTIF(Q57,"*&gt;*"),COUNTIF(Q57,"*&lt;*"),COUNTIF(Q57,"N/A")),Q57,IF(Q57="","",Q57*$V$5))</f>
        <v>&gt;2200</v>
      </c>
      <c r="AA57" s="113"/>
      <c r="AB57" s="113"/>
      <c r="AC57" s="113" t="str">
        <f>IF(OR(COUNTIF(T57,"*&gt;*"),COUNTIF(T57,"*&lt;*"),COUNTIF(T57,"N/A")),T57,IF(T57="","",T57*$V$5))</f>
        <v>&gt;2200</v>
      </c>
      <c r="AD57" s="113"/>
      <c r="AE57" s="113"/>
      <c r="AF57" s="81" t="s">
        <v>24</v>
      </c>
      <c r="AG57" s="82"/>
      <c r="AH57" s="82"/>
    </row>
    <row r="58" spans="1:39" ht="11.5" customHeight="1" x14ac:dyDescent="0.35">
      <c r="A58" s="35"/>
      <c r="F58" s="118" t="s">
        <v>87</v>
      </c>
      <c r="G58" s="118"/>
      <c r="H58" s="118"/>
      <c r="I58" s="118"/>
      <c r="J58" s="118"/>
      <c r="K58" s="63" t="s">
        <v>88</v>
      </c>
      <c r="L58" s="63"/>
      <c r="M58" s="63"/>
      <c r="N58" s="49" t="s">
        <v>158</v>
      </c>
      <c r="O58" s="49"/>
      <c r="P58" s="49"/>
      <c r="Q58" s="49" t="s">
        <v>158</v>
      </c>
      <c r="R58" s="49"/>
      <c r="S58" s="49"/>
      <c r="T58" s="49" t="s">
        <v>158</v>
      </c>
      <c r="U58" s="49"/>
      <c r="V58" s="49"/>
      <c r="W58" s="113" t="str">
        <f>IF(OR(COUNTIF(N58,"*&gt;*"),COUNTIF(N58,"*&lt;*"),COUNTIF(N58,"N/A")),N58,IF(N58="","",N58*$V$5))</f>
        <v>&gt;2200</v>
      </c>
      <c r="X58" s="113"/>
      <c r="Y58" s="113"/>
      <c r="Z58" s="113" t="str">
        <f>IF(OR(COUNTIF(Q58,"*&gt;*"),COUNTIF(Q58,"*&lt;*"),COUNTIF(Q58,"N/A")),Q58,IF(Q58="","",Q58*$V$5))</f>
        <v>&gt;2200</v>
      </c>
      <c r="AA58" s="113"/>
      <c r="AB58" s="113"/>
      <c r="AC58" s="113" t="str">
        <f>IF(OR(COUNTIF(T58,"*&gt;*"),COUNTIF(T58,"*&lt;*"),COUNTIF(T58,"N/A")),T58,IF(T58="","",T58*$V$5))</f>
        <v>&gt;2200</v>
      </c>
      <c r="AD58" s="113"/>
      <c r="AE58" s="113"/>
      <c r="AF58" s="81" t="s">
        <v>25</v>
      </c>
      <c r="AG58" s="82"/>
      <c r="AH58" s="82"/>
    </row>
    <row r="59" spans="1:39" ht="11.5" customHeight="1" x14ac:dyDescent="0.35">
      <c r="A59" s="35"/>
      <c r="S59" s="24"/>
    </row>
    <row r="60" spans="1:39" ht="11.5" customHeight="1" x14ac:dyDescent="0.35">
      <c r="A60" s="35"/>
      <c r="B60" s="28"/>
      <c r="C60" s="28"/>
      <c r="D60" s="28"/>
      <c r="E60" s="28"/>
      <c r="F60" s="28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4"/>
      <c r="AE60" s="23"/>
    </row>
    <row r="61" spans="1:39" ht="11.5" customHeight="1" x14ac:dyDescent="0.35">
      <c r="A61" s="35"/>
      <c r="B61" s="28"/>
      <c r="C61" s="28"/>
      <c r="D61" s="28"/>
      <c r="E61" s="28"/>
      <c r="F61" s="28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4"/>
      <c r="AE61" s="23"/>
      <c r="AF61" s="23"/>
      <c r="AG61" s="23"/>
      <c r="AH61" s="23"/>
      <c r="AI61" s="23"/>
      <c r="AJ61" s="23"/>
      <c r="AK61" s="23"/>
      <c r="AL61" s="23"/>
      <c r="AM61" s="35"/>
    </row>
    <row r="62" spans="1:39" ht="11.5" customHeight="1" thickBot="1" x14ac:dyDescent="0.4">
      <c r="A62" s="31"/>
      <c r="B62" s="31"/>
      <c r="C62" s="31"/>
      <c r="D62" s="31"/>
      <c r="E62" s="31"/>
      <c r="F62" s="31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18"/>
      <c r="AL62" s="18"/>
      <c r="AM62" s="18"/>
    </row>
    <row r="63" spans="1:39" ht="11.5" customHeight="1" x14ac:dyDescent="0.35">
      <c r="A63" s="39" t="s">
        <v>171</v>
      </c>
      <c r="B63" s="40"/>
      <c r="C63" s="40"/>
      <c r="D63" s="40"/>
      <c r="E63" s="40"/>
      <c r="F63" s="40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</row>
    <row r="65" spans="1:39" ht="11.5" customHeight="1" x14ac:dyDescent="0.3">
      <c r="A65" s="35"/>
      <c r="M65" s="50" t="s">
        <v>130</v>
      </c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28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35"/>
    </row>
    <row r="66" spans="1:39" ht="11.5" customHeight="1" x14ac:dyDescent="0.35">
      <c r="A66" s="35"/>
      <c r="M66" s="63"/>
      <c r="N66" s="63"/>
      <c r="O66" s="63"/>
      <c r="P66" s="63"/>
      <c r="Q66" s="63"/>
      <c r="R66" s="52" t="s">
        <v>124</v>
      </c>
      <c r="S66" s="52"/>
      <c r="T66" s="52"/>
      <c r="U66" s="52" t="s">
        <v>125</v>
      </c>
      <c r="V66" s="52"/>
      <c r="W66" s="52"/>
      <c r="X66" s="52" t="s">
        <v>126</v>
      </c>
      <c r="Y66" s="52"/>
      <c r="Z66" s="28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35"/>
    </row>
    <row r="67" spans="1:39" ht="11.5" customHeight="1" x14ac:dyDescent="0.3">
      <c r="A67" s="35"/>
      <c r="M67" s="50" t="s">
        <v>127</v>
      </c>
      <c r="N67" s="50"/>
      <c r="O67" s="50"/>
      <c r="P67" s="50"/>
      <c r="Q67" s="50"/>
      <c r="R67" s="51" t="s">
        <v>186</v>
      </c>
      <c r="S67" s="51"/>
      <c r="T67" s="51"/>
      <c r="U67" s="51" t="s">
        <v>187</v>
      </c>
      <c r="V67" s="51"/>
      <c r="W67" s="51"/>
      <c r="X67" s="64"/>
      <c r="Y67" s="64"/>
      <c r="Z67" s="28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35"/>
    </row>
    <row r="68" spans="1:39" ht="11.5" customHeight="1" x14ac:dyDescent="0.3">
      <c r="A68" s="35"/>
      <c r="M68" s="50" t="s">
        <v>128</v>
      </c>
      <c r="N68" s="50"/>
      <c r="O68" s="50"/>
      <c r="P68" s="50"/>
      <c r="Q68" s="50"/>
      <c r="R68" s="51" t="s">
        <v>188</v>
      </c>
      <c r="S68" s="51"/>
      <c r="T68" s="51"/>
      <c r="U68" s="51" t="s">
        <v>189</v>
      </c>
      <c r="V68" s="51"/>
      <c r="W68" s="51"/>
      <c r="X68" s="51" t="s">
        <v>190</v>
      </c>
      <c r="Y68" s="51"/>
      <c r="Z68" s="28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35"/>
    </row>
    <row r="69" spans="1:39" ht="11.5" customHeight="1" x14ac:dyDescent="0.35">
      <c r="A69" s="35"/>
      <c r="M69" s="63" t="s">
        <v>129</v>
      </c>
      <c r="N69" s="63"/>
      <c r="O69" s="63"/>
      <c r="P69" s="63"/>
      <c r="Q69" s="63"/>
      <c r="R69" s="51" t="s">
        <v>191</v>
      </c>
      <c r="S69" s="51"/>
      <c r="T69" s="51"/>
      <c r="U69" s="76"/>
      <c r="V69" s="77"/>
      <c r="W69" s="77"/>
      <c r="X69" s="77"/>
      <c r="Y69" s="78"/>
      <c r="Z69" s="28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35"/>
    </row>
    <row r="70" spans="1:39" ht="11.5" customHeight="1" x14ac:dyDescent="0.3">
      <c r="A70" s="35"/>
      <c r="M70" s="50" t="s">
        <v>135</v>
      </c>
      <c r="N70" s="50"/>
      <c r="O70" s="50"/>
      <c r="P70" s="50"/>
      <c r="Q70" s="50"/>
      <c r="R70" s="51" t="s">
        <v>192</v>
      </c>
      <c r="S70" s="51"/>
      <c r="T70" s="51"/>
      <c r="U70" s="51" t="s">
        <v>193</v>
      </c>
      <c r="V70" s="51"/>
      <c r="W70" s="51"/>
      <c r="X70" s="51" t="s">
        <v>190</v>
      </c>
      <c r="Y70" s="51"/>
      <c r="Z70" s="28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35"/>
    </row>
    <row r="71" spans="1:39" ht="11.5" customHeight="1" x14ac:dyDescent="0.3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</row>
    <row r="72" spans="1:39" ht="11.5" customHeight="1" x14ac:dyDescent="0.35">
      <c r="A72" s="35"/>
      <c r="I72" s="52" t="s">
        <v>148</v>
      </c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M72" s="35"/>
    </row>
    <row r="73" spans="1:39" ht="11.5" customHeight="1" x14ac:dyDescent="0.35">
      <c r="A73" s="35"/>
      <c r="I73" s="54" t="s">
        <v>131</v>
      </c>
      <c r="J73" s="54"/>
      <c r="K73" s="54"/>
      <c r="L73" s="54"/>
      <c r="M73" s="54"/>
      <c r="N73" s="55" t="s">
        <v>132</v>
      </c>
      <c r="O73" s="55"/>
      <c r="P73" s="55"/>
      <c r="Q73" s="55" t="s">
        <v>133</v>
      </c>
      <c r="R73" s="55"/>
      <c r="S73" s="55"/>
      <c r="T73" s="52" t="s">
        <v>51</v>
      </c>
      <c r="U73" s="52"/>
      <c r="V73" s="52"/>
      <c r="W73" s="52"/>
      <c r="X73" s="52"/>
      <c r="Y73" s="52"/>
      <c r="Z73" s="52"/>
      <c r="AA73" s="52"/>
      <c r="AB73" s="52"/>
      <c r="AC73" s="52"/>
    </row>
    <row r="74" spans="1:39" ht="11.5" customHeight="1" x14ac:dyDescent="0.35">
      <c r="A74" s="35"/>
      <c r="I74" s="54"/>
      <c r="J74" s="54"/>
      <c r="K74" s="54"/>
      <c r="L74" s="54"/>
      <c r="M74" s="54"/>
      <c r="N74" s="55"/>
      <c r="O74" s="55"/>
      <c r="P74" s="55"/>
      <c r="Q74" s="55"/>
      <c r="R74" s="55"/>
      <c r="S74" s="55"/>
      <c r="T74" s="52" t="s">
        <v>170</v>
      </c>
      <c r="U74" s="52"/>
      <c r="V74" s="52"/>
      <c r="W74" s="52"/>
      <c r="X74" s="127" t="s">
        <v>22</v>
      </c>
      <c r="Y74" s="127"/>
      <c r="Z74" s="127"/>
      <c r="AA74" s="127" t="s">
        <v>151</v>
      </c>
      <c r="AB74" s="127"/>
      <c r="AC74" s="127"/>
    </row>
    <row r="75" spans="1:39" ht="11.5" customHeight="1" x14ac:dyDescent="0.3">
      <c r="A75" s="35"/>
      <c r="I75" s="52" t="s">
        <v>127</v>
      </c>
      <c r="J75" s="52"/>
      <c r="K75" s="52"/>
      <c r="L75" s="52"/>
      <c r="M75" s="52"/>
      <c r="N75" s="53">
        <v>1200</v>
      </c>
      <c r="O75" s="53"/>
      <c r="P75" s="53"/>
      <c r="Q75" s="53">
        <v>4400</v>
      </c>
      <c r="R75" s="53"/>
      <c r="S75" s="53"/>
      <c r="T75" s="53">
        <v>38.552999999999997</v>
      </c>
      <c r="U75" s="53"/>
      <c r="V75" s="53"/>
      <c r="W75" s="53"/>
      <c r="X75" s="75" t="s">
        <v>134</v>
      </c>
      <c r="Y75" s="75"/>
      <c r="Z75" s="75"/>
      <c r="AA75" s="74" t="s">
        <v>152</v>
      </c>
      <c r="AB75" s="74"/>
      <c r="AC75" s="74"/>
    </row>
    <row r="76" spans="1:39" ht="11.5" customHeight="1" x14ac:dyDescent="0.3">
      <c r="A76" s="35"/>
      <c r="I76" s="52" t="s">
        <v>128</v>
      </c>
      <c r="J76" s="52"/>
      <c r="K76" s="52"/>
      <c r="L76" s="52"/>
      <c r="M76" s="52"/>
      <c r="N76" s="53">
        <v>6000</v>
      </c>
      <c r="O76" s="53"/>
      <c r="P76" s="53"/>
      <c r="Q76" s="53">
        <v>6600</v>
      </c>
      <c r="R76" s="53"/>
      <c r="S76" s="53"/>
      <c r="T76" s="53">
        <v>0.13100000000000001</v>
      </c>
      <c r="U76" s="53"/>
      <c r="V76" s="53"/>
      <c r="W76" s="53"/>
      <c r="X76" s="75" t="s">
        <v>134</v>
      </c>
      <c r="Y76" s="75"/>
      <c r="Z76" s="75"/>
      <c r="AA76" s="74" t="s">
        <v>152</v>
      </c>
      <c r="AB76" s="74"/>
      <c r="AC76" s="74"/>
    </row>
    <row r="77" spans="1:39" ht="11.5" customHeight="1" x14ac:dyDescent="0.3">
      <c r="A77" s="35"/>
      <c r="I77" s="52" t="s">
        <v>129</v>
      </c>
      <c r="J77" s="52"/>
      <c r="K77" s="52"/>
      <c r="L77" s="52"/>
      <c r="M77" s="52"/>
      <c r="N77" s="53">
        <v>7200</v>
      </c>
      <c r="O77" s="53"/>
      <c r="P77" s="53"/>
      <c r="Q77" s="53">
        <v>9000</v>
      </c>
      <c r="R77" s="53"/>
      <c r="S77" s="53"/>
      <c r="T77" s="53">
        <v>4.2999999999999997E-2</v>
      </c>
      <c r="U77" s="53"/>
      <c r="V77" s="53"/>
      <c r="W77" s="53"/>
      <c r="X77" s="75" t="s">
        <v>134</v>
      </c>
      <c r="Y77" s="75"/>
      <c r="Z77" s="75"/>
      <c r="AA77" s="74" t="s">
        <v>152</v>
      </c>
      <c r="AB77" s="74"/>
      <c r="AC77" s="74"/>
    </row>
    <row r="78" spans="1:39" ht="11.5" customHeight="1" x14ac:dyDescent="0.3">
      <c r="A78" s="35"/>
      <c r="I78" s="52" t="s">
        <v>135</v>
      </c>
      <c r="J78" s="52"/>
      <c r="K78" s="52"/>
      <c r="L78" s="52"/>
      <c r="M78" s="52"/>
      <c r="N78" s="53">
        <v>1000</v>
      </c>
      <c r="O78" s="53"/>
      <c r="P78" s="53"/>
      <c r="Q78" s="53">
        <v>2160</v>
      </c>
      <c r="R78" s="53"/>
      <c r="S78" s="53"/>
      <c r="T78" s="53">
        <v>0.159</v>
      </c>
      <c r="U78" s="53"/>
      <c r="V78" s="53"/>
      <c r="W78" s="53"/>
      <c r="X78" s="75" t="s">
        <v>134</v>
      </c>
      <c r="Y78" s="75"/>
      <c r="Z78" s="75"/>
      <c r="AA78" s="74" t="s">
        <v>152</v>
      </c>
      <c r="AB78" s="74"/>
      <c r="AC78" s="74"/>
    </row>
    <row r="79" spans="1:39" ht="11.5" customHeight="1" x14ac:dyDescent="0.3">
      <c r="A79" s="35"/>
      <c r="I79" s="34"/>
      <c r="J79" s="34"/>
      <c r="K79" s="34"/>
      <c r="L79" s="34"/>
      <c r="M79" s="34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6"/>
      <c r="Y79" s="46"/>
      <c r="Z79" s="46"/>
      <c r="AA79" s="47"/>
      <c r="AB79" s="47"/>
      <c r="AC79" s="47"/>
    </row>
    <row r="80" spans="1:39" ht="11.5" customHeight="1" thickBot="1" x14ac:dyDescent="0.4">
      <c r="A80" s="31"/>
      <c r="B80" s="31"/>
      <c r="C80" s="31"/>
      <c r="D80" s="31"/>
      <c r="E80" s="31"/>
      <c r="F80" s="31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18"/>
      <c r="AL80" s="18"/>
      <c r="AM80" s="18"/>
    </row>
    <row r="81" spans="1:39" ht="11.5" customHeight="1" x14ac:dyDescent="0.35">
      <c r="A81" s="39" t="s">
        <v>161</v>
      </c>
      <c r="B81" s="40"/>
      <c r="C81" s="40"/>
      <c r="D81" s="40"/>
      <c r="E81" s="40"/>
      <c r="F81" s="40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</row>
    <row r="82" spans="1:39" ht="11.5" customHeight="1" x14ac:dyDescent="0.35">
      <c r="A82" s="35"/>
      <c r="B82" s="28"/>
      <c r="C82" s="28"/>
      <c r="D82" s="28"/>
      <c r="E82" s="28"/>
      <c r="F82" s="28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4"/>
      <c r="V82" s="28"/>
      <c r="W82" s="28"/>
      <c r="X82" s="28"/>
      <c r="Y82" s="28"/>
      <c r="Z82" s="28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35"/>
    </row>
    <row r="83" spans="1:39" ht="11.5" customHeight="1" x14ac:dyDescent="0.3">
      <c r="A83" s="35"/>
      <c r="J83" s="50" t="s">
        <v>162</v>
      </c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45"/>
      <c r="AD83" s="45"/>
      <c r="AE83" s="45"/>
      <c r="AF83" s="46"/>
      <c r="AG83" s="46"/>
      <c r="AH83" s="46"/>
      <c r="AI83" s="47"/>
      <c r="AJ83" s="47"/>
      <c r="AK83" s="47"/>
    </row>
    <row r="84" spans="1:39" ht="11.5" customHeight="1" x14ac:dyDescent="0.3">
      <c r="A84" s="35"/>
      <c r="J84" s="126"/>
      <c r="K84" s="126"/>
      <c r="L84" s="126"/>
      <c r="M84" s="126"/>
      <c r="N84" s="126"/>
      <c r="O84" s="126"/>
      <c r="P84" s="126"/>
      <c r="Q84" s="50" t="s">
        <v>79</v>
      </c>
      <c r="R84" s="50"/>
      <c r="S84" s="50"/>
      <c r="T84" s="50"/>
      <c r="U84" s="50" t="s">
        <v>80</v>
      </c>
      <c r="V84" s="50"/>
      <c r="W84" s="50"/>
      <c r="X84" s="50"/>
      <c r="Y84" s="50" t="s">
        <v>81</v>
      </c>
      <c r="Z84" s="50"/>
      <c r="AA84" s="50"/>
      <c r="AB84" s="50"/>
    </row>
    <row r="85" spans="1:39" ht="11.5" customHeight="1" x14ac:dyDescent="0.3">
      <c r="A85" s="35"/>
      <c r="J85" s="50" t="s">
        <v>168</v>
      </c>
      <c r="K85" s="50"/>
      <c r="L85" s="50"/>
      <c r="M85" s="50"/>
      <c r="N85" s="50"/>
      <c r="O85" s="50"/>
      <c r="P85" s="50"/>
      <c r="Q85" s="74">
        <v>100</v>
      </c>
      <c r="R85" s="74"/>
      <c r="S85" s="74"/>
      <c r="T85" s="74"/>
      <c r="U85" s="74">
        <v>100</v>
      </c>
      <c r="V85" s="74"/>
      <c r="W85" s="74"/>
      <c r="X85" s="74"/>
      <c r="Y85" s="74">
        <v>100</v>
      </c>
      <c r="Z85" s="74"/>
      <c r="AA85" s="74"/>
      <c r="AB85" s="74"/>
    </row>
    <row r="86" spans="1:39" ht="11.5" customHeight="1" x14ac:dyDescent="0.3">
      <c r="A86" s="35"/>
      <c r="J86" s="50" t="s">
        <v>169</v>
      </c>
      <c r="K86" s="50"/>
      <c r="L86" s="50"/>
      <c r="M86" s="50"/>
      <c r="N86" s="50"/>
      <c r="O86" s="50"/>
      <c r="P86" s="50"/>
      <c r="Q86" s="74">
        <v>105</v>
      </c>
      <c r="R86" s="74"/>
      <c r="S86" s="74"/>
      <c r="T86" s="74"/>
      <c r="U86" s="74">
        <v>101</v>
      </c>
      <c r="V86" s="74"/>
      <c r="W86" s="74"/>
      <c r="X86" s="74"/>
      <c r="Y86" s="74">
        <v>101</v>
      </c>
      <c r="Z86" s="74"/>
      <c r="AA86" s="74"/>
      <c r="AB86" s="74"/>
    </row>
    <row r="87" spans="1:39" ht="11.5" customHeight="1" x14ac:dyDescent="0.3">
      <c r="A87" s="35"/>
      <c r="J87" s="48"/>
      <c r="K87" s="48"/>
      <c r="L87" s="48"/>
      <c r="M87" s="48"/>
      <c r="N87" s="48"/>
      <c r="O87" s="48"/>
      <c r="P87" s="48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</row>
    <row r="88" spans="1:39" ht="11.5" customHeight="1" thickBot="1" x14ac:dyDescent="0.4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</row>
    <row r="89" spans="1:39" ht="11.5" customHeight="1" x14ac:dyDescent="0.35">
      <c r="A89" s="39" t="s">
        <v>47</v>
      </c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</row>
    <row r="90" spans="1:39" ht="11.5" customHeight="1" x14ac:dyDescent="0.3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</row>
    <row r="91" spans="1:39" ht="11.5" customHeight="1" x14ac:dyDescent="0.35">
      <c r="A91" s="24"/>
      <c r="B91" s="73" t="s">
        <v>49</v>
      </c>
      <c r="C91" s="73"/>
      <c r="D91" s="73"/>
      <c r="E91" s="73"/>
      <c r="F91" s="73"/>
      <c r="G91" s="73"/>
      <c r="H91" s="73"/>
      <c r="I91" s="73"/>
      <c r="J91" s="72" t="s">
        <v>159</v>
      </c>
      <c r="K91" s="72"/>
      <c r="L91" s="72"/>
      <c r="M91" s="72"/>
      <c r="N91" s="72"/>
      <c r="O91" s="72"/>
      <c r="P91" s="72"/>
      <c r="Q91" s="73" t="s">
        <v>50</v>
      </c>
      <c r="R91" s="73"/>
      <c r="S91" s="73"/>
      <c r="T91" s="73"/>
      <c r="U91" s="73"/>
      <c r="V91" s="72" t="s">
        <v>166</v>
      </c>
      <c r="W91" s="72"/>
      <c r="X91" s="72"/>
      <c r="Y91" s="72"/>
      <c r="Z91" s="72"/>
      <c r="AA91" s="72"/>
      <c r="AB91" s="72"/>
      <c r="AC91" s="73" t="s">
        <v>48</v>
      </c>
      <c r="AD91" s="73"/>
      <c r="AE91" s="73"/>
      <c r="AF91" s="72" t="s">
        <v>167</v>
      </c>
      <c r="AG91" s="72"/>
      <c r="AH91" s="72"/>
      <c r="AI91" s="72"/>
      <c r="AJ91" s="24"/>
      <c r="AK91" s="24"/>
      <c r="AL91" s="24"/>
      <c r="AM91" s="24"/>
    </row>
    <row r="92" spans="1:39" ht="11.5" customHeight="1" x14ac:dyDescent="0.35">
      <c r="A92" s="24"/>
      <c r="B92" s="29"/>
      <c r="C92" s="29"/>
      <c r="D92" s="29"/>
      <c r="E92" s="29"/>
      <c r="F92" s="29"/>
      <c r="G92" s="29"/>
      <c r="H92" s="29"/>
      <c r="I92" s="29"/>
      <c r="J92" s="42"/>
      <c r="K92" s="42"/>
      <c r="L92" s="42"/>
      <c r="M92" s="42"/>
      <c r="N92" s="42"/>
      <c r="O92" s="42"/>
      <c r="P92" s="42"/>
      <c r="Q92" s="29"/>
      <c r="R92" s="29"/>
      <c r="S92" s="29"/>
      <c r="T92" s="29"/>
      <c r="U92" s="29"/>
      <c r="AB92" s="24"/>
      <c r="AC92" s="29"/>
      <c r="AD92" s="29"/>
      <c r="AE92" s="29"/>
      <c r="AF92" s="42"/>
      <c r="AG92" s="42"/>
      <c r="AH92" s="42"/>
      <c r="AI92" s="42"/>
      <c r="AJ92" s="24"/>
      <c r="AK92" s="24"/>
      <c r="AL92" s="24"/>
      <c r="AM92" s="24"/>
    </row>
    <row r="93" spans="1:39" ht="11" customHeight="1" x14ac:dyDescent="0.3">
      <c r="A93" s="24"/>
      <c r="B93" s="111" t="s">
        <v>89</v>
      </c>
      <c r="C93" s="111"/>
      <c r="D93" s="111"/>
      <c r="E93" s="111"/>
      <c r="F93" s="111"/>
      <c r="G93" s="111"/>
      <c r="H93" s="111"/>
      <c r="I93" s="111"/>
      <c r="J93" s="112" t="s">
        <v>163</v>
      </c>
      <c r="K93" s="112"/>
      <c r="L93" s="112"/>
      <c r="M93" s="112"/>
      <c r="N93" s="112"/>
      <c r="O93" s="112"/>
      <c r="P93" s="112"/>
      <c r="Q93" s="73" t="s">
        <v>50</v>
      </c>
      <c r="R93" s="73"/>
      <c r="S93" s="73"/>
      <c r="T93" s="73"/>
      <c r="U93" s="73"/>
      <c r="V93" s="72" t="s">
        <v>164</v>
      </c>
      <c r="W93" s="72"/>
      <c r="X93" s="72"/>
      <c r="Y93" s="72"/>
      <c r="Z93" s="72"/>
      <c r="AA93" s="72"/>
      <c r="AB93" s="72"/>
      <c r="AC93" s="73" t="s">
        <v>48</v>
      </c>
      <c r="AD93" s="73"/>
      <c r="AE93" s="73"/>
      <c r="AF93" s="72" t="s">
        <v>165</v>
      </c>
      <c r="AG93" s="72"/>
      <c r="AH93" s="72"/>
      <c r="AI93" s="72"/>
      <c r="AJ93" s="24"/>
      <c r="AK93" s="24"/>
      <c r="AL93" s="24"/>
      <c r="AM93" s="24"/>
    </row>
    <row r="94" spans="1:39" ht="11" customHeight="1" x14ac:dyDescent="0.3">
      <c r="A94" s="24"/>
      <c r="B94" s="43"/>
      <c r="C94" s="43"/>
      <c r="D94" s="43"/>
      <c r="E94" s="43"/>
      <c r="F94" s="43"/>
      <c r="G94" s="43"/>
      <c r="H94" s="43"/>
      <c r="I94" s="43"/>
      <c r="J94" s="44"/>
      <c r="K94" s="44"/>
      <c r="L94" s="44"/>
      <c r="M94" s="44"/>
      <c r="N94" s="44"/>
      <c r="O94" s="44"/>
      <c r="P94" s="44"/>
      <c r="Q94" s="29"/>
      <c r="R94" s="29"/>
      <c r="S94" s="29"/>
      <c r="T94" s="29"/>
      <c r="U94" s="29"/>
      <c r="V94" s="25"/>
      <c r="W94" s="25"/>
      <c r="X94" s="25"/>
      <c r="Y94" s="25"/>
      <c r="Z94" s="25"/>
      <c r="AA94" s="25"/>
      <c r="AB94" s="24"/>
      <c r="AC94" s="29"/>
      <c r="AD94" s="29"/>
      <c r="AE94" s="29"/>
      <c r="AF94" s="25"/>
      <c r="AG94" s="25"/>
      <c r="AH94" s="25"/>
      <c r="AI94" s="25"/>
      <c r="AJ94" s="24"/>
      <c r="AK94" s="24"/>
      <c r="AL94" s="24"/>
      <c r="AM94" s="24"/>
    </row>
    <row r="95" spans="1:39" ht="11.5" customHeight="1" x14ac:dyDescent="0.35">
      <c r="A95" s="24"/>
      <c r="B95" s="111" t="s">
        <v>149</v>
      </c>
      <c r="C95" s="111"/>
      <c r="D95" s="111"/>
      <c r="E95" s="111"/>
      <c r="F95" s="111"/>
      <c r="G95" s="111"/>
      <c r="H95" s="111"/>
      <c r="I95" s="111"/>
      <c r="J95" s="72" t="s">
        <v>153</v>
      </c>
      <c r="K95" s="72"/>
      <c r="L95" s="72"/>
      <c r="M95" s="72"/>
      <c r="N95" s="72"/>
      <c r="O95" s="72"/>
      <c r="P95" s="72"/>
      <c r="Q95" s="73" t="s">
        <v>50</v>
      </c>
      <c r="R95" s="73"/>
      <c r="S95" s="73"/>
      <c r="T95" s="73"/>
      <c r="U95" s="73"/>
      <c r="V95" s="72" t="s">
        <v>154</v>
      </c>
      <c r="W95" s="72"/>
      <c r="X95" s="72"/>
      <c r="Y95" s="72"/>
      <c r="Z95" s="72"/>
      <c r="AA95" s="72"/>
      <c r="AB95" s="72"/>
      <c r="AC95" s="73" t="s">
        <v>48</v>
      </c>
      <c r="AD95" s="73"/>
      <c r="AE95" s="73"/>
      <c r="AF95" s="72" t="s">
        <v>150</v>
      </c>
      <c r="AG95" s="72"/>
      <c r="AH95" s="72"/>
      <c r="AI95" s="72"/>
      <c r="AJ95" s="24"/>
      <c r="AK95" s="24"/>
      <c r="AL95" s="24"/>
      <c r="AM95" s="24"/>
    </row>
    <row r="96" spans="1:39" ht="11.5" customHeight="1" thickBot="1" x14ac:dyDescent="0.4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</row>
    <row r="97" spans="1:39" ht="11.5" customHeight="1" x14ac:dyDescent="0.35">
      <c r="A97" s="20" t="s">
        <v>11</v>
      </c>
      <c r="C97" s="24"/>
      <c r="D97" s="24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24"/>
    </row>
    <row r="98" spans="1:39" ht="11.5" customHeight="1" x14ac:dyDescent="0.35">
      <c r="A98" s="20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</row>
    <row r="99" spans="1:39" ht="11.5" customHeight="1" x14ac:dyDescent="0.35">
      <c r="A99" s="20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7"/>
      <c r="AM99" s="24"/>
    </row>
    <row r="100" spans="1:39" ht="11.5" customHeight="1" x14ac:dyDescent="0.35">
      <c r="A100" s="20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  <c r="AM100" s="24"/>
    </row>
    <row r="101" spans="1:39" ht="11.5" customHeight="1" x14ac:dyDescent="0.35">
      <c r="A101" s="20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7"/>
      <c r="AH101" s="117"/>
      <c r="AI101" s="117"/>
      <c r="AJ101" s="117"/>
      <c r="AK101" s="117"/>
      <c r="AL101" s="117"/>
      <c r="AM101" s="24"/>
    </row>
    <row r="102" spans="1:39" ht="11.5" customHeight="1" x14ac:dyDescent="0.35">
      <c r="A102" s="20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7"/>
      <c r="AL102" s="117"/>
      <c r="AM102" s="24"/>
    </row>
    <row r="103" spans="1:39" ht="11.5" customHeight="1" x14ac:dyDescent="0.35">
      <c r="A103" s="20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17"/>
      <c r="AH103" s="117"/>
      <c r="AI103" s="117"/>
      <c r="AJ103" s="117"/>
      <c r="AK103" s="117"/>
      <c r="AL103" s="117"/>
      <c r="AM103" s="24"/>
    </row>
    <row r="104" spans="1:39" ht="11.5" customHeight="1" x14ac:dyDescent="0.35">
      <c r="A104" s="20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117"/>
      <c r="AC104" s="117"/>
      <c r="AD104" s="117"/>
      <c r="AE104" s="117"/>
      <c r="AF104" s="117"/>
      <c r="AG104" s="117"/>
      <c r="AH104" s="117"/>
      <c r="AI104" s="117"/>
      <c r="AJ104" s="117"/>
      <c r="AK104" s="117"/>
      <c r="AL104" s="117"/>
      <c r="AM104" s="24"/>
    </row>
    <row r="105" spans="1:39" ht="11.5" customHeight="1" x14ac:dyDescent="0.35">
      <c r="A105" s="20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  <c r="AC105" s="117"/>
      <c r="AD105" s="117"/>
      <c r="AE105" s="117"/>
      <c r="AF105" s="117"/>
      <c r="AG105" s="117"/>
      <c r="AH105" s="117"/>
      <c r="AI105" s="117"/>
      <c r="AJ105" s="117"/>
      <c r="AK105" s="117"/>
      <c r="AL105" s="117"/>
      <c r="AM105" s="24"/>
    </row>
    <row r="106" spans="1:39" ht="11.5" customHeight="1" x14ac:dyDescent="0.35">
      <c r="A106" s="20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7"/>
      <c r="AF106" s="117"/>
      <c r="AG106" s="117"/>
      <c r="AH106" s="117"/>
      <c r="AI106" s="117"/>
      <c r="AJ106" s="117"/>
      <c r="AK106" s="117"/>
      <c r="AL106" s="117"/>
      <c r="AM106" s="24"/>
    </row>
    <row r="107" spans="1:39" ht="11.5" customHeight="1" x14ac:dyDescent="0.35">
      <c r="A107" s="20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  <c r="AC107" s="117"/>
      <c r="AD107" s="117"/>
      <c r="AE107" s="117"/>
      <c r="AF107" s="117"/>
      <c r="AG107" s="117"/>
      <c r="AH107" s="117"/>
      <c r="AI107" s="117"/>
      <c r="AJ107" s="117"/>
      <c r="AK107" s="117"/>
      <c r="AL107" s="117"/>
      <c r="AM107" s="24"/>
    </row>
    <row r="108" spans="1:39" ht="11.5" customHeight="1" x14ac:dyDescent="0.35">
      <c r="A108" s="20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  <c r="AC108" s="117"/>
      <c r="AD108" s="117"/>
      <c r="AE108" s="117"/>
      <c r="AF108" s="117"/>
      <c r="AG108" s="117"/>
      <c r="AH108" s="117"/>
      <c r="AI108" s="117"/>
      <c r="AJ108" s="117"/>
      <c r="AK108" s="117"/>
      <c r="AL108" s="117"/>
      <c r="AM108" s="24"/>
    </row>
    <row r="109" spans="1:39" ht="11.5" customHeight="1" x14ac:dyDescent="0.35">
      <c r="A109" s="20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7"/>
      <c r="AF109" s="117"/>
      <c r="AG109" s="117"/>
      <c r="AH109" s="117"/>
      <c r="AI109" s="117"/>
      <c r="AJ109" s="117"/>
      <c r="AK109" s="117"/>
      <c r="AL109" s="117"/>
      <c r="AM109" s="24"/>
    </row>
    <row r="110" spans="1:39" ht="11.5" customHeight="1" x14ac:dyDescent="0.35">
      <c r="A110" s="20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  <c r="AF110" s="117"/>
      <c r="AG110" s="117"/>
      <c r="AH110" s="117"/>
      <c r="AI110" s="117"/>
      <c r="AJ110" s="117"/>
      <c r="AK110" s="117"/>
      <c r="AL110" s="117"/>
      <c r="AM110" s="24"/>
    </row>
    <row r="111" spans="1:39" ht="11.5" customHeight="1" x14ac:dyDescent="0.35">
      <c r="A111" s="20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7"/>
      <c r="AH111" s="117"/>
      <c r="AI111" s="117"/>
      <c r="AJ111" s="117"/>
      <c r="AK111" s="117"/>
      <c r="AL111" s="117"/>
      <c r="AM111" s="24"/>
    </row>
    <row r="112" spans="1:39" ht="11.5" customHeight="1" x14ac:dyDescent="0.35">
      <c r="A112" s="20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7"/>
      <c r="AM112" s="24"/>
    </row>
    <row r="113" spans="1:39" ht="11.5" customHeight="1" x14ac:dyDescent="0.35">
      <c r="A113" s="20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24"/>
    </row>
    <row r="114" spans="1:39" ht="11.5" customHeight="1" x14ac:dyDescent="0.35">
      <c r="A114" s="20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  <c r="AM114" s="24"/>
    </row>
    <row r="115" spans="1:39" ht="11.5" customHeight="1" x14ac:dyDescent="0.35">
      <c r="A115" s="20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7"/>
      <c r="AM115" s="24"/>
    </row>
    <row r="116" spans="1:39" ht="11.5" customHeight="1" x14ac:dyDescent="0.35">
      <c r="A116" s="20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7"/>
      <c r="AH116" s="117"/>
      <c r="AI116" s="117"/>
      <c r="AJ116" s="117"/>
      <c r="AK116" s="117"/>
      <c r="AL116" s="117"/>
      <c r="AM116" s="24"/>
    </row>
    <row r="117" spans="1:39" ht="11.5" customHeight="1" x14ac:dyDescent="0.35">
      <c r="A117" s="20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7"/>
      <c r="AH117" s="117"/>
      <c r="AI117" s="117"/>
      <c r="AJ117" s="117"/>
      <c r="AK117" s="117"/>
      <c r="AL117" s="117"/>
      <c r="AM117" s="24"/>
    </row>
    <row r="118" spans="1:39" ht="11.5" customHeight="1" x14ac:dyDescent="0.35">
      <c r="A118" s="20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  <c r="AB118" s="117"/>
      <c r="AC118" s="117"/>
      <c r="AD118" s="117"/>
      <c r="AE118" s="117"/>
      <c r="AF118" s="117"/>
      <c r="AG118" s="117"/>
      <c r="AH118" s="117"/>
      <c r="AI118" s="117"/>
      <c r="AJ118" s="117"/>
      <c r="AK118" s="117"/>
      <c r="AL118" s="117"/>
      <c r="AM118" s="24"/>
    </row>
    <row r="119" spans="1:39" ht="11.5" customHeight="1" x14ac:dyDescent="0.35">
      <c r="A119" s="20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117"/>
      <c r="AH119" s="117"/>
      <c r="AI119" s="117"/>
      <c r="AJ119" s="117"/>
      <c r="AK119" s="117"/>
      <c r="AL119" s="117"/>
      <c r="AM119" s="24"/>
    </row>
    <row r="120" spans="1:39" ht="11.5" customHeight="1" x14ac:dyDescent="0.35">
      <c r="A120" s="20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  <c r="AC120" s="117"/>
      <c r="AD120" s="117"/>
      <c r="AE120" s="117"/>
      <c r="AF120" s="117"/>
      <c r="AG120" s="117"/>
      <c r="AH120" s="117"/>
      <c r="AI120" s="117"/>
      <c r="AJ120" s="117"/>
      <c r="AK120" s="117"/>
      <c r="AL120" s="117"/>
      <c r="AM120" s="24"/>
    </row>
    <row r="121" spans="1:39" ht="11.5" customHeight="1" x14ac:dyDescent="0.35">
      <c r="A121" s="20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  <c r="AB121" s="117"/>
      <c r="AC121" s="117"/>
      <c r="AD121" s="117"/>
      <c r="AE121" s="117"/>
      <c r="AF121" s="117"/>
      <c r="AG121" s="117"/>
      <c r="AH121" s="117"/>
      <c r="AI121" s="117"/>
      <c r="AJ121" s="117"/>
      <c r="AK121" s="117"/>
      <c r="AL121" s="117"/>
      <c r="AM121" s="24"/>
    </row>
    <row r="122" spans="1:39" ht="11.5" customHeight="1" x14ac:dyDescent="0.35">
      <c r="A122" s="20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117"/>
      <c r="AK122" s="117"/>
      <c r="AL122" s="117"/>
      <c r="AM122" s="24"/>
    </row>
    <row r="123" spans="1:39" ht="16" customHeight="1" thickBot="1" x14ac:dyDescent="0.4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</row>
  </sheetData>
  <sheetProtection selectLockedCells="1"/>
  <dataConsolidate/>
  <mergeCells count="268">
    <mergeCell ref="U86:X86"/>
    <mergeCell ref="Y86:AB86"/>
    <mergeCell ref="AA75:AC75"/>
    <mergeCell ref="AA76:AC76"/>
    <mergeCell ref="AA74:AC74"/>
    <mergeCell ref="X75:Z75"/>
    <mergeCell ref="X76:Z76"/>
    <mergeCell ref="T74:W74"/>
    <mergeCell ref="X74:Z74"/>
    <mergeCell ref="T75:W75"/>
    <mergeCell ref="T76:W76"/>
    <mergeCell ref="AH25:AL25"/>
    <mergeCell ref="AH21:AL21"/>
    <mergeCell ref="T14:Y14"/>
    <mergeCell ref="F23:AG23"/>
    <mergeCell ref="AH23:AL23"/>
    <mergeCell ref="V49:AA49"/>
    <mergeCell ref="AB49:AD49"/>
    <mergeCell ref="Z58:AB58"/>
    <mergeCell ref="V39:Z39"/>
    <mergeCell ref="V40:Z40"/>
    <mergeCell ref="AH34:AL35"/>
    <mergeCell ref="J48:AD48"/>
    <mergeCell ref="J49:O49"/>
    <mergeCell ref="P49:U49"/>
    <mergeCell ref="F57:J57"/>
    <mergeCell ref="T57:V57"/>
    <mergeCell ref="AH32:AL32"/>
    <mergeCell ref="AD41:AF41"/>
    <mergeCell ref="AG41:AH41"/>
    <mergeCell ref="V50:AA50"/>
    <mergeCell ref="AA43:AC43"/>
    <mergeCell ref="AD43:AF43"/>
    <mergeCell ref="J54:L54"/>
    <mergeCell ref="N54:V54"/>
    <mergeCell ref="AA10:AE10"/>
    <mergeCell ref="AA11:AE11"/>
    <mergeCell ref="AA12:AE12"/>
    <mergeCell ref="AA13:AE13"/>
    <mergeCell ref="AF10:AK10"/>
    <mergeCell ref="AF11:AK11"/>
    <mergeCell ref="AF12:AK12"/>
    <mergeCell ref="AF13:AK13"/>
    <mergeCell ref="T10:Y10"/>
    <mergeCell ref="T11:Y11"/>
    <mergeCell ref="T12:Y12"/>
    <mergeCell ref="T13:Y13"/>
    <mergeCell ref="B10:F10"/>
    <mergeCell ref="B11:F11"/>
    <mergeCell ref="B12:F12"/>
    <mergeCell ref="B13:F13"/>
    <mergeCell ref="B14:F14"/>
    <mergeCell ref="N10:S10"/>
    <mergeCell ref="N11:S11"/>
    <mergeCell ref="N12:S12"/>
    <mergeCell ref="N13:S13"/>
    <mergeCell ref="N14:S14"/>
    <mergeCell ref="G10:L10"/>
    <mergeCell ref="G11:L11"/>
    <mergeCell ref="G12:L12"/>
    <mergeCell ref="G13:L13"/>
    <mergeCell ref="G14:L14"/>
    <mergeCell ref="B99:AL122"/>
    <mergeCell ref="B95:I95"/>
    <mergeCell ref="AC58:AE58"/>
    <mergeCell ref="W55:Y55"/>
    <mergeCell ref="Z55:AB55"/>
    <mergeCell ref="AC55:AE55"/>
    <mergeCell ref="AF56:AH56"/>
    <mergeCell ref="W56:Y56"/>
    <mergeCell ref="Z56:AB56"/>
    <mergeCell ref="W57:Y57"/>
    <mergeCell ref="Z57:AB57"/>
    <mergeCell ref="Q95:U95"/>
    <mergeCell ref="V95:AB95"/>
    <mergeCell ref="AC95:AE95"/>
    <mergeCell ref="F58:J58"/>
    <mergeCell ref="K58:M58"/>
    <mergeCell ref="N58:P58"/>
    <mergeCell ref="Q58:S58"/>
    <mergeCell ref="T58:V58"/>
    <mergeCell ref="F56:J56"/>
    <mergeCell ref="K56:M57"/>
    <mergeCell ref="N56:P56"/>
    <mergeCell ref="Q56:S56"/>
    <mergeCell ref="T56:V56"/>
    <mergeCell ref="AC56:AE56"/>
    <mergeCell ref="AC57:AE57"/>
    <mergeCell ref="U70:W70"/>
    <mergeCell ref="X70:Y70"/>
    <mergeCell ref="U66:W66"/>
    <mergeCell ref="X66:Y66"/>
    <mergeCell ref="U67:W67"/>
    <mergeCell ref="X67:Y67"/>
    <mergeCell ref="U68:W68"/>
    <mergeCell ref="X68:Y68"/>
    <mergeCell ref="W58:Y58"/>
    <mergeCell ref="F54:I54"/>
    <mergeCell ref="W54:AE54"/>
    <mergeCell ref="U69:Y69"/>
    <mergeCell ref="AH28:AL29"/>
    <mergeCell ref="V38:AH38"/>
    <mergeCell ref="AA39:AC39"/>
    <mergeCell ref="AD39:AF39"/>
    <mergeCell ref="AG39:AH39"/>
    <mergeCell ref="AA40:AC40"/>
    <mergeCell ref="AD40:AF40"/>
    <mergeCell ref="AG40:AH40"/>
    <mergeCell ref="V42:Z42"/>
    <mergeCell ref="V41:Z41"/>
    <mergeCell ref="AA41:AC41"/>
    <mergeCell ref="AD42:AH42"/>
    <mergeCell ref="AF57:AH57"/>
    <mergeCell ref="AF58:AH58"/>
    <mergeCell ref="M67:Q67"/>
    <mergeCell ref="M68:Q68"/>
    <mergeCell ref="M69:Q69"/>
    <mergeCell ref="R68:T68"/>
    <mergeCell ref="R69:T69"/>
    <mergeCell ref="R66:T66"/>
    <mergeCell ref="B2:E2"/>
    <mergeCell ref="B3:E3"/>
    <mergeCell ref="B4:E4"/>
    <mergeCell ref="B33:E33"/>
    <mergeCell ref="F33:AG33"/>
    <mergeCell ref="B30:E30"/>
    <mergeCell ref="B93:I93"/>
    <mergeCell ref="J93:P93"/>
    <mergeCell ref="Q93:U93"/>
    <mergeCell ref="M66:Q66"/>
    <mergeCell ref="M65:Y65"/>
    <mergeCell ref="AF93:AI93"/>
    <mergeCell ref="B91:I91"/>
    <mergeCell ref="J91:P91"/>
    <mergeCell ref="Q91:U91"/>
    <mergeCell ref="AC91:AE91"/>
    <mergeCell ref="AF91:AI91"/>
    <mergeCell ref="V91:AB91"/>
    <mergeCell ref="V93:AB93"/>
    <mergeCell ref="F30:AG30"/>
    <mergeCell ref="AH30:AL30"/>
    <mergeCell ref="B31:E31"/>
    <mergeCell ref="F31:AG31"/>
    <mergeCell ref="AH31:AL31"/>
    <mergeCell ref="AH26:AL27"/>
    <mergeCell ref="B28:E29"/>
    <mergeCell ref="F26:AG27"/>
    <mergeCell ref="F28:AG29"/>
    <mergeCell ref="A1:AM1"/>
    <mergeCell ref="K5:L5"/>
    <mergeCell ref="F6:R6"/>
    <mergeCell ref="S6:V6"/>
    <mergeCell ref="Z6:AD6"/>
    <mergeCell ref="Z2:AD2"/>
    <mergeCell ref="AE2:AH2"/>
    <mergeCell ref="M5:N5"/>
    <mergeCell ref="P5:Q5"/>
    <mergeCell ref="V5:X5"/>
    <mergeCell ref="T5:U5"/>
    <mergeCell ref="Z3:AD3"/>
    <mergeCell ref="F3:X3"/>
    <mergeCell ref="F4:X4"/>
    <mergeCell ref="F5:I5"/>
    <mergeCell ref="F2:X2"/>
    <mergeCell ref="AJ2:AL4"/>
    <mergeCell ref="AE3:AH3"/>
    <mergeCell ref="Z5:AD5"/>
    <mergeCell ref="AE5:AL5"/>
    <mergeCell ref="AH24:AL24"/>
    <mergeCell ref="B23:E23"/>
    <mergeCell ref="B19:E19"/>
    <mergeCell ref="F19:AG19"/>
    <mergeCell ref="AH19:AL19"/>
    <mergeCell ref="B22:E22"/>
    <mergeCell ref="F22:AG22"/>
    <mergeCell ref="AH22:AL22"/>
    <mergeCell ref="B20:E20"/>
    <mergeCell ref="F20:AG20"/>
    <mergeCell ref="AH20:AL20"/>
    <mergeCell ref="B21:E21"/>
    <mergeCell ref="F21:AG21"/>
    <mergeCell ref="G41:K41"/>
    <mergeCell ref="L41:N41"/>
    <mergeCell ref="O41:Q41"/>
    <mergeCell ref="R41:S41"/>
    <mergeCell ref="G42:K42"/>
    <mergeCell ref="L42:N42"/>
    <mergeCell ref="AA42:AC42"/>
    <mergeCell ref="O42:S42"/>
    <mergeCell ref="AF55:AH55"/>
    <mergeCell ref="N55:P55"/>
    <mergeCell ref="Q55:S55"/>
    <mergeCell ref="T55:V55"/>
    <mergeCell ref="AB50:AD50"/>
    <mergeCell ref="AG43:AH43"/>
    <mergeCell ref="V43:Z43"/>
    <mergeCell ref="O43:Q43"/>
    <mergeCell ref="R43:S43"/>
    <mergeCell ref="P50:U50"/>
    <mergeCell ref="J50:O50"/>
    <mergeCell ref="J95:P95"/>
    <mergeCell ref="AF95:AI95"/>
    <mergeCell ref="AC93:AE93"/>
    <mergeCell ref="N78:P78"/>
    <mergeCell ref="N77:P77"/>
    <mergeCell ref="Q77:S77"/>
    <mergeCell ref="Q78:S78"/>
    <mergeCell ref="T77:W77"/>
    <mergeCell ref="T78:W78"/>
    <mergeCell ref="AA78:AC78"/>
    <mergeCell ref="AA77:AC77"/>
    <mergeCell ref="X77:Z77"/>
    <mergeCell ref="X78:Z78"/>
    <mergeCell ref="Q84:T84"/>
    <mergeCell ref="U84:X84"/>
    <mergeCell ref="Y84:AB84"/>
    <mergeCell ref="J83:AB83"/>
    <mergeCell ref="J84:P84"/>
    <mergeCell ref="J85:P85"/>
    <mergeCell ref="J86:P86"/>
    <mergeCell ref="Q85:T85"/>
    <mergeCell ref="U85:X85"/>
    <mergeCell ref="Y85:AB85"/>
    <mergeCell ref="Q86:T86"/>
    <mergeCell ref="B5:E5"/>
    <mergeCell ref="B6:E6"/>
    <mergeCell ref="B34:E35"/>
    <mergeCell ref="G39:K39"/>
    <mergeCell ref="L39:N39"/>
    <mergeCell ref="O39:Q39"/>
    <mergeCell ref="R39:S39"/>
    <mergeCell ref="G40:K40"/>
    <mergeCell ref="L40:N40"/>
    <mergeCell ref="O40:Q40"/>
    <mergeCell ref="R40:S40"/>
    <mergeCell ref="F34:AG35"/>
    <mergeCell ref="B39:F39"/>
    <mergeCell ref="B40:F40"/>
    <mergeCell ref="G38:S38"/>
    <mergeCell ref="B25:E25"/>
    <mergeCell ref="F25:AG25"/>
    <mergeCell ref="B32:E32"/>
    <mergeCell ref="F32:AG32"/>
    <mergeCell ref="B24:E24"/>
    <mergeCell ref="F24:AG24"/>
    <mergeCell ref="B26:E27"/>
    <mergeCell ref="AE6:AL6"/>
    <mergeCell ref="AH33:AL33"/>
    <mergeCell ref="N57:P57"/>
    <mergeCell ref="Q57:S57"/>
    <mergeCell ref="G43:K43"/>
    <mergeCell ref="L43:N43"/>
    <mergeCell ref="I77:M77"/>
    <mergeCell ref="I78:M78"/>
    <mergeCell ref="N76:P76"/>
    <mergeCell ref="N75:P75"/>
    <mergeCell ref="Q75:S75"/>
    <mergeCell ref="Q76:S76"/>
    <mergeCell ref="I75:M75"/>
    <mergeCell ref="I76:M76"/>
    <mergeCell ref="I73:M74"/>
    <mergeCell ref="N73:P74"/>
    <mergeCell ref="Q73:S74"/>
    <mergeCell ref="M70:Q70"/>
    <mergeCell ref="R70:T70"/>
    <mergeCell ref="R67:T67"/>
    <mergeCell ref="T73:AC73"/>
    <mergeCell ref="I72:AC72"/>
  </mergeCells>
  <phoneticPr fontId="2" type="noConversion"/>
  <conditionalFormatting sqref="H62:J63">
    <cfRule type="expression" dxfId="39" priority="2">
      <formula>($R$70="N/A")</formula>
    </cfRule>
  </conditionalFormatting>
  <conditionalFormatting sqref="H62:AK63">
    <cfRule type="expression" dxfId="38" priority="3">
      <formula>($R$70="N/A")</formula>
    </cfRule>
    <cfRule type="expression" dxfId="37" priority="4">
      <formula>($R$70="N/A")</formula>
    </cfRule>
    <cfRule type="expression" dxfId="36" priority="5">
      <formula>($R$70="N/A")</formula>
    </cfRule>
  </conditionalFormatting>
  <conditionalFormatting sqref="L47">
    <cfRule type="cellIs" dxfId="35" priority="75" operator="equal">
      <formula>"N/A"</formula>
    </cfRule>
  </conditionalFormatting>
  <conditionalFormatting sqref="N75:P75">
    <cfRule type="expression" dxfId="34" priority="29">
      <formula>($R$67="N/A")</formula>
    </cfRule>
  </conditionalFormatting>
  <conditionalFormatting sqref="N76:P76">
    <cfRule type="expression" dxfId="33" priority="26">
      <formula>($R$68="N/A")</formula>
    </cfRule>
  </conditionalFormatting>
  <conditionalFormatting sqref="N77:P77">
    <cfRule type="expression" dxfId="32" priority="27">
      <formula>($R$69="N/A")</formula>
    </cfRule>
  </conditionalFormatting>
  <conditionalFormatting sqref="N78:P79 H80:J82">
    <cfRule type="expression" dxfId="31" priority="14">
      <formula>($R$70="N/A")</formula>
    </cfRule>
  </conditionalFormatting>
  <conditionalFormatting sqref="N75:Z75">
    <cfRule type="expression" dxfId="30" priority="13">
      <formula>($R$67="N/A")</formula>
    </cfRule>
    <cfRule type="expression" dxfId="29" priority="15">
      <formula>($R$67="N/A")</formula>
    </cfRule>
    <cfRule type="expression" dxfId="28" priority="33">
      <formula>($R$67="N/A")</formula>
    </cfRule>
  </conditionalFormatting>
  <conditionalFormatting sqref="N76:Z76">
    <cfRule type="expression" dxfId="27" priority="12">
      <formula>($R$68="N/A")</formula>
    </cfRule>
    <cfRule type="expression" dxfId="26" priority="22">
      <formula>($R$68="N/A")</formula>
    </cfRule>
    <cfRule type="expression" dxfId="25" priority="35">
      <formula>($R$68="N/A")</formula>
    </cfRule>
  </conditionalFormatting>
  <conditionalFormatting sqref="N77:Z77">
    <cfRule type="expression" dxfId="24" priority="31">
      <formula>($R$69="N/A")</formula>
    </cfRule>
    <cfRule type="expression" dxfId="23" priority="11">
      <formula>($R$69="N/A")</formula>
    </cfRule>
    <cfRule type="expression" dxfId="22" priority="23">
      <formula>($R$69="N/A")</formula>
    </cfRule>
  </conditionalFormatting>
  <conditionalFormatting sqref="N78:AC79 H80:AK82 AC83:AK83 Q84:AB87">
    <cfRule type="expression" dxfId="21" priority="32">
      <formula>($R$70="N/A")</formula>
    </cfRule>
    <cfRule type="expression" dxfId="20" priority="16">
      <formula>($R$70="N/A")</formula>
    </cfRule>
    <cfRule type="expression" dxfId="19" priority="37">
      <formula>($R$70="N/A")</formula>
    </cfRule>
  </conditionalFormatting>
  <conditionalFormatting sqref="T75:W75 T77:W77">
    <cfRule type="cellIs" dxfId="18" priority="105" operator="notBetween">
      <formula>#REF!</formula>
      <formula>#REF!</formula>
    </cfRule>
  </conditionalFormatting>
  <conditionalFormatting sqref="T75:W79">
    <cfRule type="expression" dxfId="17" priority="104">
      <formula>(OR(ISNUMBER(#REF!)=FALSE,ISNUMBER(#REF!)=FALSE))</formula>
    </cfRule>
  </conditionalFormatting>
  <conditionalFormatting sqref="T76:W76">
    <cfRule type="cellIs" dxfId="16" priority="109" operator="equal">
      <formula>"PASS"</formula>
    </cfRule>
    <cfRule type="cellIs" dxfId="15" priority="110" operator="notBetween">
      <formula>#REF!</formula>
      <formula>#REF!</formula>
    </cfRule>
  </conditionalFormatting>
  <conditionalFormatting sqref="T78:W79 T80:AE82 AC83:AE83 S84:V87 Y84:AB87">
    <cfRule type="cellIs" dxfId="14" priority="118" operator="equal">
      <formula>"PASS"</formula>
    </cfRule>
  </conditionalFormatting>
  <conditionalFormatting sqref="T62:AE63">
    <cfRule type="cellIs" dxfId="13" priority="6" operator="equal">
      <formula>"PASS"</formula>
    </cfRule>
    <cfRule type="expression" dxfId="12" priority="7">
      <formula>(OR(ISNUMBER(#REF!)=FALSE,ISNUMBER(#REF!)=FALSE))</formula>
    </cfRule>
    <cfRule type="cellIs" dxfId="11" priority="8" operator="notBetween">
      <formula>#REF!</formula>
      <formula>#REF!</formula>
    </cfRule>
  </conditionalFormatting>
  <conditionalFormatting sqref="T80:AE82 AC83:AE83 S84:V87 Y84:AB87 T78:W79">
    <cfRule type="cellIs" dxfId="10" priority="120" operator="notBetween">
      <formula>#REF!</formula>
      <formula>#REF!</formula>
    </cfRule>
  </conditionalFormatting>
  <conditionalFormatting sqref="T80:AE82 AC83:AE83 S84:V87 Y84:AB87">
    <cfRule type="expression" dxfId="9" priority="119">
      <formula>(OR(ISNUMBER(#REF!)=FALSE,ISNUMBER(#REF!)=FALSE))</formula>
    </cfRule>
  </conditionalFormatting>
  <conditionalFormatting sqref="X75:Z75">
    <cfRule type="expression" dxfId="8" priority="9">
      <formula>($R$67="N/A")</formula>
    </cfRule>
  </conditionalFormatting>
  <conditionalFormatting sqref="X76:Z76">
    <cfRule type="expression" dxfId="7" priority="30">
      <formula>($R$68="N/A")</formula>
    </cfRule>
  </conditionalFormatting>
  <conditionalFormatting sqref="X77:Z77">
    <cfRule type="expression" dxfId="6" priority="25">
      <formula>($R$69="N/A")</formula>
    </cfRule>
  </conditionalFormatting>
  <conditionalFormatting sqref="AA78:AC79 AI80:AK83 Z84:AB87">
    <cfRule type="expression" dxfId="5" priority="10">
      <formula>($R$70="N/A")</formula>
    </cfRule>
  </conditionalFormatting>
  <conditionalFormatting sqref="AI62:AK63">
    <cfRule type="expression" dxfId="4" priority="1">
      <formula>($R$70="N/A")</formula>
    </cfRule>
  </conditionalFormatting>
  <conditionalFormatting sqref="AJ2">
    <cfRule type="cellIs" dxfId="3" priority="77" operator="equal">
      <formula>"FAIL"</formula>
    </cfRule>
    <cfRule type="cellIs" dxfId="2" priority="78" operator="equal">
      <formula>"PASS"</formula>
    </cfRule>
    <cfRule type="cellIs" dxfId="1" priority="79" operator="equal">
      <formula>"""PASS"""</formula>
    </cfRule>
    <cfRule type="cellIs" dxfId="0" priority="76" operator="equal">
      <formula>"LIMITED SERVICE"</formula>
    </cfRule>
  </conditionalFormatting>
  <dataValidations count="3">
    <dataValidation type="list" allowBlank="1" showInputMessage="1" showErrorMessage="1" sqref="AK47:AK50" xr:uid="{3C702E70-6ACF-4456-BF48-C3108DF74AAD}">
      <formula1>"On,Off,In,Out"</formula1>
    </dataValidation>
    <dataValidation type="list" allowBlank="1" showInputMessage="1" showErrorMessage="1" sqref="AG41:AH41 AG43:AH43 R41:S41 R43:S43 X68:Y68 X70:Y70" xr:uid="{EDB6A204-60D6-4427-BEFD-38DE85929758}">
      <formula1>"On,Off,In,Out,N/A"</formula1>
    </dataValidation>
    <dataValidation type="list" allowBlank="1" showInputMessage="1" showErrorMessage="1" sqref="AA75:AA77 Z84:AB87 AA78:AC79 AI80:AK83 AI62:AK63" xr:uid="{461CFF31-A5C0-4D95-90DE-D33954DB08B5}">
      <formula1>"Pass,Fail"</formula1>
    </dataValidation>
  </dataValidations>
  <printOptions horizontalCentered="1"/>
  <pageMargins left="0.5" right="0.5" top="1" bottom="0.5" header="0.3" footer="0.3"/>
  <pageSetup scale="96" fitToHeight="0" orientation="portrait" r:id="rId1"/>
  <headerFooter>
    <oddHeader xml:space="preserve">&amp;L  &amp;G
                &amp;C&amp;"-,Bold"&amp;13Low Voltage Circuit Breaker
Secondary Injection
&amp;R&amp;"-,Bold"&amp;12&amp;K000000&amp;G
MTS 7.6.1.2      
&amp;14 </oddHeader>
    <oddFooter>&amp;L&amp;8&amp;K00-039AMPQES.COM&amp;C&amp;"Arial,Regular"&amp;9Sheet &amp;P of &amp;N&amp;R&amp;8 &amp;K00-039256-513-8255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D88D42F-4C2C-4489-B3FE-AA52572567EE}">
          <x14:formula1>
            <xm:f>Dropdowns!$A$46:$A$48</xm:f>
          </x14:formula1>
          <xm:sqref>AJ2 AM3:AM4</xm:sqref>
        </x14:dataValidation>
        <x14:dataValidation type="list" allowBlank="1" showInputMessage="1" showErrorMessage="1" xr:uid="{6365ED75-F48D-4CF8-8096-035CF04E47C0}">
          <x14:formula1>
            <xm:f>Dropdowns!$A$22:$A$24</xm:f>
          </x14:formula1>
          <xm:sqref>AB50:AD50</xm:sqref>
        </x14:dataValidation>
        <x14:dataValidation type="list" allowBlank="1" showInputMessage="1" showErrorMessage="1" xr:uid="{FDBDA9DB-04D4-4A37-94AE-F2F5D9493381}">
          <x14:formula1>
            <xm:f>Dropdowns!$A$15:$A$19</xm:f>
          </x14:formula1>
          <xm:sqref>J54</xm:sqref>
        </x14:dataValidation>
        <x14:dataValidation type="list" allowBlank="1" showInputMessage="1" showErrorMessage="1" xr:uid="{11E44C71-5AEC-4336-8A3D-A7A55B83E240}">
          <x14:formula1>
            <xm:f>Dropdowns!$A$10:$A$12</xm:f>
          </x14:formula1>
          <xm:sqref>AF56:AH58</xm:sqref>
        </x14:dataValidation>
        <x14:dataValidation type="list" errorStyle="warning" allowBlank="1" showInputMessage="1" showErrorMessage="1" xr:uid="{F684C86D-8EB6-47C1-93E5-164E60B657B9}">
          <x14:formula1>
            <xm:f>Dropdowns!$A$2:$A$7</xm:f>
          </x14:formula1>
          <xm:sqref>AH19:AL35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AC0E-93FE-482A-816F-27F6BF22932B}">
  <sheetPr codeName="Sheet2"/>
  <dimension ref="A1:T235"/>
  <sheetViews>
    <sheetView view="pageLayout" zoomScale="73" zoomScaleNormal="100" zoomScalePageLayoutView="73" workbookViewId="0">
      <selection sqref="A1:J47"/>
    </sheetView>
  </sheetViews>
  <sheetFormatPr defaultColWidth="8.81640625" defaultRowHeight="14.5" x14ac:dyDescent="0.35"/>
  <cols>
    <col min="1" max="16384" width="8.81640625" style="6"/>
  </cols>
  <sheetData>
    <row r="1" spans="1:20" x14ac:dyDescent="0.35">
      <c r="A1" s="129"/>
      <c r="B1" s="130"/>
      <c r="C1" s="130"/>
      <c r="D1" s="130"/>
      <c r="E1" s="130"/>
      <c r="F1" s="130"/>
      <c r="G1" s="130"/>
      <c r="H1" s="130"/>
      <c r="I1" s="130"/>
      <c r="J1" s="130"/>
      <c r="K1" s="128"/>
      <c r="L1" s="128"/>
      <c r="M1" s="128"/>
      <c r="N1" s="128"/>
      <c r="O1" s="128"/>
      <c r="P1" s="128"/>
      <c r="Q1" s="128"/>
      <c r="R1" s="128"/>
      <c r="S1" s="128"/>
      <c r="T1" s="128"/>
    </row>
    <row r="2" spans="1:20" x14ac:dyDescent="0.35">
      <c r="A2" s="130"/>
      <c r="B2" s="130"/>
      <c r="C2" s="130"/>
      <c r="D2" s="130"/>
      <c r="E2" s="130"/>
      <c r="F2" s="130"/>
      <c r="G2" s="130"/>
      <c r="H2" s="130"/>
      <c r="I2" s="130"/>
      <c r="J2" s="130"/>
      <c r="K2" s="128"/>
      <c r="L2" s="128"/>
      <c r="M2" s="128"/>
      <c r="N2" s="128"/>
      <c r="O2" s="128"/>
      <c r="P2" s="128"/>
      <c r="Q2" s="128"/>
      <c r="R2" s="128"/>
      <c r="S2" s="128"/>
      <c r="T2" s="128"/>
    </row>
    <row r="3" spans="1:20" x14ac:dyDescent="0.35">
      <c r="A3" s="130"/>
      <c r="B3" s="130"/>
      <c r="C3" s="130"/>
      <c r="D3" s="130"/>
      <c r="E3" s="130"/>
      <c r="F3" s="130"/>
      <c r="G3" s="130"/>
      <c r="H3" s="130"/>
      <c r="I3" s="130"/>
      <c r="J3" s="130"/>
      <c r="K3" s="128"/>
      <c r="L3" s="128"/>
      <c r="M3" s="128"/>
      <c r="N3" s="128"/>
      <c r="O3" s="128"/>
      <c r="P3" s="128"/>
      <c r="Q3" s="128"/>
      <c r="R3" s="128"/>
      <c r="S3" s="128"/>
      <c r="T3" s="128"/>
    </row>
    <row r="4" spans="1:20" x14ac:dyDescent="0.35">
      <c r="A4" s="130"/>
      <c r="B4" s="130"/>
      <c r="C4" s="130"/>
      <c r="D4" s="130"/>
      <c r="E4" s="130"/>
      <c r="F4" s="130"/>
      <c r="G4" s="130"/>
      <c r="H4" s="130"/>
      <c r="I4" s="130"/>
      <c r="J4" s="130"/>
      <c r="K4" s="128"/>
      <c r="L4" s="128"/>
      <c r="M4" s="128"/>
      <c r="N4" s="128"/>
      <c r="O4" s="128"/>
      <c r="P4" s="128"/>
      <c r="Q4" s="128"/>
      <c r="R4" s="128"/>
      <c r="S4" s="128"/>
      <c r="T4" s="128"/>
    </row>
    <row r="5" spans="1:20" x14ac:dyDescent="0.35">
      <c r="A5" s="130"/>
      <c r="B5" s="130"/>
      <c r="C5" s="130"/>
      <c r="D5" s="130"/>
      <c r="E5" s="130"/>
      <c r="F5" s="130"/>
      <c r="G5" s="130"/>
      <c r="H5" s="130"/>
      <c r="I5" s="130"/>
      <c r="J5" s="130"/>
      <c r="K5" s="128"/>
      <c r="L5" s="128"/>
      <c r="M5" s="128"/>
      <c r="N5" s="128"/>
      <c r="O5" s="128"/>
      <c r="P5" s="128"/>
      <c r="Q5" s="128"/>
      <c r="R5" s="128"/>
      <c r="S5" s="128"/>
      <c r="T5" s="128"/>
    </row>
    <row r="6" spans="1:20" x14ac:dyDescent="0.35">
      <c r="A6" s="130"/>
      <c r="B6" s="130"/>
      <c r="C6" s="130"/>
      <c r="D6" s="130"/>
      <c r="E6" s="130"/>
      <c r="F6" s="130"/>
      <c r="G6" s="130"/>
      <c r="H6" s="130"/>
      <c r="I6" s="130"/>
      <c r="J6" s="130"/>
      <c r="K6" s="128"/>
      <c r="L6" s="128"/>
      <c r="M6" s="128"/>
      <c r="N6" s="128"/>
      <c r="O6" s="128"/>
      <c r="P6" s="128"/>
      <c r="Q6" s="128"/>
      <c r="R6" s="128"/>
      <c r="S6" s="128"/>
      <c r="T6" s="128"/>
    </row>
    <row r="7" spans="1:20" x14ac:dyDescent="0.35">
      <c r="A7" s="130"/>
      <c r="B7" s="130"/>
      <c r="C7" s="130"/>
      <c r="D7" s="130"/>
      <c r="E7" s="130"/>
      <c r="F7" s="130"/>
      <c r="G7" s="130"/>
      <c r="H7" s="130"/>
      <c r="I7" s="130"/>
      <c r="J7" s="130"/>
      <c r="K7" s="128"/>
      <c r="L7" s="128"/>
      <c r="M7" s="128"/>
      <c r="N7" s="128"/>
      <c r="O7" s="128"/>
      <c r="P7" s="128"/>
      <c r="Q7" s="128"/>
      <c r="R7" s="128"/>
      <c r="S7" s="128"/>
      <c r="T7" s="128"/>
    </row>
    <row r="8" spans="1:20" x14ac:dyDescent="0.35">
      <c r="A8" s="130"/>
      <c r="B8" s="130"/>
      <c r="C8" s="130"/>
      <c r="D8" s="130"/>
      <c r="E8" s="130"/>
      <c r="F8" s="130"/>
      <c r="G8" s="130"/>
      <c r="H8" s="130"/>
      <c r="I8" s="130"/>
      <c r="J8" s="130"/>
      <c r="K8" s="128"/>
      <c r="L8" s="128"/>
      <c r="M8" s="128"/>
      <c r="N8" s="128"/>
      <c r="O8" s="128"/>
      <c r="P8" s="128"/>
      <c r="Q8" s="128"/>
      <c r="R8" s="128"/>
      <c r="S8" s="128"/>
      <c r="T8" s="128"/>
    </row>
    <row r="9" spans="1:20" x14ac:dyDescent="0.35">
      <c r="A9" s="130"/>
      <c r="B9" s="130"/>
      <c r="C9" s="130"/>
      <c r="D9" s="130"/>
      <c r="E9" s="130"/>
      <c r="F9" s="130"/>
      <c r="G9" s="130"/>
      <c r="H9" s="130"/>
      <c r="I9" s="130"/>
      <c r="J9" s="130"/>
      <c r="K9" s="128"/>
      <c r="L9" s="128"/>
      <c r="M9" s="128"/>
      <c r="N9" s="128"/>
      <c r="O9" s="128"/>
      <c r="P9" s="128"/>
      <c r="Q9" s="128"/>
      <c r="R9" s="128"/>
      <c r="S9" s="128"/>
      <c r="T9" s="128"/>
    </row>
    <row r="10" spans="1:20" x14ac:dyDescent="0.35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28"/>
      <c r="L10" s="128"/>
      <c r="M10" s="128"/>
      <c r="N10" s="128"/>
      <c r="O10" s="128"/>
      <c r="P10" s="128"/>
      <c r="Q10" s="128"/>
      <c r="R10" s="128"/>
      <c r="S10" s="128"/>
      <c r="T10" s="128"/>
    </row>
    <row r="11" spans="1:20" x14ac:dyDescent="0.35">
      <c r="A11" s="130"/>
      <c r="B11" s="130"/>
      <c r="C11" s="130"/>
      <c r="D11" s="130"/>
      <c r="E11" s="130"/>
      <c r="F11" s="130"/>
      <c r="G11" s="130"/>
      <c r="H11" s="130"/>
      <c r="I11" s="130"/>
      <c r="J11" s="130"/>
      <c r="K11" s="128"/>
      <c r="L11" s="128"/>
      <c r="M11" s="128"/>
      <c r="N11" s="128"/>
      <c r="O11" s="128"/>
      <c r="P11" s="128"/>
      <c r="Q11" s="128"/>
      <c r="R11" s="128"/>
      <c r="S11" s="128"/>
      <c r="T11" s="128"/>
    </row>
    <row r="12" spans="1:20" x14ac:dyDescent="0.3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28"/>
      <c r="L12" s="128"/>
      <c r="M12" s="128"/>
      <c r="N12" s="128"/>
      <c r="O12" s="128"/>
      <c r="P12" s="128"/>
      <c r="Q12" s="128"/>
      <c r="R12" s="128"/>
      <c r="S12" s="128"/>
      <c r="T12" s="128"/>
    </row>
    <row r="13" spans="1:20" x14ac:dyDescent="0.35">
      <c r="A13" s="130"/>
      <c r="B13" s="130"/>
      <c r="C13" s="130"/>
      <c r="D13" s="130"/>
      <c r="E13" s="130"/>
      <c r="F13" s="130"/>
      <c r="G13" s="130"/>
      <c r="H13" s="130"/>
      <c r="I13" s="130"/>
      <c r="J13" s="130"/>
      <c r="K13" s="128"/>
      <c r="L13" s="128"/>
      <c r="M13" s="128"/>
      <c r="N13" s="128"/>
      <c r="O13" s="128"/>
      <c r="P13" s="128"/>
      <c r="Q13" s="128"/>
      <c r="R13" s="128"/>
      <c r="S13" s="128"/>
      <c r="T13" s="128"/>
    </row>
    <row r="14" spans="1:20" x14ac:dyDescent="0.35">
      <c r="A14" s="130"/>
      <c r="B14" s="130"/>
      <c r="C14" s="130"/>
      <c r="D14" s="130"/>
      <c r="E14" s="130"/>
      <c r="F14" s="130"/>
      <c r="G14" s="130"/>
      <c r="H14" s="130"/>
      <c r="I14" s="130"/>
      <c r="J14" s="130"/>
      <c r="K14" s="128"/>
      <c r="L14" s="128"/>
      <c r="M14" s="128"/>
      <c r="N14" s="128"/>
      <c r="O14" s="128"/>
      <c r="P14" s="128"/>
      <c r="Q14" s="128"/>
      <c r="R14" s="128"/>
      <c r="S14" s="128"/>
      <c r="T14" s="128"/>
    </row>
    <row r="15" spans="1:20" x14ac:dyDescent="0.3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28"/>
      <c r="L15" s="128"/>
      <c r="M15" s="128"/>
      <c r="N15" s="128"/>
      <c r="O15" s="128"/>
      <c r="P15" s="128"/>
      <c r="Q15" s="128"/>
      <c r="R15" s="128"/>
      <c r="S15" s="128"/>
      <c r="T15" s="128"/>
    </row>
    <row r="16" spans="1:20" x14ac:dyDescent="0.35">
      <c r="A16" s="130"/>
      <c r="B16" s="130"/>
      <c r="C16" s="130"/>
      <c r="D16" s="130"/>
      <c r="E16" s="130"/>
      <c r="F16" s="130"/>
      <c r="G16" s="130"/>
      <c r="H16" s="130"/>
      <c r="I16" s="130"/>
      <c r="J16" s="130"/>
      <c r="K16" s="128"/>
      <c r="L16" s="128"/>
      <c r="M16" s="128"/>
      <c r="N16" s="128"/>
      <c r="O16" s="128"/>
      <c r="P16" s="128"/>
      <c r="Q16" s="128"/>
      <c r="R16" s="128"/>
      <c r="S16" s="128"/>
      <c r="T16" s="128"/>
    </row>
    <row r="17" spans="1:20" x14ac:dyDescent="0.35">
      <c r="A17" s="130"/>
      <c r="B17" s="130"/>
      <c r="C17" s="130"/>
      <c r="D17" s="130"/>
      <c r="E17" s="130"/>
      <c r="F17" s="130"/>
      <c r="G17" s="130"/>
      <c r="H17" s="130"/>
      <c r="I17" s="130"/>
      <c r="J17" s="130"/>
      <c r="K17" s="128"/>
      <c r="L17" s="128"/>
      <c r="M17" s="128"/>
      <c r="N17" s="128"/>
      <c r="O17" s="128"/>
      <c r="P17" s="128"/>
      <c r="Q17" s="128"/>
      <c r="R17" s="128"/>
      <c r="S17" s="128"/>
      <c r="T17" s="128"/>
    </row>
    <row r="18" spans="1:20" x14ac:dyDescent="0.3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28"/>
      <c r="L18" s="128"/>
      <c r="M18" s="128"/>
      <c r="N18" s="128"/>
      <c r="O18" s="128"/>
      <c r="P18" s="128"/>
      <c r="Q18" s="128"/>
      <c r="R18" s="128"/>
      <c r="S18" s="128"/>
      <c r="T18" s="128"/>
    </row>
    <row r="19" spans="1:20" x14ac:dyDescent="0.35">
      <c r="A19" s="130"/>
      <c r="B19" s="130"/>
      <c r="C19" s="130"/>
      <c r="D19" s="130"/>
      <c r="E19" s="130"/>
      <c r="F19" s="130"/>
      <c r="G19" s="130"/>
      <c r="H19" s="130"/>
      <c r="I19" s="130"/>
      <c r="J19" s="130"/>
      <c r="K19" s="128"/>
      <c r="L19" s="128"/>
      <c r="M19" s="128"/>
      <c r="N19" s="128"/>
      <c r="O19" s="128"/>
      <c r="P19" s="128"/>
      <c r="Q19" s="128"/>
      <c r="R19" s="128"/>
      <c r="S19" s="128"/>
      <c r="T19" s="128"/>
    </row>
    <row r="20" spans="1:20" x14ac:dyDescent="0.35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28"/>
      <c r="L20" s="128"/>
      <c r="M20" s="128"/>
      <c r="N20" s="128"/>
      <c r="O20" s="128"/>
      <c r="P20" s="128"/>
      <c r="Q20" s="128"/>
      <c r="R20" s="128"/>
      <c r="S20" s="128"/>
      <c r="T20" s="128"/>
    </row>
    <row r="21" spans="1:20" x14ac:dyDescent="0.3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28"/>
      <c r="L21" s="128"/>
      <c r="M21" s="128"/>
      <c r="N21" s="128"/>
      <c r="O21" s="128"/>
      <c r="P21" s="128"/>
      <c r="Q21" s="128"/>
      <c r="R21" s="128"/>
      <c r="S21" s="128"/>
      <c r="T21" s="128"/>
    </row>
    <row r="22" spans="1:20" x14ac:dyDescent="0.35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28"/>
      <c r="L22" s="128"/>
      <c r="M22" s="128"/>
      <c r="N22" s="128"/>
      <c r="O22" s="128"/>
      <c r="P22" s="128"/>
      <c r="Q22" s="128"/>
      <c r="R22" s="128"/>
      <c r="S22" s="128"/>
      <c r="T22" s="128"/>
    </row>
    <row r="23" spans="1:20" x14ac:dyDescent="0.35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28"/>
      <c r="L23" s="128"/>
      <c r="M23" s="128"/>
      <c r="N23" s="128"/>
      <c r="O23" s="128"/>
      <c r="P23" s="128"/>
      <c r="Q23" s="128"/>
      <c r="R23" s="128"/>
      <c r="S23" s="128"/>
      <c r="T23" s="128"/>
    </row>
    <row r="24" spans="1:20" x14ac:dyDescent="0.35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28"/>
      <c r="L24" s="128"/>
      <c r="M24" s="128"/>
      <c r="N24" s="128"/>
      <c r="O24" s="128"/>
      <c r="P24" s="128"/>
      <c r="Q24" s="128"/>
      <c r="R24" s="128"/>
      <c r="S24" s="128"/>
      <c r="T24" s="128"/>
    </row>
    <row r="25" spans="1:20" x14ac:dyDescent="0.35">
      <c r="A25" s="130"/>
      <c r="B25" s="130"/>
      <c r="C25" s="130"/>
      <c r="D25" s="130"/>
      <c r="E25" s="130"/>
      <c r="F25" s="130"/>
      <c r="G25" s="130"/>
      <c r="H25" s="130"/>
      <c r="I25" s="130"/>
      <c r="J25" s="130"/>
      <c r="K25" s="128"/>
      <c r="L25" s="128"/>
      <c r="M25" s="128"/>
      <c r="N25" s="128"/>
      <c r="O25" s="128"/>
      <c r="P25" s="128"/>
      <c r="Q25" s="128"/>
      <c r="R25" s="128"/>
      <c r="S25" s="128"/>
      <c r="T25" s="128"/>
    </row>
    <row r="26" spans="1:20" x14ac:dyDescent="0.35">
      <c r="A26" s="130"/>
      <c r="B26" s="130"/>
      <c r="C26" s="130"/>
      <c r="D26" s="130"/>
      <c r="E26" s="130"/>
      <c r="F26" s="130"/>
      <c r="G26" s="130"/>
      <c r="H26" s="130"/>
      <c r="I26" s="130"/>
      <c r="J26" s="130"/>
      <c r="K26" s="128"/>
      <c r="L26" s="128"/>
      <c r="M26" s="128"/>
      <c r="N26" s="128"/>
      <c r="O26" s="128"/>
      <c r="P26" s="128"/>
      <c r="Q26" s="128"/>
      <c r="R26" s="128"/>
      <c r="S26" s="128"/>
      <c r="T26" s="128"/>
    </row>
    <row r="27" spans="1:20" x14ac:dyDescent="0.35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28"/>
      <c r="L27" s="128"/>
      <c r="M27" s="128"/>
      <c r="N27" s="128"/>
      <c r="O27" s="128"/>
      <c r="P27" s="128"/>
      <c r="Q27" s="128"/>
      <c r="R27" s="128"/>
      <c r="S27" s="128"/>
      <c r="T27" s="128"/>
    </row>
    <row r="28" spans="1:20" x14ac:dyDescent="0.35">
      <c r="A28" s="130"/>
      <c r="B28" s="130"/>
      <c r="C28" s="130"/>
      <c r="D28" s="130"/>
      <c r="E28" s="130"/>
      <c r="F28" s="130"/>
      <c r="G28" s="130"/>
      <c r="H28" s="130"/>
      <c r="I28" s="130"/>
      <c r="J28" s="130"/>
      <c r="K28" s="128"/>
      <c r="L28" s="128"/>
      <c r="M28" s="128"/>
      <c r="N28" s="128"/>
      <c r="O28" s="128"/>
      <c r="P28" s="128"/>
      <c r="Q28" s="128"/>
      <c r="R28" s="128"/>
      <c r="S28" s="128"/>
      <c r="T28" s="128"/>
    </row>
    <row r="29" spans="1:20" x14ac:dyDescent="0.35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28"/>
      <c r="L29" s="128"/>
      <c r="M29" s="128"/>
      <c r="N29" s="128"/>
      <c r="O29" s="128"/>
      <c r="P29" s="128"/>
      <c r="Q29" s="128"/>
      <c r="R29" s="128"/>
      <c r="S29" s="128"/>
      <c r="T29" s="128"/>
    </row>
    <row r="30" spans="1:20" x14ac:dyDescent="0.35">
      <c r="A30" s="130"/>
      <c r="B30" s="130"/>
      <c r="C30" s="130"/>
      <c r="D30" s="130"/>
      <c r="E30" s="130"/>
      <c r="F30" s="130"/>
      <c r="G30" s="130"/>
      <c r="H30" s="130"/>
      <c r="I30" s="130"/>
      <c r="J30" s="130"/>
      <c r="K30" s="128"/>
      <c r="L30" s="128"/>
      <c r="M30" s="128"/>
      <c r="N30" s="128"/>
      <c r="O30" s="128"/>
      <c r="P30" s="128"/>
      <c r="Q30" s="128"/>
      <c r="R30" s="128"/>
      <c r="S30" s="128"/>
      <c r="T30" s="128"/>
    </row>
    <row r="31" spans="1:20" x14ac:dyDescent="0.35">
      <c r="A31" s="130"/>
      <c r="B31" s="130"/>
      <c r="C31" s="130"/>
      <c r="D31" s="130"/>
      <c r="E31" s="130"/>
      <c r="F31" s="130"/>
      <c r="G31" s="130"/>
      <c r="H31" s="130"/>
      <c r="I31" s="130"/>
      <c r="J31" s="130"/>
      <c r="K31" s="128"/>
      <c r="L31" s="128"/>
      <c r="M31" s="128"/>
      <c r="N31" s="128"/>
      <c r="O31" s="128"/>
      <c r="P31" s="128"/>
      <c r="Q31" s="128"/>
      <c r="R31" s="128"/>
      <c r="S31" s="128"/>
      <c r="T31" s="128"/>
    </row>
    <row r="32" spans="1:20" x14ac:dyDescent="0.35">
      <c r="A32" s="130"/>
      <c r="B32" s="130"/>
      <c r="C32" s="130"/>
      <c r="D32" s="130"/>
      <c r="E32" s="130"/>
      <c r="F32" s="130"/>
      <c r="G32" s="130"/>
      <c r="H32" s="130"/>
      <c r="I32" s="130"/>
      <c r="J32" s="130"/>
      <c r="K32" s="128"/>
      <c r="L32" s="128"/>
      <c r="M32" s="128"/>
      <c r="N32" s="128"/>
      <c r="O32" s="128"/>
      <c r="P32" s="128"/>
      <c r="Q32" s="128"/>
      <c r="R32" s="128"/>
      <c r="S32" s="128"/>
      <c r="T32" s="128"/>
    </row>
    <row r="33" spans="1:20" x14ac:dyDescent="0.35">
      <c r="A33" s="130"/>
      <c r="B33" s="130"/>
      <c r="C33" s="130"/>
      <c r="D33" s="130"/>
      <c r="E33" s="130"/>
      <c r="F33" s="130"/>
      <c r="G33" s="130"/>
      <c r="H33" s="130"/>
      <c r="I33" s="130"/>
      <c r="J33" s="130"/>
      <c r="K33" s="128"/>
      <c r="L33" s="128"/>
      <c r="M33" s="128"/>
      <c r="N33" s="128"/>
      <c r="O33" s="128"/>
      <c r="P33" s="128"/>
      <c r="Q33" s="128"/>
      <c r="R33" s="128"/>
      <c r="S33" s="128"/>
      <c r="T33" s="128"/>
    </row>
    <row r="34" spans="1:20" x14ac:dyDescent="0.35">
      <c r="A34" s="130"/>
      <c r="B34" s="130"/>
      <c r="C34" s="130"/>
      <c r="D34" s="130"/>
      <c r="E34" s="130"/>
      <c r="F34" s="130"/>
      <c r="G34" s="130"/>
      <c r="H34" s="130"/>
      <c r="I34" s="130"/>
      <c r="J34" s="130"/>
      <c r="K34" s="128"/>
      <c r="L34" s="128"/>
      <c r="M34" s="128"/>
      <c r="N34" s="128"/>
      <c r="O34" s="128"/>
      <c r="P34" s="128"/>
      <c r="Q34" s="128"/>
      <c r="R34" s="128"/>
      <c r="S34" s="128"/>
      <c r="T34" s="128"/>
    </row>
    <row r="35" spans="1:20" x14ac:dyDescent="0.35">
      <c r="A35" s="130"/>
      <c r="B35" s="130"/>
      <c r="C35" s="130"/>
      <c r="D35" s="130"/>
      <c r="E35" s="130"/>
      <c r="F35" s="130"/>
      <c r="G35" s="130"/>
      <c r="H35" s="130"/>
      <c r="I35" s="130"/>
      <c r="J35" s="130"/>
      <c r="K35" s="128"/>
      <c r="L35" s="128"/>
      <c r="M35" s="128"/>
      <c r="N35" s="128"/>
      <c r="O35" s="128"/>
      <c r="P35" s="128"/>
      <c r="Q35" s="128"/>
      <c r="R35" s="128"/>
      <c r="S35" s="128"/>
      <c r="T35" s="128"/>
    </row>
    <row r="36" spans="1:20" x14ac:dyDescent="0.35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28"/>
      <c r="L36" s="128"/>
      <c r="M36" s="128"/>
      <c r="N36" s="128"/>
      <c r="O36" s="128"/>
      <c r="P36" s="128"/>
      <c r="Q36" s="128"/>
      <c r="R36" s="128"/>
      <c r="S36" s="128"/>
      <c r="T36" s="128"/>
    </row>
    <row r="37" spans="1:20" x14ac:dyDescent="0.35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28"/>
      <c r="L37" s="128"/>
      <c r="M37" s="128"/>
      <c r="N37" s="128"/>
      <c r="O37" s="128"/>
      <c r="P37" s="128"/>
      <c r="Q37" s="128"/>
      <c r="R37" s="128"/>
      <c r="S37" s="128"/>
      <c r="T37" s="128"/>
    </row>
    <row r="38" spans="1:20" x14ac:dyDescent="0.35">
      <c r="A38" s="130"/>
      <c r="B38" s="130"/>
      <c r="C38" s="130"/>
      <c r="D38" s="130"/>
      <c r="E38" s="130"/>
      <c r="F38" s="130"/>
      <c r="G38" s="130"/>
      <c r="H38" s="130"/>
      <c r="I38" s="130"/>
      <c r="J38" s="130"/>
      <c r="K38" s="128"/>
      <c r="L38" s="128"/>
      <c r="M38" s="128"/>
      <c r="N38" s="128"/>
      <c r="O38" s="128"/>
      <c r="P38" s="128"/>
      <c r="Q38" s="128"/>
      <c r="R38" s="128"/>
      <c r="S38" s="128"/>
      <c r="T38" s="128"/>
    </row>
    <row r="39" spans="1:20" x14ac:dyDescent="0.35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28"/>
      <c r="L39" s="128"/>
      <c r="M39" s="128"/>
      <c r="N39" s="128"/>
      <c r="O39" s="128"/>
      <c r="P39" s="128"/>
      <c r="Q39" s="128"/>
      <c r="R39" s="128"/>
      <c r="S39" s="128"/>
      <c r="T39" s="128"/>
    </row>
    <row r="40" spans="1:20" x14ac:dyDescent="0.35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28"/>
      <c r="L40" s="128"/>
      <c r="M40" s="128"/>
      <c r="N40" s="128"/>
      <c r="O40" s="128"/>
      <c r="P40" s="128"/>
      <c r="Q40" s="128"/>
      <c r="R40" s="128"/>
      <c r="S40" s="128"/>
      <c r="T40" s="128"/>
    </row>
    <row r="41" spans="1:20" x14ac:dyDescent="0.35">
      <c r="A41" s="130"/>
      <c r="B41" s="130"/>
      <c r="C41" s="130"/>
      <c r="D41" s="130"/>
      <c r="E41" s="130"/>
      <c r="F41" s="130"/>
      <c r="G41" s="130"/>
      <c r="H41" s="130"/>
      <c r="I41" s="130"/>
      <c r="J41" s="130"/>
      <c r="K41" s="128"/>
      <c r="L41" s="128"/>
      <c r="M41" s="128"/>
      <c r="N41" s="128"/>
      <c r="O41" s="128"/>
      <c r="P41" s="128"/>
      <c r="Q41" s="128"/>
      <c r="R41" s="128"/>
      <c r="S41" s="128"/>
      <c r="T41" s="128"/>
    </row>
    <row r="42" spans="1:20" x14ac:dyDescent="0.35">
      <c r="A42" s="130"/>
      <c r="B42" s="130"/>
      <c r="C42" s="130"/>
      <c r="D42" s="130"/>
      <c r="E42" s="130"/>
      <c r="F42" s="130"/>
      <c r="G42" s="130"/>
      <c r="H42" s="130"/>
      <c r="I42" s="130"/>
      <c r="J42" s="130"/>
      <c r="K42" s="128"/>
      <c r="L42" s="128"/>
      <c r="M42" s="128"/>
      <c r="N42" s="128"/>
      <c r="O42" s="128"/>
      <c r="P42" s="128"/>
      <c r="Q42" s="128"/>
      <c r="R42" s="128"/>
      <c r="S42" s="128"/>
      <c r="T42" s="128"/>
    </row>
    <row r="43" spans="1:20" x14ac:dyDescent="0.35">
      <c r="A43" s="130"/>
      <c r="B43" s="130"/>
      <c r="C43" s="130"/>
      <c r="D43" s="130"/>
      <c r="E43" s="130"/>
      <c r="F43" s="130"/>
      <c r="G43" s="130"/>
      <c r="H43" s="130"/>
      <c r="I43" s="130"/>
      <c r="J43" s="130"/>
      <c r="K43" s="128"/>
      <c r="L43" s="128"/>
      <c r="M43" s="128"/>
      <c r="N43" s="128"/>
      <c r="O43" s="128"/>
      <c r="P43" s="128"/>
      <c r="Q43" s="128"/>
      <c r="R43" s="128"/>
      <c r="S43" s="128"/>
      <c r="T43" s="128"/>
    </row>
    <row r="44" spans="1:20" x14ac:dyDescent="0.35">
      <c r="A44" s="130"/>
      <c r="B44" s="130"/>
      <c r="C44" s="130"/>
      <c r="D44" s="130"/>
      <c r="E44" s="130"/>
      <c r="F44" s="130"/>
      <c r="G44" s="130"/>
      <c r="H44" s="130"/>
      <c r="I44" s="130"/>
      <c r="J44" s="130"/>
      <c r="K44" s="128"/>
      <c r="L44" s="128"/>
      <c r="M44" s="128"/>
      <c r="N44" s="128"/>
      <c r="O44" s="128"/>
      <c r="P44" s="128"/>
      <c r="Q44" s="128"/>
      <c r="R44" s="128"/>
      <c r="S44" s="128"/>
      <c r="T44" s="128"/>
    </row>
    <row r="45" spans="1:20" x14ac:dyDescent="0.35">
      <c r="A45" s="130"/>
      <c r="B45" s="130"/>
      <c r="C45" s="130"/>
      <c r="D45" s="130"/>
      <c r="E45" s="130"/>
      <c r="F45" s="130"/>
      <c r="G45" s="130"/>
      <c r="H45" s="130"/>
      <c r="I45" s="130"/>
      <c r="J45" s="130"/>
      <c r="K45" s="128"/>
      <c r="L45" s="128"/>
      <c r="M45" s="128"/>
      <c r="N45" s="128"/>
      <c r="O45" s="128"/>
      <c r="P45" s="128"/>
      <c r="Q45" s="128"/>
      <c r="R45" s="128"/>
      <c r="S45" s="128"/>
      <c r="T45" s="128"/>
    </row>
    <row r="46" spans="1:20" x14ac:dyDescent="0.35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28"/>
      <c r="L46" s="128"/>
      <c r="M46" s="128"/>
      <c r="N46" s="128"/>
      <c r="O46" s="128"/>
      <c r="P46" s="128"/>
      <c r="Q46" s="128"/>
      <c r="R46" s="128"/>
      <c r="S46" s="128"/>
      <c r="T46" s="128"/>
    </row>
    <row r="47" spans="1:20" x14ac:dyDescent="0.35">
      <c r="A47" s="130"/>
      <c r="B47" s="130"/>
      <c r="C47" s="130"/>
      <c r="D47" s="130"/>
      <c r="E47" s="130"/>
      <c r="F47" s="130"/>
      <c r="G47" s="130"/>
      <c r="H47" s="130"/>
      <c r="I47" s="130"/>
      <c r="J47" s="130"/>
      <c r="K47" s="128"/>
      <c r="L47" s="128"/>
      <c r="M47" s="128"/>
      <c r="N47" s="128"/>
      <c r="O47" s="128"/>
      <c r="P47" s="128"/>
      <c r="Q47" s="128"/>
      <c r="R47" s="128"/>
      <c r="S47" s="128"/>
      <c r="T47" s="128"/>
    </row>
    <row r="48" spans="1:20" x14ac:dyDescent="0.35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</row>
    <row r="49" spans="1:20" x14ac:dyDescent="0.35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</row>
    <row r="50" spans="1:20" x14ac:dyDescent="0.35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</row>
    <row r="51" spans="1:20" x14ac:dyDescent="0.35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</row>
    <row r="52" spans="1:20" x14ac:dyDescent="0.35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</row>
    <row r="53" spans="1:20" x14ac:dyDescent="0.35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</row>
    <row r="54" spans="1:20" x14ac:dyDescent="0.35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</row>
    <row r="55" spans="1:20" x14ac:dyDescent="0.35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</row>
    <row r="56" spans="1:20" x14ac:dyDescent="0.35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</row>
    <row r="57" spans="1:20" x14ac:dyDescent="0.35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</row>
    <row r="58" spans="1:20" x14ac:dyDescent="0.35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</row>
    <row r="59" spans="1:20" x14ac:dyDescent="0.35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</row>
    <row r="60" spans="1:20" x14ac:dyDescent="0.35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</row>
    <row r="61" spans="1:20" x14ac:dyDescent="0.35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</row>
    <row r="62" spans="1:20" x14ac:dyDescent="0.35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</row>
    <row r="63" spans="1:20" x14ac:dyDescent="0.35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</row>
    <row r="64" spans="1:20" x14ac:dyDescent="0.35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</row>
    <row r="65" spans="1:20" x14ac:dyDescent="0.35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</row>
    <row r="66" spans="1:20" x14ac:dyDescent="0.35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</row>
    <row r="67" spans="1:20" x14ac:dyDescent="0.35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</row>
    <row r="68" spans="1:20" x14ac:dyDescent="0.35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</row>
    <row r="69" spans="1:20" x14ac:dyDescent="0.35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</row>
    <row r="70" spans="1:20" x14ac:dyDescent="0.35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</row>
    <row r="71" spans="1:20" x14ac:dyDescent="0.35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</row>
    <row r="72" spans="1:20" x14ac:dyDescent="0.35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</row>
    <row r="73" spans="1:20" x14ac:dyDescent="0.35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</row>
    <row r="74" spans="1:20" x14ac:dyDescent="0.35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</row>
    <row r="75" spans="1:20" x14ac:dyDescent="0.35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</row>
    <row r="76" spans="1:20" x14ac:dyDescent="0.35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</row>
    <row r="77" spans="1:20" x14ac:dyDescent="0.35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</row>
    <row r="78" spans="1:20" x14ac:dyDescent="0.35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</row>
    <row r="79" spans="1:20" x14ac:dyDescent="0.35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</row>
    <row r="80" spans="1:20" x14ac:dyDescent="0.35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</row>
    <row r="81" spans="1:20" x14ac:dyDescent="0.35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</row>
    <row r="82" spans="1:20" x14ac:dyDescent="0.35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</row>
    <row r="83" spans="1:20" x14ac:dyDescent="0.35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</row>
    <row r="84" spans="1:20" x14ac:dyDescent="0.35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</row>
    <row r="85" spans="1:20" x14ac:dyDescent="0.35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</row>
    <row r="86" spans="1:20" x14ac:dyDescent="0.35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</row>
    <row r="87" spans="1:20" x14ac:dyDescent="0.35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</row>
    <row r="88" spans="1:20" x14ac:dyDescent="0.35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</row>
    <row r="89" spans="1:20" x14ac:dyDescent="0.35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</row>
    <row r="90" spans="1:20" x14ac:dyDescent="0.35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</row>
    <row r="91" spans="1:20" x14ac:dyDescent="0.35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</row>
    <row r="92" spans="1:20" x14ac:dyDescent="0.35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</row>
    <row r="93" spans="1:20" x14ac:dyDescent="0.35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</row>
    <row r="94" spans="1:20" x14ac:dyDescent="0.35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</row>
    <row r="95" spans="1:20" x14ac:dyDescent="0.35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</row>
    <row r="96" spans="1:20" x14ac:dyDescent="0.35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</row>
    <row r="97" spans="1:20" x14ac:dyDescent="0.35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</row>
    <row r="98" spans="1:20" x14ac:dyDescent="0.35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</row>
    <row r="99" spans="1:20" x14ac:dyDescent="0.35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</row>
    <row r="100" spans="1:20" x14ac:dyDescent="0.35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</row>
    <row r="101" spans="1:20" x14ac:dyDescent="0.35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</row>
    <row r="102" spans="1:20" x14ac:dyDescent="0.35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</row>
    <row r="103" spans="1:20" x14ac:dyDescent="0.35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</row>
    <row r="104" spans="1:20" x14ac:dyDescent="0.35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</row>
    <row r="105" spans="1:20" x14ac:dyDescent="0.3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</row>
    <row r="106" spans="1:20" x14ac:dyDescent="0.35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</row>
    <row r="107" spans="1:20" x14ac:dyDescent="0.35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</row>
    <row r="108" spans="1:20" x14ac:dyDescent="0.35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</row>
    <row r="109" spans="1:20" x14ac:dyDescent="0.35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</row>
    <row r="110" spans="1:20" x14ac:dyDescent="0.35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</row>
    <row r="111" spans="1:20" x14ac:dyDescent="0.35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</row>
    <row r="112" spans="1:20" x14ac:dyDescent="0.35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</row>
    <row r="113" spans="1:20" x14ac:dyDescent="0.35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</row>
    <row r="114" spans="1:20" x14ac:dyDescent="0.35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</row>
    <row r="115" spans="1:20" x14ac:dyDescent="0.3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</row>
    <row r="116" spans="1:20" x14ac:dyDescent="0.35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</row>
    <row r="117" spans="1:20" x14ac:dyDescent="0.35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</row>
    <row r="118" spans="1:20" x14ac:dyDescent="0.35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</row>
    <row r="119" spans="1:20" x14ac:dyDescent="0.35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</row>
    <row r="120" spans="1:20" x14ac:dyDescent="0.35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</row>
    <row r="121" spans="1:20" x14ac:dyDescent="0.35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</row>
    <row r="122" spans="1:20" x14ac:dyDescent="0.35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</row>
    <row r="123" spans="1:20" x14ac:dyDescent="0.35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</row>
    <row r="124" spans="1:20" x14ac:dyDescent="0.35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</row>
    <row r="125" spans="1:20" x14ac:dyDescent="0.3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</row>
    <row r="126" spans="1:20" x14ac:dyDescent="0.35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</row>
    <row r="127" spans="1:20" x14ac:dyDescent="0.35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</row>
    <row r="128" spans="1:20" x14ac:dyDescent="0.35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</row>
    <row r="129" spans="1:20" x14ac:dyDescent="0.35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</row>
    <row r="130" spans="1:20" x14ac:dyDescent="0.35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</row>
    <row r="131" spans="1:20" x14ac:dyDescent="0.35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</row>
    <row r="132" spans="1:20" x14ac:dyDescent="0.35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</row>
    <row r="133" spans="1:20" x14ac:dyDescent="0.35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</row>
    <row r="134" spans="1:20" x14ac:dyDescent="0.35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</row>
    <row r="135" spans="1:20" x14ac:dyDescent="0.35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</row>
    <row r="136" spans="1:20" x14ac:dyDescent="0.35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</row>
    <row r="137" spans="1:20" x14ac:dyDescent="0.35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</row>
    <row r="138" spans="1:20" x14ac:dyDescent="0.35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</row>
    <row r="139" spans="1:20" x14ac:dyDescent="0.35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</row>
    <row r="140" spans="1:20" x14ac:dyDescent="0.35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</row>
    <row r="141" spans="1:20" x14ac:dyDescent="0.35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</row>
    <row r="142" spans="1:20" x14ac:dyDescent="0.35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</row>
    <row r="143" spans="1:20" x14ac:dyDescent="0.35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</row>
    <row r="144" spans="1:20" x14ac:dyDescent="0.35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</row>
    <row r="145" spans="1:20" x14ac:dyDescent="0.35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</row>
    <row r="146" spans="1:20" x14ac:dyDescent="0.35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</row>
    <row r="147" spans="1:20" x14ac:dyDescent="0.35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</row>
    <row r="148" spans="1:20" x14ac:dyDescent="0.35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</row>
    <row r="149" spans="1:20" x14ac:dyDescent="0.35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</row>
    <row r="150" spans="1:20" x14ac:dyDescent="0.35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</row>
    <row r="151" spans="1:20" x14ac:dyDescent="0.35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</row>
    <row r="152" spans="1:20" x14ac:dyDescent="0.35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</row>
    <row r="153" spans="1:20" x14ac:dyDescent="0.35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</row>
    <row r="154" spans="1:20" x14ac:dyDescent="0.35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</row>
    <row r="155" spans="1:20" x14ac:dyDescent="0.35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</row>
    <row r="156" spans="1:20" x14ac:dyDescent="0.35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</row>
    <row r="157" spans="1:20" x14ac:dyDescent="0.35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</row>
    <row r="158" spans="1:20" x14ac:dyDescent="0.35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</row>
    <row r="159" spans="1:20" x14ac:dyDescent="0.35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</row>
    <row r="160" spans="1:20" x14ac:dyDescent="0.35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</row>
    <row r="161" spans="1:20" x14ac:dyDescent="0.35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</row>
    <row r="162" spans="1:20" x14ac:dyDescent="0.35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</row>
    <row r="163" spans="1:20" x14ac:dyDescent="0.35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</row>
    <row r="164" spans="1:20" x14ac:dyDescent="0.35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</row>
    <row r="165" spans="1:20" x14ac:dyDescent="0.35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</row>
    <row r="166" spans="1:20" x14ac:dyDescent="0.35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</row>
    <row r="167" spans="1:20" x14ac:dyDescent="0.35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</row>
    <row r="168" spans="1:20" x14ac:dyDescent="0.35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</row>
    <row r="169" spans="1:20" x14ac:dyDescent="0.35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</row>
    <row r="170" spans="1:20" x14ac:dyDescent="0.3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</row>
    <row r="171" spans="1:20" x14ac:dyDescent="0.35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</row>
    <row r="172" spans="1:20" x14ac:dyDescent="0.35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</row>
    <row r="173" spans="1:20" x14ac:dyDescent="0.35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</row>
    <row r="174" spans="1:20" x14ac:dyDescent="0.35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</row>
    <row r="175" spans="1:20" x14ac:dyDescent="0.3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</row>
    <row r="176" spans="1:20" x14ac:dyDescent="0.35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</row>
    <row r="177" spans="1:20" x14ac:dyDescent="0.35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</row>
    <row r="178" spans="1:20" x14ac:dyDescent="0.35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</row>
    <row r="179" spans="1:20" x14ac:dyDescent="0.35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</row>
    <row r="180" spans="1:20" x14ac:dyDescent="0.35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</row>
    <row r="181" spans="1:20" x14ac:dyDescent="0.35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</row>
    <row r="182" spans="1:20" x14ac:dyDescent="0.35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</row>
    <row r="183" spans="1:20" x14ac:dyDescent="0.35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</row>
    <row r="184" spans="1:20" x14ac:dyDescent="0.35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</row>
    <row r="185" spans="1:20" x14ac:dyDescent="0.3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</row>
    <row r="186" spans="1:20" x14ac:dyDescent="0.3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</row>
    <row r="187" spans="1:20" x14ac:dyDescent="0.35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</row>
    <row r="188" spans="1:20" x14ac:dyDescent="0.35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</row>
    <row r="189" spans="1:20" x14ac:dyDescent="0.35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</row>
    <row r="190" spans="1:20" x14ac:dyDescent="0.35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</row>
    <row r="191" spans="1:20" x14ac:dyDescent="0.35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</row>
    <row r="192" spans="1:20" x14ac:dyDescent="0.35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</row>
    <row r="193" spans="1:10" x14ac:dyDescent="0.35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</row>
    <row r="194" spans="1:10" x14ac:dyDescent="0.35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</row>
    <row r="195" spans="1:10" x14ac:dyDescent="0.3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</row>
    <row r="196" spans="1:10" x14ac:dyDescent="0.35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</row>
    <row r="197" spans="1:10" x14ac:dyDescent="0.35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</row>
    <row r="198" spans="1:10" x14ac:dyDescent="0.35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</row>
    <row r="199" spans="1:10" x14ac:dyDescent="0.35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</row>
    <row r="200" spans="1:10" x14ac:dyDescent="0.35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</row>
    <row r="201" spans="1:10" x14ac:dyDescent="0.35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</row>
    <row r="202" spans="1:10" x14ac:dyDescent="0.35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</row>
    <row r="203" spans="1:10" x14ac:dyDescent="0.35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</row>
    <row r="204" spans="1:10" x14ac:dyDescent="0.35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</row>
    <row r="205" spans="1:10" x14ac:dyDescent="0.3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</row>
    <row r="206" spans="1:10" x14ac:dyDescent="0.35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</row>
    <row r="207" spans="1:10" x14ac:dyDescent="0.35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</row>
    <row r="208" spans="1:10" x14ac:dyDescent="0.35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</row>
    <row r="209" spans="1:10" x14ac:dyDescent="0.35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</row>
    <row r="210" spans="1:10" x14ac:dyDescent="0.35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</row>
    <row r="211" spans="1:10" x14ac:dyDescent="0.35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</row>
    <row r="212" spans="1:10" x14ac:dyDescent="0.35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</row>
    <row r="213" spans="1:10" x14ac:dyDescent="0.35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</row>
    <row r="214" spans="1:10" x14ac:dyDescent="0.35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</row>
    <row r="215" spans="1:10" x14ac:dyDescent="0.3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</row>
    <row r="216" spans="1:10" x14ac:dyDescent="0.35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</row>
    <row r="217" spans="1:10" x14ac:dyDescent="0.35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</row>
    <row r="218" spans="1:10" x14ac:dyDescent="0.35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</row>
    <row r="219" spans="1:10" x14ac:dyDescent="0.35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</row>
    <row r="220" spans="1:10" x14ac:dyDescent="0.35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</row>
    <row r="221" spans="1:10" x14ac:dyDescent="0.35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</row>
    <row r="222" spans="1:10" x14ac:dyDescent="0.35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</row>
    <row r="223" spans="1:10" x14ac:dyDescent="0.35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</row>
    <row r="224" spans="1:10" x14ac:dyDescent="0.35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</row>
    <row r="225" spans="1:10" x14ac:dyDescent="0.3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</row>
    <row r="226" spans="1:10" x14ac:dyDescent="0.35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</row>
    <row r="227" spans="1:10" x14ac:dyDescent="0.35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</row>
    <row r="228" spans="1:10" x14ac:dyDescent="0.35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</row>
    <row r="229" spans="1:10" x14ac:dyDescent="0.35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</row>
    <row r="230" spans="1:10" x14ac:dyDescent="0.35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</row>
    <row r="231" spans="1:10" x14ac:dyDescent="0.35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</row>
    <row r="232" spans="1:10" x14ac:dyDescent="0.3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</row>
    <row r="233" spans="1:10" x14ac:dyDescent="0.35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</row>
    <row r="234" spans="1:10" x14ac:dyDescent="0.35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</row>
    <row r="235" spans="1:10" x14ac:dyDescent="0.3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</row>
  </sheetData>
  <sheetProtection algorithmName="SHA-512" hashValue="lcIrPou5RsysYP0E2/IzE5EZyKU9KlWu1kWG8IKnrZE9a/CD1gQGuu1eh7sIHkta6Bhh1Q++emTuh2OUwoxgdA==" saltValue="cHHFULiCLWOgi/WqQmcaIQ==" spinCount="100000" sheet="1" selectLockedCells="1"/>
  <mergeCells count="9">
    <mergeCell ref="A189:J235"/>
    <mergeCell ref="K48:T94"/>
    <mergeCell ref="K1:T47"/>
    <mergeCell ref="K95:T141"/>
    <mergeCell ref="K142:T188"/>
    <mergeCell ref="A1:J47"/>
    <mergeCell ref="A95:J141"/>
    <mergeCell ref="A48:J94"/>
    <mergeCell ref="A142:J18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J138"/>
  <sheetViews>
    <sheetView workbookViewId="0">
      <selection sqref="A1:XFD1048576"/>
    </sheetView>
  </sheetViews>
  <sheetFormatPr defaultRowHeight="14.5" x14ac:dyDescent="0.35"/>
  <sheetData>
    <row r="1" spans="1:10" ht="18.5" x14ac:dyDescent="0.45">
      <c r="A1" s="135" t="s">
        <v>13</v>
      </c>
      <c r="B1" s="136"/>
      <c r="C1" s="136"/>
      <c r="D1" s="136"/>
      <c r="E1" s="4"/>
      <c r="J1" s="2"/>
    </row>
    <row r="2" spans="1:10" ht="15.5" x14ac:dyDescent="0.35">
      <c r="A2" s="3"/>
      <c r="B2" s="5"/>
      <c r="C2" s="5"/>
      <c r="D2" s="5"/>
      <c r="E2" s="1"/>
    </row>
    <row r="3" spans="1:10" ht="14.5" customHeight="1" x14ac:dyDescent="0.35">
      <c r="A3" s="137" t="s">
        <v>14</v>
      </c>
      <c r="B3" s="132"/>
      <c r="C3" s="137" t="s">
        <v>15</v>
      </c>
      <c r="D3" s="138"/>
      <c r="E3" s="1"/>
    </row>
    <row r="4" spans="1:10" x14ac:dyDescent="0.35">
      <c r="A4" s="133">
        <v>-24</v>
      </c>
      <c r="B4" s="133"/>
      <c r="C4" s="131">
        <f t="shared" ref="C4:C16" si="0">C5-0.014</f>
        <v>5.3999999999999909E-2</v>
      </c>
      <c r="D4" s="132"/>
      <c r="E4" s="1"/>
    </row>
    <row r="5" spans="1:10" x14ac:dyDescent="0.35">
      <c r="A5" s="133">
        <v>-23</v>
      </c>
      <c r="B5" s="133"/>
      <c r="C5" s="131">
        <f t="shared" si="0"/>
        <v>6.7999999999999908E-2</v>
      </c>
      <c r="D5" s="132"/>
      <c r="E5" s="1"/>
    </row>
    <row r="6" spans="1:10" x14ac:dyDescent="0.35">
      <c r="A6" s="133">
        <v>-22</v>
      </c>
      <c r="B6" s="133"/>
      <c r="C6" s="131">
        <f t="shared" si="0"/>
        <v>8.1999999999999906E-2</v>
      </c>
      <c r="D6" s="132"/>
      <c r="E6" s="1"/>
    </row>
    <row r="7" spans="1:10" x14ac:dyDescent="0.35">
      <c r="A7" s="133">
        <v>-21</v>
      </c>
      <c r="B7" s="133"/>
      <c r="C7" s="131">
        <f t="shared" si="0"/>
        <v>9.5999999999999905E-2</v>
      </c>
      <c r="D7" s="132"/>
      <c r="E7" s="1"/>
    </row>
    <row r="8" spans="1:10" x14ac:dyDescent="0.35">
      <c r="A8" s="133">
        <v>-20</v>
      </c>
      <c r="B8" s="133"/>
      <c r="C8" s="131">
        <f t="shared" si="0"/>
        <v>0.1099999999999999</v>
      </c>
      <c r="D8" s="132"/>
      <c r="E8" s="1"/>
    </row>
    <row r="9" spans="1:10" x14ac:dyDescent="0.35">
      <c r="A9" s="133">
        <v>-19</v>
      </c>
      <c r="B9" s="133"/>
      <c r="C9" s="131">
        <f t="shared" si="0"/>
        <v>0.1239999999999999</v>
      </c>
      <c r="D9" s="132"/>
      <c r="E9" s="1"/>
    </row>
    <row r="10" spans="1:10" x14ac:dyDescent="0.35">
      <c r="A10" s="133">
        <v>-18</v>
      </c>
      <c r="B10" s="133"/>
      <c r="C10" s="131">
        <f t="shared" si="0"/>
        <v>0.1379999999999999</v>
      </c>
      <c r="D10" s="132"/>
      <c r="E10" s="1"/>
    </row>
    <row r="11" spans="1:10" x14ac:dyDescent="0.35">
      <c r="A11" s="133">
        <v>-17</v>
      </c>
      <c r="B11" s="133"/>
      <c r="C11" s="131">
        <f t="shared" si="0"/>
        <v>0.15199999999999991</v>
      </c>
      <c r="D11" s="132"/>
      <c r="E11" s="1"/>
    </row>
    <row r="12" spans="1:10" x14ac:dyDescent="0.35">
      <c r="A12" s="133">
        <v>-16</v>
      </c>
      <c r="B12" s="133"/>
      <c r="C12" s="131">
        <f t="shared" si="0"/>
        <v>0.16599999999999993</v>
      </c>
      <c r="D12" s="132"/>
      <c r="E12" s="1"/>
    </row>
    <row r="13" spans="1:10" x14ac:dyDescent="0.35">
      <c r="A13" s="133">
        <v>-15</v>
      </c>
      <c r="B13" s="133"/>
      <c r="C13" s="131">
        <f t="shared" si="0"/>
        <v>0.17999999999999994</v>
      </c>
      <c r="D13" s="132"/>
      <c r="E13" s="1"/>
    </row>
    <row r="14" spans="1:10" x14ac:dyDescent="0.35">
      <c r="A14" s="133">
        <v>-14</v>
      </c>
      <c r="B14" s="133"/>
      <c r="C14" s="131">
        <f t="shared" si="0"/>
        <v>0.19399999999999995</v>
      </c>
      <c r="D14" s="132"/>
      <c r="E14" s="1"/>
    </row>
    <row r="15" spans="1:10" x14ac:dyDescent="0.35">
      <c r="A15" s="133">
        <v>-13</v>
      </c>
      <c r="B15" s="133"/>
      <c r="C15" s="131">
        <f t="shared" si="0"/>
        <v>0.20799999999999996</v>
      </c>
      <c r="D15" s="132"/>
      <c r="E15" s="1"/>
    </row>
    <row r="16" spans="1:10" x14ac:dyDescent="0.35">
      <c r="A16" s="133">
        <v>-12</v>
      </c>
      <c r="B16" s="133"/>
      <c r="C16" s="131">
        <f t="shared" si="0"/>
        <v>0.22199999999999998</v>
      </c>
      <c r="D16" s="132"/>
      <c r="E16" s="1"/>
    </row>
    <row r="17" spans="1:5" x14ac:dyDescent="0.35">
      <c r="A17" s="133">
        <v>-11</v>
      </c>
      <c r="B17" s="133"/>
      <c r="C17" s="131">
        <f>C18-0.014</f>
        <v>0.23599999999999999</v>
      </c>
      <c r="D17" s="132"/>
      <c r="E17" s="1"/>
    </row>
    <row r="18" spans="1:5" x14ac:dyDescent="0.35">
      <c r="A18" s="133">
        <v>-10</v>
      </c>
      <c r="B18" s="133"/>
      <c r="C18" s="131">
        <v>0.25</v>
      </c>
      <c r="D18" s="132"/>
      <c r="E18" s="1"/>
    </row>
    <row r="19" spans="1:5" x14ac:dyDescent="0.35">
      <c r="A19" s="133">
        <v>-9</v>
      </c>
      <c r="B19" s="133"/>
      <c r="C19" s="131">
        <f>C18+0.014</f>
        <v>0.26400000000000001</v>
      </c>
      <c r="D19" s="134"/>
      <c r="E19" s="1"/>
    </row>
    <row r="20" spans="1:5" x14ac:dyDescent="0.35">
      <c r="A20" s="133">
        <v>-8</v>
      </c>
      <c r="B20" s="133"/>
      <c r="C20" s="131">
        <f>C19+0.014</f>
        <v>0.27800000000000002</v>
      </c>
      <c r="D20" s="134"/>
      <c r="E20" s="1"/>
    </row>
    <row r="21" spans="1:5" x14ac:dyDescent="0.35">
      <c r="A21" s="133">
        <v>-7</v>
      </c>
      <c r="B21" s="133"/>
      <c r="C21" s="131">
        <f>C20+0.014</f>
        <v>0.29200000000000004</v>
      </c>
      <c r="D21" s="134"/>
      <c r="E21" s="1"/>
    </row>
    <row r="22" spans="1:5" x14ac:dyDescent="0.35">
      <c r="A22" s="133">
        <v>-6</v>
      </c>
      <c r="B22" s="133"/>
      <c r="C22" s="131">
        <f>C21+0.014</f>
        <v>0.30600000000000005</v>
      </c>
      <c r="D22" s="134"/>
      <c r="E22" s="1"/>
    </row>
    <row r="23" spans="1:5" x14ac:dyDescent="0.35">
      <c r="A23" s="133">
        <v>-5</v>
      </c>
      <c r="B23" s="133"/>
      <c r="C23" s="131">
        <v>0.32</v>
      </c>
      <c r="D23" s="134"/>
      <c r="E23" s="1"/>
    </row>
    <row r="24" spans="1:5" x14ac:dyDescent="0.35">
      <c r="A24" s="133">
        <v>-4</v>
      </c>
      <c r="B24" s="133"/>
      <c r="C24" s="131">
        <f>C23+0.016</f>
        <v>0.33600000000000002</v>
      </c>
      <c r="D24" s="134"/>
      <c r="E24" s="1"/>
    </row>
    <row r="25" spans="1:5" x14ac:dyDescent="0.35">
      <c r="A25" s="133">
        <v>-3</v>
      </c>
      <c r="B25" s="133"/>
      <c r="C25" s="131">
        <f>C24+0.016</f>
        <v>0.35200000000000004</v>
      </c>
      <c r="D25" s="134"/>
      <c r="E25" s="1"/>
    </row>
    <row r="26" spans="1:5" x14ac:dyDescent="0.35">
      <c r="A26" s="133">
        <v>-2</v>
      </c>
      <c r="B26" s="133"/>
      <c r="C26" s="131">
        <f>C25+0.016</f>
        <v>0.36800000000000005</v>
      </c>
      <c r="D26" s="134"/>
      <c r="E26" s="1"/>
    </row>
    <row r="27" spans="1:5" x14ac:dyDescent="0.35">
      <c r="A27" s="133">
        <v>-1</v>
      </c>
      <c r="B27" s="133"/>
      <c r="C27" s="131">
        <f>C26+0.016</f>
        <v>0.38400000000000006</v>
      </c>
      <c r="D27" s="134"/>
      <c r="E27" s="1"/>
    </row>
    <row r="28" spans="1:5" x14ac:dyDescent="0.35">
      <c r="A28" s="133">
        <v>0</v>
      </c>
      <c r="B28" s="133"/>
      <c r="C28" s="131">
        <v>0.4</v>
      </c>
      <c r="D28" s="134"/>
      <c r="E28" s="1"/>
    </row>
    <row r="29" spans="1:5" x14ac:dyDescent="0.35">
      <c r="A29" s="133">
        <v>1</v>
      </c>
      <c r="B29" s="133"/>
      <c r="C29" s="131">
        <v>0.42</v>
      </c>
      <c r="D29" s="134"/>
      <c r="E29" s="1"/>
    </row>
    <row r="30" spans="1:5" x14ac:dyDescent="0.35">
      <c r="A30" s="133">
        <v>2</v>
      </c>
      <c r="B30" s="133"/>
      <c r="C30" s="131">
        <v>0.44</v>
      </c>
      <c r="D30" s="134"/>
      <c r="E30" s="1"/>
    </row>
    <row r="31" spans="1:5" x14ac:dyDescent="0.35">
      <c r="A31" s="133">
        <v>3</v>
      </c>
      <c r="B31" s="133"/>
      <c r="C31" s="131">
        <v>0.46</v>
      </c>
      <c r="D31" s="134"/>
      <c r="E31" s="1"/>
    </row>
    <row r="32" spans="1:5" x14ac:dyDescent="0.35">
      <c r="A32" s="133">
        <v>4</v>
      </c>
      <c r="B32" s="133"/>
      <c r="C32" s="131">
        <v>0.48</v>
      </c>
      <c r="D32" s="134"/>
      <c r="E32" s="1"/>
    </row>
    <row r="33" spans="1:5" x14ac:dyDescent="0.35">
      <c r="A33" s="133">
        <v>5</v>
      </c>
      <c r="B33" s="133"/>
      <c r="C33" s="131">
        <v>0.5</v>
      </c>
      <c r="D33" s="134"/>
      <c r="E33" s="1"/>
    </row>
    <row r="34" spans="1:5" x14ac:dyDescent="0.35">
      <c r="A34" s="133">
        <v>6</v>
      </c>
      <c r="B34" s="133"/>
      <c r="C34" s="131">
        <v>0.52600000000000002</v>
      </c>
      <c r="D34" s="134"/>
      <c r="E34" s="1"/>
    </row>
    <row r="35" spans="1:5" x14ac:dyDescent="0.35">
      <c r="A35" s="133">
        <v>7</v>
      </c>
      <c r="B35" s="133"/>
      <c r="C35" s="131">
        <f>C34+0.026</f>
        <v>0.55200000000000005</v>
      </c>
      <c r="D35" s="134"/>
      <c r="E35" s="1"/>
    </row>
    <row r="36" spans="1:5" x14ac:dyDescent="0.35">
      <c r="A36" s="133">
        <v>8</v>
      </c>
      <c r="B36" s="133"/>
      <c r="C36" s="131">
        <f>C35+0.026</f>
        <v>0.57800000000000007</v>
      </c>
      <c r="D36" s="134"/>
      <c r="E36" s="1"/>
    </row>
    <row r="37" spans="1:5" x14ac:dyDescent="0.35">
      <c r="A37" s="133">
        <v>9</v>
      </c>
      <c r="B37" s="133"/>
      <c r="C37" s="131">
        <f>C36+0.026</f>
        <v>0.60400000000000009</v>
      </c>
      <c r="D37" s="134"/>
      <c r="E37" s="1"/>
    </row>
    <row r="38" spans="1:5" x14ac:dyDescent="0.35">
      <c r="A38" s="133">
        <v>10</v>
      </c>
      <c r="B38" s="133"/>
      <c r="C38" s="131">
        <v>0.63</v>
      </c>
      <c r="D38" s="134"/>
      <c r="E38" s="1"/>
    </row>
    <row r="39" spans="1:5" x14ac:dyDescent="0.35">
      <c r="A39" s="133">
        <v>11</v>
      </c>
      <c r="B39" s="133"/>
      <c r="C39" s="131">
        <f>C38+0.036</f>
        <v>0.66600000000000004</v>
      </c>
      <c r="D39" s="134"/>
      <c r="E39" s="1"/>
    </row>
    <row r="40" spans="1:5" x14ac:dyDescent="0.35">
      <c r="A40" s="133">
        <v>12</v>
      </c>
      <c r="B40" s="133"/>
      <c r="C40" s="131">
        <f>C39+0.036</f>
        <v>0.70200000000000007</v>
      </c>
      <c r="D40" s="134"/>
      <c r="E40" s="1"/>
    </row>
    <row r="41" spans="1:5" x14ac:dyDescent="0.35">
      <c r="A41" s="133">
        <v>13</v>
      </c>
      <c r="B41" s="133"/>
      <c r="C41" s="131">
        <f>C40+0.036</f>
        <v>0.7380000000000001</v>
      </c>
      <c r="D41" s="134"/>
      <c r="E41" s="1"/>
    </row>
    <row r="42" spans="1:5" x14ac:dyDescent="0.35">
      <c r="A42" s="133">
        <v>14</v>
      </c>
      <c r="B42" s="133"/>
      <c r="C42" s="131">
        <f>C41+0.036</f>
        <v>0.77400000000000013</v>
      </c>
      <c r="D42" s="134"/>
      <c r="E42" s="1"/>
    </row>
    <row r="43" spans="1:5" x14ac:dyDescent="0.35">
      <c r="A43" s="133">
        <v>15</v>
      </c>
      <c r="B43" s="133"/>
      <c r="C43" s="131">
        <v>0.81</v>
      </c>
      <c r="D43" s="134"/>
      <c r="E43" s="1"/>
    </row>
    <row r="44" spans="1:5" x14ac:dyDescent="0.35">
      <c r="A44" s="133">
        <v>16</v>
      </c>
      <c r="B44" s="133"/>
      <c r="C44" s="131">
        <f>C43+0.038</f>
        <v>0.84800000000000009</v>
      </c>
      <c r="D44" s="134"/>
      <c r="E44" s="1"/>
    </row>
    <row r="45" spans="1:5" x14ac:dyDescent="0.35">
      <c r="A45" s="133">
        <v>17</v>
      </c>
      <c r="B45" s="133"/>
      <c r="C45" s="131">
        <f>C44+0.038</f>
        <v>0.88600000000000012</v>
      </c>
      <c r="D45" s="134"/>
      <c r="E45" s="1"/>
    </row>
    <row r="46" spans="1:5" x14ac:dyDescent="0.35">
      <c r="A46" s="133">
        <v>18</v>
      </c>
      <c r="B46" s="133"/>
      <c r="C46" s="131">
        <f>C45+0.038</f>
        <v>0.92400000000000015</v>
      </c>
      <c r="D46" s="134"/>
      <c r="E46" s="1"/>
    </row>
    <row r="47" spans="1:5" x14ac:dyDescent="0.35">
      <c r="A47" s="133">
        <v>19</v>
      </c>
      <c r="B47" s="133"/>
      <c r="C47" s="131">
        <f>C46+0.038</f>
        <v>0.96200000000000019</v>
      </c>
      <c r="D47" s="134"/>
      <c r="E47" s="1"/>
    </row>
    <row r="48" spans="1:5" x14ac:dyDescent="0.35">
      <c r="A48" s="133">
        <v>20</v>
      </c>
      <c r="B48" s="133"/>
      <c r="C48" s="131">
        <v>1</v>
      </c>
      <c r="D48" s="134"/>
      <c r="E48" s="1"/>
    </row>
    <row r="49" spans="1:5" x14ac:dyDescent="0.35">
      <c r="A49" s="133">
        <v>21</v>
      </c>
      <c r="B49" s="133"/>
      <c r="C49" s="131">
        <v>1.05</v>
      </c>
      <c r="D49" s="134"/>
      <c r="E49" s="1"/>
    </row>
    <row r="50" spans="1:5" x14ac:dyDescent="0.35">
      <c r="A50" s="133">
        <v>22</v>
      </c>
      <c r="B50" s="133"/>
      <c r="C50" s="131">
        <v>1.1000000000000001</v>
      </c>
      <c r="D50" s="134"/>
      <c r="E50" s="1"/>
    </row>
    <row r="51" spans="1:5" x14ac:dyDescent="0.35">
      <c r="A51" s="133">
        <v>23</v>
      </c>
      <c r="B51" s="133"/>
      <c r="C51" s="131">
        <v>1.1499999999999999</v>
      </c>
      <c r="D51" s="134"/>
      <c r="E51" s="1"/>
    </row>
    <row r="52" spans="1:5" x14ac:dyDescent="0.35">
      <c r="A52" s="133">
        <v>24</v>
      </c>
      <c r="B52" s="133"/>
      <c r="C52" s="131">
        <v>1.2</v>
      </c>
      <c r="D52" s="134"/>
      <c r="E52" s="1"/>
    </row>
    <row r="53" spans="1:5" x14ac:dyDescent="0.35">
      <c r="A53" s="133">
        <v>25</v>
      </c>
      <c r="B53" s="133"/>
      <c r="C53" s="131">
        <v>1.25</v>
      </c>
      <c r="D53" s="134"/>
      <c r="E53" s="1"/>
    </row>
    <row r="54" spans="1:5" x14ac:dyDescent="0.35">
      <c r="A54" s="133">
        <v>26</v>
      </c>
      <c r="B54" s="133"/>
      <c r="C54" s="131">
        <f>C53+0.066</f>
        <v>1.3160000000000001</v>
      </c>
      <c r="D54" s="134"/>
      <c r="E54" s="1"/>
    </row>
    <row r="55" spans="1:5" x14ac:dyDescent="0.35">
      <c r="A55" s="133">
        <v>27</v>
      </c>
      <c r="B55" s="133"/>
      <c r="C55" s="131">
        <f>C54+0.066</f>
        <v>1.3820000000000001</v>
      </c>
      <c r="D55" s="134"/>
      <c r="E55" s="1"/>
    </row>
    <row r="56" spans="1:5" x14ac:dyDescent="0.35">
      <c r="A56" s="133">
        <v>28</v>
      </c>
      <c r="B56" s="133"/>
      <c r="C56" s="131">
        <f>C55+0.066</f>
        <v>1.4480000000000002</v>
      </c>
      <c r="D56" s="134"/>
      <c r="E56" s="1"/>
    </row>
    <row r="57" spans="1:5" x14ac:dyDescent="0.35">
      <c r="A57" s="133">
        <v>29</v>
      </c>
      <c r="B57" s="133"/>
      <c r="C57" s="131">
        <f>C56+0.066</f>
        <v>1.5140000000000002</v>
      </c>
      <c r="D57" s="134"/>
      <c r="E57" s="1"/>
    </row>
    <row r="58" spans="1:5" x14ac:dyDescent="0.35">
      <c r="A58" s="133">
        <v>30</v>
      </c>
      <c r="B58" s="133"/>
      <c r="C58" s="131">
        <v>1.58</v>
      </c>
      <c r="D58" s="134"/>
      <c r="E58" s="1"/>
    </row>
    <row r="59" spans="1:5" x14ac:dyDescent="0.35">
      <c r="A59" s="133">
        <v>31</v>
      </c>
      <c r="B59" s="133"/>
      <c r="C59" s="131">
        <f>C58+0.084</f>
        <v>1.6640000000000001</v>
      </c>
      <c r="D59" s="134"/>
      <c r="E59" s="1"/>
    </row>
    <row r="60" spans="1:5" x14ac:dyDescent="0.35">
      <c r="A60" s="133">
        <v>32</v>
      </c>
      <c r="B60" s="133"/>
      <c r="C60" s="131">
        <f>C59+0.084</f>
        <v>1.7480000000000002</v>
      </c>
      <c r="D60" s="134"/>
      <c r="E60" s="1"/>
    </row>
    <row r="61" spans="1:5" x14ac:dyDescent="0.35">
      <c r="A61" s="133">
        <v>33</v>
      </c>
      <c r="B61" s="133"/>
      <c r="C61" s="131">
        <f>C60+0.084</f>
        <v>1.8320000000000003</v>
      </c>
      <c r="D61" s="134"/>
      <c r="E61" s="1"/>
    </row>
    <row r="62" spans="1:5" x14ac:dyDescent="0.35">
      <c r="A62" s="133">
        <v>34</v>
      </c>
      <c r="B62" s="133"/>
      <c r="C62" s="131">
        <f>C61+0.04</f>
        <v>1.8720000000000003</v>
      </c>
      <c r="D62" s="134"/>
      <c r="E62" s="1"/>
    </row>
    <row r="63" spans="1:5" x14ac:dyDescent="0.35">
      <c r="A63" s="133">
        <v>35</v>
      </c>
      <c r="B63" s="133"/>
      <c r="C63" s="131">
        <v>2</v>
      </c>
      <c r="D63" s="134"/>
      <c r="E63" s="1"/>
    </row>
    <row r="64" spans="1:5" x14ac:dyDescent="0.35">
      <c r="A64" s="133">
        <v>36</v>
      </c>
      <c r="B64" s="133"/>
      <c r="C64" s="131">
        <v>2.1</v>
      </c>
      <c r="D64" s="134"/>
      <c r="E64" s="1"/>
    </row>
    <row r="65" spans="1:5" x14ac:dyDescent="0.35">
      <c r="A65" s="133">
        <v>37</v>
      </c>
      <c r="B65" s="133"/>
      <c r="C65" s="131">
        <v>2.2000000000000002</v>
      </c>
      <c r="D65" s="134"/>
      <c r="E65" s="1"/>
    </row>
    <row r="66" spans="1:5" x14ac:dyDescent="0.35">
      <c r="A66" s="133">
        <v>38</v>
      </c>
      <c r="B66" s="133"/>
      <c r="C66" s="131">
        <v>2.2999999999999998</v>
      </c>
      <c r="D66" s="134"/>
      <c r="E66" s="1"/>
    </row>
    <row r="67" spans="1:5" x14ac:dyDescent="0.35">
      <c r="A67" s="133">
        <v>39</v>
      </c>
      <c r="B67" s="133"/>
      <c r="C67" s="131">
        <v>2.4</v>
      </c>
      <c r="D67" s="134"/>
      <c r="E67" s="1"/>
    </row>
    <row r="68" spans="1:5" x14ac:dyDescent="0.35">
      <c r="A68" s="133">
        <v>40</v>
      </c>
      <c r="B68" s="133"/>
      <c r="C68" s="131">
        <v>2.5</v>
      </c>
      <c r="D68" s="134"/>
      <c r="E68" s="1"/>
    </row>
    <row r="69" spans="1:5" x14ac:dyDescent="0.35">
      <c r="A69" s="133">
        <v>41</v>
      </c>
      <c r="B69" s="133"/>
      <c r="C69" s="131">
        <f>C68+0.128</f>
        <v>2.6280000000000001</v>
      </c>
      <c r="D69" s="134"/>
      <c r="E69" s="1"/>
    </row>
    <row r="70" spans="1:5" x14ac:dyDescent="0.35">
      <c r="A70" s="133">
        <v>42</v>
      </c>
      <c r="B70" s="133"/>
      <c r="C70" s="131">
        <f>C69+0.128</f>
        <v>2.7560000000000002</v>
      </c>
      <c r="D70" s="134"/>
      <c r="E70" s="1"/>
    </row>
    <row r="71" spans="1:5" x14ac:dyDescent="0.35">
      <c r="A71" s="133">
        <v>43</v>
      </c>
      <c r="B71" s="133"/>
      <c r="C71" s="131">
        <f>C70+0.128</f>
        <v>2.8840000000000003</v>
      </c>
      <c r="D71" s="134"/>
      <c r="E71" s="1"/>
    </row>
    <row r="72" spans="1:5" x14ac:dyDescent="0.35">
      <c r="A72" s="133">
        <v>44</v>
      </c>
      <c r="B72" s="133"/>
      <c r="C72" s="131">
        <f>C71+0.128</f>
        <v>3.0120000000000005</v>
      </c>
      <c r="D72" s="134"/>
      <c r="E72" s="1"/>
    </row>
    <row r="73" spans="1:5" x14ac:dyDescent="0.35">
      <c r="A73" s="133">
        <v>45</v>
      </c>
      <c r="B73" s="133"/>
      <c r="C73" s="131">
        <v>3.15</v>
      </c>
      <c r="D73" s="134"/>
      <c r="E73" s="1"/>
    </row>
    <row r="74" spans="1:5" x14ac:dyDescent="0.35">
      <c r="A74" s="133">
        <v>46</v>
      </c>
      <c r="B74" s="133"/>
      <c r="C74" s="131">
        <f>C73+0.166</f>
        <v>3.3159999999999998</v>
      </c>
      <c r="D74" s="134"/>
      <c r="E74" s="1"/>
    </row>
    <row r="75" spans="1:5" x14ac:dyDescent="0.35">
      <c r="A75" s="133">
        <v>47</v>
      </c>
      <c r="B75" s="133"/>
      <c r="C75" s="131">
        <f>C74+0.166</f>
        <v>3.4819999999999998</v>
      </c>
      <c r="D75" s="134"/>
      <c r="E75" s="1"/>
    </row>
    <row r="76" spans="1:5" x14ac:dyDescent="0.35">
      <c r="A76" s="133">
        <v>48</v>
      </c>
      <c r="B76" s="133"/>
      <c r="C76" s="131">
        <f>C75+0.166</f>
        <v>3.6479999999999997</v>
      </c>
      <c r="D76" s="134"/>
      <c r="E76" s="1"/>
    </row>
    <row r="77" spans="1:5" x14ac:dyDescent="0.35">
      <c r="A77" s="133">
        <v>49</v>
      </c>
      <c r="B77" s="133"/>
      <c r="C77" s="131">
        <f>C76+0.166</f>
        <v>3.8139999999999996</v>
      </c>
      <c r="D77" s="134"/>
      <c r="E77" s="1"/>
    </row>
    <row r="78" spans="1:5" x14ac:dyDescent="0.35">
      <c r="A78" s="133">
        <v>50</v>
      </c>
      <c r="B78" s="133"/>
      <c r="C78" s="131">
        <v>3.98</v>
      </c>
      <c r="D78" s="134"/>
      <c r="E78" s="1"/>
    </row>
    <row r="79" spans="1:5" x14ac:dyDescent="0.35">
      <c r="A79" s="133">
        <v>51</v>
      </c>
      <c r="B79" s="133"/>
      <c r="C79" s="131">
        <f>C78+0.204</f>
        <v>4.1840000000000002</v>
      </c>
      <c r="D79" s="134"/>
      <c r="E79" s="1"/>
    </row>
    <row r="80" spans="1:5" x14ac:dyDescent="0.35">
      <c r="A80" s="133">
        <v>52</v>
      </c>
      <c r="B80" s="133"/>
      <c r="C80" s="131">
        <f>C79+0.204</f>
        <v>4.3879999999999999</v>
      </c>
      <c r="D80" s="134"/>
      <c r="E80" s="1"/>
    </row>
    <row r="81" spans="1:5" x14ac:dyDescent="0.35">
      <c r="A81" s="133">
        <v>53</v>
      </c>
      <c r="B81" s="133"/>
      <c r="C81" s="131">
        <f>C80+0.204</f>
        <v>4.5919999999999996</v>
      </c>
      <c r="D81" s="134"/>
      <c r="E81" s="1"/>
    </row>
    <row r="82" spans="1:5" x14ac:dyDescent="0.35">
      <c r="A82" s="133">
        <v>54</v>
      </c>
      <c r="B82" s="133"/>
      <c r="C82" s="131">
        <f>C81+0.204</f>
        <v>4.7959999999999994</v>
      </c>
      <c r="D82" s="134"/>
      <c r="E82" s="1"/>
    </row>
    <row r="83" spans="1:5" x14ac:dyDescent="0.35">
      <c r="A83" s="133">
        <v>55</v>
      </c>
      <c r="B83" s="133"/>
      <c r="C83" s="131">
        <v>5</v>
      </c>
      <c r="D83" s="134"/>
      <c r="E83" s="1"/>
    </row>
    <row r="84" spans="1:5" x14ac:dyDescent="0.35">
      <c r="A84" s="133">
        <v>56</v>
      </c>
      <c r="B84" s="133"/>
      <c r="C84" s="131">
        <v>5.26</v>
      </c>
      <c r="D84" s="134"/>
      <c r="E84" s="1"/>
    </row>
    <row r="85" spans="1:5" x14ac:dyDescent="0.35">
      <c r="A85" s="133">
        <v>57</v>
      </c>
      <c r="B85" s="133"/>
      <c r="C85" s="131">
        <f>C84+0.26</f>
        <v>5.52</v>
      </c>
      <c r="D85" s="134"/>
      <c r="E85" s="1"/>
    </row>
    <row r="86" spans="1:5" x14ac:dyDescent="0.35">
      <c r="A86" s="133">
        <v>58</v>
      </c>
      <c r="B86" s="133"/>
      <c r="C86" s="131">
        <f>C85+0.26</f>
        <v>5.7799999999999994</v>
      </c>
      <c r="D86" s="134"/>
      <c r="E86" s="1"/>
    </row>
    <row r="87" spans="1:5" x14ac:dyDescent="0.35">
      <c r="A87" s="133">
        <v>59</v>
      </c>
      <c r="B87" s="133"/>
      <c r="C87" s="131">
        <f>C86+0.26</f>
        <v>6.0399999999999991</v>
      </c>
      <c r="D87" s="134"/>
      <c r="E87" s="1"/>
    </row>
    <row r="88" spans="1:5" x14ac:dyDescent="0.35">
      <c r="A88" s="133">
        <v>60</v>
      </c>
      <c r="B88" s="133"/>
      <c r="C88" s="131">
        <v>6.3</v>
      </c>
      <c r="D88" s="134"/>
      <c r="E88" s="1"/>
    </row>
    <row r="89" spans="1:5" x14ac:dyDescent="0.35">
      <c r="A89" s="133">
        <v>61</v>
      </c>
      <c r="B89" s="133"/>
      <c r="C89" s="131">
        <v>6.62</v>
      </c>
      <c r="D89" s="134"/>
      <c r="E89" s="1"/>
    </row>
    <row r="90" spans="1:5" x14ac:dyDescent="0.35">
      <c r="A90" s="133">
        <v>62</v>
      </c>
      <c r="B90" s="133"/>
      <c r="C90" s="131">
        <f>C89+0.32</f>
        <v>6.94</v>
      </c>
      <c r="D90" s="134"/>
      <c r="E90" s="1"/>
    </row>
    <row r="91" spans="1:5" x14ac:dyDescent="0.35">
      <c r="A91" s="133">
        <v>63</v>
      </c>
      <c r="B91" s="133"/>
      <c r="C91" s="131">
        <f>C90+0.32</f>
        <v>7.2600000000000007</v>
      </c>
      <c r="D91" s="134"/>
      <c r="E91" s="1"/>
    </row>
    <row r="92" spans="1:5" x14ac:dyDescent="0.35">
      <c r="A92" s="133">
        <v>64</v>
      </c>
      <c r="B92" s="133"/>
      <c r="C92" s="131">
        <f>C91+0.32</f>
        <v>7.580000000000001</v>
      </c>
      <c r="D92" s="134"/>
      <c r="E92" s="1"/>
    </row>
    <row r="93" spans="1:5" x14ac:dyDescent="0.35">
      <c r="A93" s="133">
        <v>65</v>
      </c>
      <c r="B93" s="133"/>
      <c r="C93" s="131">
        <v>7.9</v>
      </c>
      <c r="D93" s="134"/>
      <c r="E93" s="1"/>
    </row>
    <row r="94" spans="1:5" x14ac:dyDescent="0.35">
      <c r="A94" s="133">
        <v>66</v>
      </c>
      <c r="B94" s="133"/>
      <c r="C94" s="131">
        <f>C93+0.42</f>
        <v>8.32</v>
      </c>
      <c r="D94" s="134"/>
      <c r="E94" s="1"/>
    </row>
    <row r="95" spans="1:5" x14ac:dyDescent="0.35">
      <c r="A95" s="133">
        <v>67</v>
      </c>
      <c r="B95" s="133"/>
      <c r="C95" s="131">
        <f>C94+0.42</f>
        <v>8.74</v>
      </c>
      <c r="D95" s="134"/>
      <c r="E95" s="1"/>
    </row>
    <row r="96" spans="1:5" x14ac:dyDescent="0.35">
      <c r="A96" s="133">
        <v>68</v>
      </c>
      <c r="B96" s="133"/>
      <c r="C96" s="131">
        <f>C95+0.42</f>
        <v>9.16</v>
      </c>
      <c r="D96" s="134"/>
      <c r="E96" s="1"/>
    </row>
    <row r="97" spans="1:5" x14ac:dyDescent="0.35">
      <c r="A97" s="133">
        <v>69</v>
      </c>
      <c r="B97" s="133"/>
      <c r="C97" s="131">
        <f>C96+0.42</f>
        <v>9.58</v>
      </c>
      <c r="D97" s="134"/>
      <c r="E97" s="1"/>
    </row>
    <row r="98" spans="1:5" x14ac:dyDescent="0.35">
      <c r="A98" s="133">
        <v>70</v>
      </c>
      <c r="B98" s="133"/>
      <c r="C98" s="131">
        <v>10</v>
      </c>
      <c r="D98" s="134"/>
      <c r="E98" s="1"/>
    </row>
    <row r="99" spans="1:5" x14ac:dyDescent="0.35">
      <c r="A99" s="133">
        <v>71</v>
      </c>
      <c r="B99" s="133"/>
      <c r="C99" s="131">
        <v>10.52</v>
      </c>
      <c r="D99" s="134"/>
      <c r="E99" s="1"/>
    </row>
    <row r="100" spans="1:5" x14ac:dyDescent="0.35">
      <c r="A100" s="133">
        <v>72</v>
      </c>
      <c r="B100" s="133"/>
      <c r="C100" s="131">
        <v>11.04</v>
      </c>
      <c r="D100" s="134"/>
      <c r="E100" s="1"/>
    </row>
    <row r="101" spans="1:5" x14ac:dyDescent="0.35">
      <c r="A101" s="133">
        <v>73</v>
      </c>
      <c r="B101" s="133"/>
      <c r="C101" s="131">
        <v>11.56</v>
      </c>
      <c r="D101" s="134"/>
      <c r="E101" s="1"/>
    </row>
    <row r="102" spans="1:5" x14ac:dyDescent="0.35">
      <c r="A102" s="133">
        <v>74</v>
      </c>
      <c r="B102" s="133"/>
      <c r="C102" s="131">
        <v>12.08</v>
      </c>
      <c r="D102" s="134"/>
      <c r="E102" s="1"/>
    </row>
    <row r="103" spans="1:5" x14ac:dyDescent="0.35">
      <c r="A103" s="133">
        <v>75</v>
      </c>
      <c r="B103" s="133"/>
      <c r="C103" s="131">
        <v>12.6</v>
      </c>
      <c r="D103" s="134"/>
      <c r="E103" s="1"/>
    </row>
    <row r="104" spans="1:5" x14ac:dyDescent="0.35">
      <c r="A104" s="133">
        <v>76</v>
      </c>
      <c r="B104" s="133"/>
      <c r="C104" s="131">
        <f>C103+0.64</f>
        <v>13.24</v>
      </c>
      <c r="D104" s="134"/>
      <c r="E104" s="1"/>
    </row>
    <row r="105" spans="1:5" x14ac:dyDescent="0.35">
      <c r="A105" s="133">
        <v>77</v>
      </c>
      <c r="B105" s="133"/>
      <c r="C105" s="131">
        <f>C104+0.64</f>
        <v>13.88</v>
      </c>
      <c r="D105" s="134"/>
      <c r="E105" s="1"/>
    </row>
    <row r="106" spans="1:5" x14ac:dyDescent="0.35">
      <c r="A106" s="133">
        <v>78</v>
      </c>
      <c r="B106" s="133"/>
      <c r="C106" s="131">
        <f>C105+0.64</f>
        <v>14.520000000000001</v>
      </c>
      <c r="D106" s="134"/>
      <c r="E106" s="1"/>
    </row>
    <row r="107" spans="1:5" x14ac:dyDescent="0.35">
      <c r="A107" s="133">
        <v>79</v>
      </c>
      <c r="B107" s="133"/>
      <c r="C107" s="131">
        <f>C106+0.64</f>
        <v>15.160000000000002</v>
      </c>
      <c r="D107" s="134"/>
      <c r="E107" s="1"/>
    </row>
    <row r="108" spans="1:5" x14ac:dyDescent="0.35">
      <c r="A108" s="133">
        <v>80</v>
      </c>
      <c r="B108" s="133"/>
      <c r="C108" s="131">
        <v>15.8</v>
      </c>
      <c r="D108" s="134"/>
      <c r="E108" s="1"/>
    </row>
    <row r="109" spans="1:5" x14ac:dyDescent="0.35">
      <c r="A109" s="133">
        <v>81</v>
      </c>
      <c r="B109" s="133"/>
      <c r="C109" s="131">
        <f>C108+0.84</f>
        <v>16.64</v>
      </c>
      <c r="D109" s="134"/>
      <c r="E109" s="1"/>
    </row>
    <row r="110" spans="1:5" x14ac:dyDescent="0.35">
      <c r="A110" s="133">
        <v>82</v>
      </c>
      <c r="B110" s="133"/>
      <c r="C110" s="131">
        <f>C109+0.84</f>
        <v>17.48</v>
      </c>
      <c r="D110" s="134"/>
      <c r="E110" s="1"/>
    </row>
    <row r="111" spans="1:5" x14ac:dyDescent="0.35">
      <c r="A111" s="133">
        <v>83</v>
      </c>
      <c r="B111" s="133"/>
      <c r="C111" s="131">
        <f>C110+0.84</f>
        <v>18.32</v>
      </c>
      <c r="D111" s="134"/>
      <c r="E111" s="1"/>
    </row>
    <row r="112" spans="1:5" x14ac:dyDescent="0.35">
      <c r="A112" s="133">
        <v>84</v>
      </c>
      <c r="B112" s="133"/>
      <c r="C112" s="131">
        <f>C111+0.84</f>
        <v>19.16</v>
      </c>
      <c r="D112" s="134"/>
      <c r="E112" s="1"/>
    </row>
    <row r="113" spans="1:5" x14ac:dyDescent="0.35">
      <c r="A113" s="133">
        <v>85</v>
      </c>
      <c r="B113" s="133"/>
      <c r="C113" s="131">
        <v>20</v>
      </c>
      <c r="D113" s="134"/>
      <c r="E113" s="1"/>
    </row>
    <row r="114" spans="1:5" x14ac:dyDescent="0.35">
      <c r="A114" s="133">
        <v>86</v>
      </c>
      <c r="B114" s="133"/>
      <c r="C114" s="131">
        <f>C113+1.04</f>
        <v>21.04</v>
      </c>
      <c r="D114" s="134"/>
      <c r="E114" s="1"/>
    </row>
    <row r="115" spans="1:5" x14ac:dyDescent="0.35">
      <c r="A115" s="133">
        <v>87</v>
      </c>
      <c r="B115" s="133"/>
      <c r="C115" s="131">
        <f>C114+1.04</f>
        <v>22.08</v>
      </c>
      <c r="D115" s="134"/>
      <c r="E115" s="1"/>
    </row>
    <row r="116" spans="1:5" x14ac:dyDescent="0.35">
      <c r="A116" s="133">
        <v>88</v>
      </c>
      <c r="B116" s="133"/>
      <c r="C116" s="131">
        <f>C115+1.04</f>
        <v>23.119999999999997</v>
      </c>
      <c r="D116" s="134"/>
      <c r="E116" s="1"/>
    </row>
    <row r="117" spans="1:5" x14ac:dyDescent="0.35">
      <c r="A117" s="133">
        <v>89</v>
      </c>
      <c r="B117" s="133"/>
      <c r="C117" s="131">
        <f>C116+1.04</f>
        <v>24.159999999999997</v>
      </c>
      <c r="D117" s="134"/>
      <c r="E117" s="1"/>
    </row>
    <row r="118" spans="1:5" x14ac:dyDescent="0.35">
      <c r="A118" s="133">
        <v>90</v>
      </c>
      <c r="B118" s="133"/>
      <c r="C118" s="131">
        <v>25.2</v>
      </c>
      <c r="D118" s="134"/>
      <c r="E118" s="1"/>
    </row>
    <row r="119" spans="1:5" x14ac:dyDescent="0.35">
      <c r="A119" s="133">
        <v>91</v>
      </c>
      <c r="B119" s="133"/>
      <c r="C119" s="131">
        <f>C118+1.25</f>
        <v>26.45</v>
      </c>
      <c r="D119" s="134"/>
      <c r="E119" s="1"/>
    </row>
    <row r="120" spans="1:5" x14ac:dyDescent="0.35">
      <c r="A120" s="133">
        <v>92</v>
      </c>
      <c r="B120" s="133"/>
      <c r="C120" s="131">
        <f>C119+1.25</f>
        <v>27.7</v>
      </c>
      <c r="D120" s="134"/>
      <c r="E120" s="1"/>
    </row>
    <row r="121" spans="1:5" x14ac:dyDescent="0.35">
      <c r="A121" s="133">
        <v>93</v>
      </c>
      <c r="B121" s="133"/>
      <c r="C121" s="131">
        <f>C120+1.25</f>
        <v>28.95</v>
      </c>
      <c r="D121" s="134"/>
      <c r="E121" s="1"/>
    </row>
    <row r="122" spans="1:5" x14ac:dyDescent="0.35">
      <c r="A122" s="133">
        <v>94</v>
      </c>
      <c r="B122" s="133"/>
      <c r="C122" s="131">
        <f>C121+1.25</f>
        <v>30.2</v>
      </c>
      <c r="D122" s="134"/>
      <c r="E122" s="1"/>
    </row>
    <row r="123" spans="1:5" x14ac:dyDescent="0.35">
      <c r="A123" s="133">
        <v>95</v>
      </c>
      <c r="B123" s="133"/>
      <c r="C123" s="131">
        <v>31.6</v>
      </c>
      <c r="D123" s="134"/>
      <c r="E123" s="1"/>
    </row>
    <row r="124" spans="1:5" x14ac:dyDescent="0.35">
      <c r="A124" s="133">
        <v>96</v>
      </c>
      <c r="B124" s="133"/>
      <c r="C124" s="131">
        <f>C123+1.68</f>
        <v>33.28</v>
      </c>
      <c r="D124" s="134"/>
    </row>
    <row r="125" spans="1:5" x14ac:dyDescent="0.35">
      <c r="A125" s="133">
        <v>97</v>
      </c>
      <c r="B125" s="133"/>
      <c r="C125" s="131">
        <f>C124+1.68</f>
        <v>34.96</v>
      </c>
      <c r="D125" s="134"/>
    </row>
    <row r="126" spans="1:5" x14ac:dyDescent="0.35">
      <c r="A126" s="133">
        <v>98</v>
      </c>
      <c r="B126" s="133"/>
      <c r="C126" s="131">
        <f>C125+1.68</f>
        <v>36.64</v>
      </c>
      <c r="D126" s="134"/>
    </row>
    <row r="127" spans="1:5" x14ac:dyDescent="0.35">
      <c r="A127" s="133">
        <v>99</v>
      </c>
      <c r="B127" s="133"/>
      <c r="C127" s="131">
        <f>C126+1.68</f>
        <v>38.32</v>
      </c>
      <c r="D127" s="134"/>
    </row>
    <row r="128" spans="1:5" x14ac:dyDescent="0.35">
      <c r="A128" s="133">
        <v>100</v>
      </c>
      <c r="B128" s="133"/>
      <c r="C128" s="131">
        <v>40</v>
      </c>
      <c r="D128" s="134"/>
    </row>
    <row r="129" spans="1:4" x14ac:dyDescent="0.35">
      <c r="A129" s="133">
        <v>101</v>
      </c>
      <c r="B129" s="133"/>
      <c r="C129" s="131">
        <f>C128+2.08</f>
        <v>42.08</v>
      </c>
      <c r="D129" s="134"/>
    </row>
    <row r="130" spans="1:4" x14ac:dyDescent="0.35">
      <c r="A130" s="133">
        <v>102</v>
      </c>
      <c r="B130" s="133"/>
      <c r="C130" s="131">
        <f>C129+2.08</f>
        <v>44.16</v>
      </c>
      <c r="D130" s="134"/>
    </row>
    <row r="131" spans="1:4" x14ac:dyDescent="0.35">
      <c r="A131" s="133">
        <v>103</v>
      </c>
      <c r="B131" s="133"/>
      <c r="C131" s="131">
        <f>C130+2.08</f>
        <v>46.239999999999995</v>
      </c>
      <c r="D131" s="134"/>
    </row>
    <row r="132" spans="1:4" x14ac:dyDescent="0.35">
      <c r="A132" s="133">
        <v>104</v>
      </c>
      <c r="B132" s="133"/>
      <c r="C132" s="131">
        <f>C131+2.08</f>
        <v>48.319999999999993</v>
      </c>
      <c r="D132" s="134"/>
    </row>
    <row r="133" spans="1:4" x14ac:dyDescent="0.35">
      <c r="A133" s="133">
        <v>105</v>
      </c>
      <c r="B133" s="133"/>
      <c r="C133" s="131">
        <v>50.4</v>
      </c>
      <c r="D133" s="134"/>
    </row>
    <row r="134" spans="1:4" x14ac:dyDescent="0.35">
      <c r="A134" s="133">
        <v>106</v>
      </c>
      <c r="B134" s="133"/>
      <c r="C134" s="131">
        <f>C133+2.56</f>
        <v>52.96</v>
      </c>
      <c r="D134" s="134"/>
    </row>
    <row r="135" spans="1:4" x14ac:dyDescent="0.35">
      <c r="A135" s="133">
        <v>107</v>
      </c>
      <c r="B135" s="133"/>
      <c r="C135" s="131">
        <f>C134+2.56</f>
        <v>55.52</v>
      </c>
      <c r="D135" s="134"/>
    </row>
    <row r="136" spans="1:4" x14ac:dyDescent="0.35">
      <c r="A136" s="133">
        <v>108</v>
      </c>
      <c r="B136" s="133"/>
      <c r="C136" s="131">
        <f>C135+2.56</f>
        <v>58.080000000000005</v>
      </c>
      <c r="D136" s="134"/>
    </row>
    <row r="137" spans="1:4" x14ac:dyDescent="0.35">
      <c r="A137" s="133">
        <v>109</v>
      </c>
      <c r="B137" s="133"/>
      <c r="C137" s="131">
        <f>C136+2.56</f>
        <v>60.640000000000008</v>
      </c>
      <c r="D137" s="134"/>
    </row>
    <row r="138" spans="1:4" x14ac:dyDescent="0.35">
      <c r="A138" s="133">
        <v>110</v>
      </c>
      <c r="B138" s="133"/>
      <c r="C138" s="131">
        <v>63.2</v>
      </c>
      <c r="D138" s="132"/>
    </row>
  </sheetData>
  <sheetProtection algorithmName="SHA-512" hashValue="+QrfV7OhetHzn3JavJIsnRj09J2hanOkzLlDjhGD9fsSch4n9vvYD+VSz8xPb3t5H1JG/6n+tdO2jRw0OYk+1w==" saltValue="GRQayITtn8aVVupYCjTXCw==" spinCount="100000" sheet="1" selectLockedCells="1"/>
  <mergeCells count="273">
    <mergeCell ref="A117:B117"/>
    <mergeCell ref="C119:D119"/>
    <mergeCell ref="A115:B115"/>
    <mergeCell ref="C117:D117"/>
    <mergeCell ref="A113:B113"/>
    <mergeCell ref="C115:D115"/>
    <mergeCell ref="A111:B111"/>
    <mergeCell ref="C113:D113"/>
    <mergeCell ref="A109:B109"/>
    <mergeCell ref="C111:D111"/>
    <mergeCell ref="A116:B116"/>
    <mergeCell ref="A114:B114"/>
    <mergeCell ref="C116:D116"/>
    <mergeCell ref="A112:B112"/>
    <mergeCell ref="C114:D114"/>
    <mergeCell ref="A110:B110"/>
    <mergeCell ref="C112:D112"/>
    <mergeCell ref="C110:D110"/>
    <mergeCell ref="A119:B119"/>
    <mergeCell ref="A107:B107"/>
    <mergeCell ref="C109:D109"/>
    <mergeCell ref="A105:B105"/>
    <mergeCell ref="C107:D107"/>
    <mergeCell ref="A103:B103"/>
    <mergeCell ref="C105:D105"/>
    <mergeCell ref="A101:B101"/>
    <mergeCell ref="C103:D103"/>
    <mergeCell ref="A99:B99"/>
    <mergeCell ref="C101:D101"/>
    <mergeCell ref="A108:B108"/>
    <mergeCell ref="A106:B106"/>
    <mergeCell ref="C108:D108"/>
    <mergeCell ref="A104:B104"/>
    <mergeCell ref="C106:D106"/>
    <mergeCell ref="A102:B102"/>
    <mergeCell ref="C104:D104"/>
    <mergeCell ref="A100:B100"/>
    <mergeCell ref="C102:D102"/>
    <mergeCell ref="C100:D100"/>
    <mergeCell ref="A97:B97"/>
    <mergeCell ref="C99:D99"/>
    <mergeCell ref="A95:B95"/>
    <mergeCell ref="C97:D97"/>
    <mergeCell ref="A93:B93"/>
    <mergeCell ref="C95:D95"/>
    <mergeCell ref="A91:B91"/>
    <mergeCell ref="C93:D93"/>
    <mergeCell ref="A89:B89"/>
    <mergeCell ref="C91:D91"/>
    <mergeCell ref="A98:B98"/>
    <mergeCell ref="A96:B96"/>
    <mergeCell ref="C98:D98"/>
    <mergeCell ref="A94:B94"/>
    <mergeCell ref="C96:D96"/>
    <mergeCell ref="A92:B92"/>
    <mergeCell ref="C94:D94"/>
    <mergeCell ref="A90:B90"/>
    <mergeCell ref="C92:D92"/>
    <mergeCell ref="C90:D90"/>
    <mergeCell ref="A87:B87"/>
    <mergeCell ref="C89:D89"/>
    <mergeCell ref="A85:B85"/>
    <mergeCell ref="C87:D87"/>
    <mergeCell ref="A83:B83"/>
    <mergeCell ref="C85:D85"/>
    <mergeCell ref="A81:B81"/>
    <mergeCell ref="C83:D83"/>
    <mergeCell ref="A79:B79"/>
    <mergeCell ref="C81:D81"/>
    <mergeCell ref="A88:B88"/>
    <mergeCell ref="A86:B86"/>
    <mergeCell ref="C88:D88"/>
    <mergeCell ref="A84:B84"/>
    <mergeCell ref="C86:D86"/>
    <mergeCell ref="A82:B82"/>
    <mergeCell ref="C84:D84"/>
    <mergeCell ref="A80:B80"/>
    <mergeCell ref="C82:D82"/>
    <mergeCell ref="C80:D80"/>
    <mergeCell ref="A77:B77"/>
    <mergeCell ref="C79:D79"/>
    <mergeCell ref="A75:B75"/>
    <mergeCell ref="C77:D77"/>
    <mergeCell ref="A73:B73"/>
    <mergeCell ref="C75:D75"/>
    <mergeCell ref="A71:B71"/>
    <mergeCell ref="C73:D73"/>
    <mergeCell ref="A69:B69"/>
    <mergeCell ref="C71:D71"/>
    <mergeCell ref="A78:B78"/>
    <mergeCell ref="A76:B76"/>
    <mergeCell ref="C78:D78"/>
    <mergeCell ref="A74:B74"/>
    <mergeCell ref="C76:D76"/>
    <mergeCell ref="A72:B72"/>
    <mergeCell ref="C74:D74"/>
    <mergeCell ref="A70:B70"/>
    <mergeCell ref="C72:D72"/>
    <mergeCell ref="C70:D70"/>
    <mergeCell ref="A67:B67"/>
    <mergeCell ref="C69:D69"/>
    <mergeCell ref="A65:B65"/>
    <mergeCell ref="C67:D67"/>
    <mergeCell ref="A63:B63"/>
    <mergeCell ref="C65:D65"/>
    <mergeCell ref="A61:B61"/>
    <mergeCell ref="C63:D63"/>
    <mergeCell ref="A59:B59"/>
    <mergeCell ref="C61:D61"/>
    <mergeCell ref="A68:B68"/>
    <mergeCell ref="A66:B66"/>
    <mergeCell ref="C68:D68"/>
    <mergeCell ref="A64:B64"/>
    <mergeCell ref="C66:D66"/>
    <mergeCell ref="A62:B62"/>
    <mergeCell ref="C64:D64"/>
    <mergeCell ref="A60:B60"/>
    <mergeCell ref="C62:D62"/>
    <mergeCell ref="C60:D60"/>
    <mergeCell ref="A57:B57"/>
    <mergeCell ref="C59:D59"/>
    <mergeCell ref="A55:B55"/>
    <mergeCell ref="C57:D57"/>
    <mergeCell ref="A53:B53"/>
    <mergeCell ref="C55:D55"/>
    <mergeCell ref="A51:B51"/>
    <mergeCell ref="C53:D53"/>
    <mergeCell ref="A49:B49"/>
    <mergeCell ref="C51:D51"/>
    <mergeCell ref="A58:B58"/>
    <mergeCell ref="A56:B56"/>
    <mergeCell ref="C58:D58"/>
    <mergeCell ref="A54:B54"/>
    <mergeCell ref="C56:D56"/>
    <mergeCell ref="A52:B52"/>
    <mergeCell ref="C54:D54"/>
    <mergeCell ref="A50:B50"/>
    <mergeCell ref="C52:D52"/>
    <mergeCell ref="C50:D50"/>
    <mergeCell ref="A47:B47"/>
    <mergeCell ref="C49:D49"/>
    <mergeCell ref="A45:B45"/>
    <mergeCell ref="C47:D47"/>
    <mergeCell ref="A43:B43"/>
    <mergeCell ref="C45:D45"/>
    <mergeCell ref="A41:B41"/>
    <mergeCell ref="C43:D43"/>
    <mergeCell ref="A39:B39"/>
    <mergeCell ref="C41:D41"/>
    <mergeCell ref="A48:B48"/>
    <mergeCell ref="A46:B46"/>
    <mergeCell ref="C48:D48"/>
    <mergeCell ref="A44:B44"/>
    <mergeCell ref="C46:D46"/>
    <mergeCell ref="A42:B42"/>
    <mergeCell ref="C44:D44"/>
    <mergeCell ref="A40:B40"/>
    <mergeCell ref="C42:D42"/>
    <mergeCell ref="C40:D40"/>
    <mergeCell ref="A37:B37"/>
    <mergeCell ref="C39:D39"/>
    <mergeCell ref="A35:B35"/>
    <mergeCell ref="C37:D37"/>
    <mergeCell ref="A33:B33"/>
    <mergeCell ref="C35:D35"/>
    <mergeCell ref="A31:B31"/>
    <mergeCell ref="C33:D33"/>
    <mergeCell ref="A29:B29"/>
    <mergeCell ref="C31:D31"/>
    <mergeCell ref="A38:B38"/>
    <mergeCell ref="A36:B36"/>
    <mergeCell ref="C38:D38"/>
    <mergeCell ref="A34:B34"/>
    <mergeCell ref="C36:D36"/>
    <mergeCell ref="A32:B32"/>
    <mergeCell ref="C34:D34"/>
    <mergeCell ref="A30:B30"/>
    <mergeCell ref="C32:D32"/>
    <mergeCell ref="C30:D30"/>
    <mergeCell ref="A27:B27"/>
    <mergeCell ref="C29:D29"/>
    <mergeCell ref="A25:B25"/>
    <mergeCell ref="C27:D27"/>
    <mergeCell ref="A23:B23"/>
    <mergeCell ref="C25:D25"/>
    <mergeCell ref="A21:B21"/>
    <mergeCell ref="C23:D23"/>
    <mergeCell ref="A19:B19"/>
    <mergeCell ref="C21:D21"/>
    <mergeCell ref="A28:B28"/>
    <mergeCell ref="A26:B26"/>
    <mergeCell ref="C28:D28"/>
    <mergeCell ref="A24:B24"/>
    <mergeCell ref="C26:D26"/>
    <mergeCell ref="A22:B22"/>
    <mergeCell ref="C24:D24"/>
    <mergeCell ref="A20:B20"/>
    <mergeCell ref="C22:D22"/>
    <mergeCell ref="C19:D19"/>
    <mergeCell ref="A136:B136"/>
    <mergeCell ref="C138:D138"/>
    <mergeCell ref="A134:B134"/>
    <mergeCell ref="C136:D136"/>
    <mergeCell ref="A132:B132"/>
    <mergeCell ref="C134:D134"/>
    <mergeCell ref="A130:B130"/>
    <mergeCell ref="C132:D132"/>
    <mergeCell ref="A128:B128"/>
    <mergeCell ref="C130:D130"/>
    <mergeCell ref="A138:B138"/>
    <mergeCell ref="A137:B137"/>
    <mergeCell ref="A135:B135"/>
    <mergeCell ref="C137:D137"/>
    <mergeCell ref="A133:B133"/>
    <mergeCell ref="C135:D135"/>
    <mergeCell ref="A131:B131"/>
    <mergeCell ref="C133:D133"/>
    <mergeCell ref="A129:B129"/>
    <mergeCell ref="C131:D131"/>
    <mergeCell ref="C129:D129"/>
    <mergeCell ref="A126:B126"/>
    <mergeCell ref="C128:D128"/>
    <mergeCell ref="A124:B124"/>
    <mergeCell ref="C126:D126"/>
    <mergeCell ref="A122:B122"/>
    <mergeCell ref="C124:D124"/>
    <mergeCell ref="A120:B120"/>
    <mergeCell ref="C122:D122"/>
    <mergeCell ref="A118:B118"/>
    <mergeCell ref="C120:D120"/>
    <mergeCell ref="C118:D118"/>
    <mergeCell ref="A127:B127"/>
    <mergeCell ref="A125:B125"/>
    <mergeCell ref="C127:D127"/>
    <mergeCell ref="A123:B123"/>
    <mergeCell ref="C125:D125"/>
    <mergeCell ref="A121:B121"/>
    <mergeCell ref="C123:D123"/>
    <mergeCell ref="C121:D121"/>
    <mergeCell ref="A1:D1"/>
    <mergeCell ref="A5:B5"/>
    <mergeCell ref="A6:B6"/>
    <mergeCell ref="A7:B7"/>
    <mergeCell ref="A8:B8"/>
    <mergeCell ref="A9:B9"/>
    <mergeCell ref="A10:B10"/>
    <mergeCell ref="A11:B11"/>
    <mergeCell ref="A12:B12"/>
    <mergeCell ref="A4:B4"/>
    <mergeCell ref="C4:D4"/>
    <mergeCell ref="C5:D5"/>
    <mergeCell ref="C6:D6"/>
    <mergeCell ref="C7:D7"/>
    <mergeCell ref="C8:D8"/>
    <mergeCell ref="C9:D9"/>
    <mergeCell ref="C10:D10"/>
    <mergeCell ref="A3:B3"/>
    <mergeCell ref="C3:D3"/>
    <mergeCell ref="C11:D11"/>
    <mergeCell ref="C12:D12"/>
    <mergeCell ref="C13:D13"/>
    <mergeCell ref="C14:D14"/>
    <mergeCell ref="C15:D15"/>
    <mergeCell ref="C16:D16"/>
    <mergeCell ref="C17:D17"/>
    <mergeCell ref="A18:B18"/>
    <mergeCell ref="C20:D20"/>
    <mergeCell ref="A13:B13"/>
    <mergeCell ref="A14:B14"/>
    <mergeCell ref="A15:B15"/>
    <mergeCell ref="A16:B16"/>
    <mergeCell ref="A17:B17"/>
    <mergeCell ref="C18:D18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D138"/>
  <sheetViews>
    <sheetView workbookViewId="0">
      <selection activeCell="H58" sqref="H58"/>
    </sheetView>
  </sheetViews>
  <sheetFormatPr defaultRowHeight="14.5" x14ac:dyDescent="0.35"/>
  <cols>
    <col min="3" max="3" width="9.08984375" customWidth="1"/>
  </cols>
  <sheetData>
    <row r="1" spans="1:4" ht="18.5" x14ac:dyDescent="0.45">
      <c r="A1" s="141" t="s">
        <v>18</v>
      </c>
      <c r="B1" s="142"/>
      <c r="C1" s="142"/>
      <c r="D1" s="143"/>
    </row>
    <row r="2" spans="1:4" x14ac:dyDescent="0.35">
      <c r="A2" s="7"/>
      <c r="B2" s="8"/>
      <c r="C2" s="8"/>
      <c r="D2" s="9"/>
    </row>
    <row r="3" spans="1:4" x14ac:dyDescent="0.35">
      <c r="A3" s="137" t="s">
        <v>17</v>
      </c>
      <c r="B3" s="132"/>
      <c r="C3" s="137" t="s">
        <v>6</v>
      </c>
      <c r="D3" s="132"/>
    </row>
    <row r="4" spans="1:4" x14ac:dyDescent="0.35">
      <c r="A4" s="139">
        <f t="shared" ref="A4:A18" si="0">(C4*(9/5))+32</f>
        <v>-11.200000000000003</v>
      </c>
      <c r="B4" s="140"/>
      <c r="C4" s="139">
        <v>-24</v>
      </c>
      <c r="D4" s="140"/>
    </row>
    <row r="5" spans="1:4" x14ac:dyDescent="0.35">
      <c r="A5" s="139">
        <f t="shared" si="0"/>
        <v>-9.3999999999999986</v>
      </c>
      <c r="B5" s="140"/>
      <c r="C5" s="139">
        <v>-23</v>
      </c>
      <c r="D5" s="140"/>
    </row>
    <row r="6" spans="1:4" x14ac:dyDescent="0.35">
      <c r="A6" s="139">
        <f t="shared" si="0"/>
        <v>-7.6000000000000014</v>
      </c>
      <c r="B6" s="140"/>
      <c r="C6" s="139">
        <v>-22</v>
      </c>
      <c r="D6" s="140"/>
    </row>
    <row r="7" spans="1:4" x14ac:dyDescent="0.35">
      <c r="A7" s="139">
        <f t="shared" si="0"/>
        <v>-5.8000000000000043</v>
      </c>
      <c r="B7" s="140"/>
      <c r="C7" s="139">
        <v>-21</v>
      </c>
      <c r="D7" s="140"/>
    </row>
    <row r="8" spans="1:4" x14ac:dyDescent="0.35">
      <c r="A8" s="139">
        <f t="shared" si="0"/>
        <v>-4</v>
      </c>
      <c r="B8" s="140"/>
      <c r="C8" s="139">
        <v>-20</v>
      </c>
      <c r="D8" s="140"/>
    </row>
    <row r="9" spans="1:4" x14ac:dyDescent="0.35">
      <c r="A9" s="139">
        <f t="shared" si="0"/>
        <v>-2.2000000000000028</v>
      </c>
      <c r="B9" s="140"/>
      <c r="C9" s="139">
        <v>-19</v>
      </c>
      <c r="D9" s="140"/>
    </row>
    <row r="10" spans="1:4" x14ac:dyDescent="0.35">
      <c r="A10" s="139">
        <f t="shared" si="0"/>
        <v>-0.39999999999999858</v>
      </c>
      <c r="B10" s="140"/>
      <c r="C10" s="139">
        <v>-18</v>
      </c>
      <c r="D10" s="140"/>
    </row>
    <row r="11" spans="1:4" x14ac:dyDescent="0.35">
      <c r="A11" s="139">
        <f t="shared" si="0"/>
        <v>1.3999999999999986</v>
      </c>
      <c r="B11" s="140"/>
      <c r="C11" s="139">
        <v>-17</v>
      </c>
      <c r="D11" s="140"/>
    </row>
    <row r="12" spans="1:4" x14ac:dyDescent="0.35">
      <c r="A12" s="139">
        <f t="shared" si="0"/>
        <v>3.1999999999999993</v>
      </c>
      <c r="B12" s="140"/>
      <c r="C12" s="139">
        <v>-16</v>
      </c>
      <c r="D12" s="140"/>
    </row>
    <row r="13" spans="1:4" x14ac:dyDescent="0.35">
      <c r="A13" s="139">
        <f t="shared" si="0"/>
        <v>5</v>
      </c>
      <c r="B13" s="140"/>
      <c r="C13" s="139">
        <v>-15</v>
      </c>
      <c r="D13" s="140"/>
    </row>
    <row r="14" spans="1:4" x14ac:dyDescent="0.35">
      <c r="A14" s="139">
        <f t="shared" si="0"/>
        <v>6.8000000000000007</v>
      </c>
      <c r="B14" s="140"/>
      <c r="C14" s="139">
        <v>-14</v>
      </c>
      <c r="D14" s="140"/>
    </row>
    <row r="15" spans="1:4" x14ac:dyDescent="0.35">
      <c r="A15" s="139">
        <f t="shared" si="0"/>
        <v>8.5999999999999979</v>
      </c>
      <c r="B15" s="140"/>
      <c r="C15" s="139">
        <v>-13</v>
      </c>
      <c r="D15" s="140"/>
    </row>
    <row r="16" spans="1:4" x14ac:dyDescent="0.35">
      <c r="A16" s="139">
        <f t="shared" si="0"/>
        <v>10.399999999999999</v>
      </c>
      <c r="B16" s="140"/>
      <c r="C16" s="139">
        <v>-12</v>
      </c>
      <c r="D16" s="140"/>
    </row>
    <row r="17" spans="1:4" x14ac:dyDescent="0.35">
      <c r="A17" s="139">
        <f t="shared" si="0"/>
        <v>12.2</v>
      </c>
      <c r="B17" s="140"/>
      <c r="C17" s="139">
        <v>-11</v>
      </c>
      <c r="D17" s="140"/>
    </row>
    <row r="18" spans="1:4" x14ac:dyDescent="0.35">
      <c r="A18" s="139">
        <f t="shared" si="0"/>
        <v>14</v>
      </c>
      <c r="B18" s="140"/>
      <c r="C18" s="139">
        <v>-10</v>
      </c>
      <c r="D18" s="140"/>
    </row>
    <row r="19" spans="1:4" x14ac:dyDescent="0.35">
      <c r="A19" s="139">
        <f>(C19*(9/5))+32</f>
        <v>15.8</v>
      </c>
      <c r="B19" s="140"/>
      <c r="C19" s="139">
        <v>-9</v>
      </c>
      <c r="D19" s="140"/>
    </row>
    <row r="20" spans="1:4" x14ac:dyDescent="0.35">
      <c r="A20" s="139">
        <f t="shared" ref="A20:A83" si="1">(C20*(9/5))+32</f>
        <v>17.600000000000001</v>
      </c>
      <c r="B20" s="140"/>
      <c r="C20" s="139">
        <v>-8</v>
      </c>
      <c r="D20" s="140"/>
    </row>
    <row r="21" spans="1:4" x14ac:dyDescent="0.35">
      <c r="A21" s="139">
        <f t="shared" si="1"/>
        <v>19.399999999999999</v>
      </c>
      <c r="B21" s="140"/>
      <c r="C21" s="139">
        <v>-7</v>
      </c>
      <c r="D21" s="140"/>
    </row>
    <row r="22" spans="1:4" x14ac:dyDescent="0.35">
      <c r="A22" s="139">
        <f t="shared" si="1"/>
        <v>21.2</v>
      </c>
      <c r="B22" s="140"/>
      <c r="C22" s="139">
        <v>-6</v>
      </c>
      <c r="D22" s="140"/>
    </row>
    <row r="23" spans="1:4" x14ac:dyDescent="0.35">
      <c r="A23" s="139">
        <f t="shared" si="1"/>
        <v>23</v>
      </c>
      <c r="B23" s="140"/>
      <c r="C23" s="139">
        <v>-5</v>
      </c>
      <c r="D23" s="140"/>
    </row>
    <row r="24" spans="1:4" x14ac:dyDescent="0.35">
      <c r="A24" s="139">
        <f t="shared" si="1"/>
        <v>24.8</v>
      </c>
      <c r="B24" s="140"/>
      <c r="C24" s="139">
        <v>-4</v>
      </c>
      <c r="D24" s="140"/>
    </row>
    <row r="25" spans="1:4" x14ac:dyDescent="0.35">
      <c r="A25" s="139">
        <f t="shared" si="1"/>
        <v>26.6</v>
      </c>
      <c r="B25" s="140"/>
      <c r="C25" s="139">
        <v>-3</v>
      </c>
      <c r="D25" s="140"/>
    </row>
    <row r="26" spans="1:4" x14ac:dyDescent="0.35">
      <c r="A26" s="139">
        <f t="shared" si="1"/>
        <v>28.4</v>
      </c>
      <c r="B26" s="140"/>
      <c r="C26" s="139">
        <v>-2</v>
      </c>
      <c r="D26" s="140"/>
    </row>
    <row r="27" spans="1:4" x14ac:dyDescent="0.35">
      <c r="A27" s="139">
        <f t="shared" si="1"/>
        <v>30.2</v>
      </c>
      <c r="B27" s="140"/>
      <c r="C27" s="139">
        <v>-1</v>
      </c>
      <c r="D27" s="140"/>
    </row>
    <row r="28" spans="1:4" x14ac:dyDescent="0.35">
      <c r="A28" s="139">
        <f t="shared" si="1"/>
        <v>32</v>
      </c>
      <c r="B28" s="140"/>
      <c r="C28" s="139">
        <v>0</v>
      </c>
      <c r="D28" s="140"/>
    </row>
    <row r="29" spans="1:4" x14ac:dyDescent="0.35">
      <c r="A29" s="139">
        <f t="shared" si="1"/>
        <v>33.799999999999997</v>
      </c>
      <c r="B29" s="140"/>
      <c r="C29" s="139">
        <v>1</v>
      </c>
      <c r="D29" s="140"/>
    </row>
    <row r="30" spans="1:4" x14ac:dyDescent="0.35">
      <c r="A30" s="139">
        <f t="shared" si="1"/>
        <v>35.6</v>
      </c>
      <c r="B30" s="140"/>
      <c r="C30" s="139">
        <v>2</v>
      </c>
      <c r="D30" s="140"/>
    </row>
    <row r="31" spans="1:4" x14ac:dyDescent="0.35">
      <c r="A31" s="139">
        <f t="shared" si="1"/>
        <v>37.4</v>
      </c>
      <c r="B31" s="140"/>
      <c r="C31" s="139">
        <v>3</v>
      </c>
      <c r="D31" s="140"/>
    </row>
    <row r="32" spans="1:4" x14ac:dyDescent="0.35">
      <c r="A32" s="139">
        <f t="shared" si="1"/>
        <v>39.200000000000003</v>
      </c>
      <c r="B32" s="140"/>
      <c r="C32" s="139">
        <v>4</v>
      </c>
      <c r="D32" s="140"/>
    </row>
    <row r="33" spans="1:4" x14ac:dyDescent="0.35">
      <c r="A33" s="139">
        <f t="shared" si="1"/>
        <v>41</v>
      </c>
      <c r="B33" s="140"/>
      <c r="C33" s="139">
        <v>5</v>
      </c>
      <c r="D33" s="140"/>
    </row>
    <row r="34" spans="1:4" x14ac:dyDescent="0.35">
      <c r="A34" s="139">
        <f t="shared" si="1"/>
        <v>42.8</v>
      </c>
      <c r="B34" s="140"/>
      <c r="C34" s="139">
        <v>6</v>
      </c>
      <c r="D34" s="140"/>
    </row>
    <row r="35" spans="1:4" x14ac:dyDescent="0.35">
      <c r="A35" s="139">
        <f t="shared" si="1"/>
        <v>44.6</v>
      </c>
      <c r="B35" s="140"/>
      <c r="C35" s="139">
        <v>7</v>
      </c>
      <c r="D35" s="140"/>
    </row>
    <row r="36" spans="1:4" x14ac:dyDescent="0.35">
      <c r="A36" s="139">
        <f t="shared" si="1"/>
        <v>46.4</v>
      </c>
      <c r="B36" s="140"/>
      <c r="C36" s="139">
        <v>8</v>
      </c>
      <c r="D36" s="140"/>
    </row>
    <row r="37" spans="1:4" x14ac:dyDescent="0.35">
      <c r="A37" s="139">
        <f t="shared" si="1"/>
        <v>48.2</v>
      </c>
      <c r="B37" s="140"/>
      <c r="C37" s="139">
        <v>9</v>
      </c>
      <c r="D37" s="140"/>
    </row>
    <row r="38" spans="1:4" x14ac:dyDescent="0.35">
      <c r="A38" s="139">
        <f t="shared" si="1"/>
        <v>50</v>
      </c>
      <c r="B38" s="140"/>
      <c r="C38" s="139">
        <v>10</v>
      </c>
      <c r="D38" s="140"/>
    </row>
    <row r="39" spans="1:4" x14ac:dyDescent="0.35">
      <c r="A39" s="139">
        <f t="shared" si="1"/>
        <v>51.8</v>
      </c>
      <c r="B39" s="140"/>
      <c r="C39" s="139">
        <v>11</v>
      </c>
      <c r="D39" s="140"/>
    </row>
    <row r="40" spans="1:4" x14ac:dyDescent="0.35">
      <c r="A40" s="139">
        <f t="shared" si="1"/>
        <v>53.6</v>
      </c>
      <c r="B40" s="140"/>
      <c r="C40" s="139">
        <v>12</v>
      </c>
      <c r="D40" s="140"/>
    </row>
    <row r="41" spans="1:4" x14ac:dyDescent="0.35">
      <c r="A41" s="139">
        <f t="shared" si="1"/>
        <v>55.400000000000006</v>
      </c>
      <c r="B41" s="140"/>
      <c r="C41" s="139">
        <v>13</v>
      </c>
      <c r="D41" s="140"/>
    </row>
    <row r="42" spans="1:4" x14ac:dyDescent="0.35">
      <c r="A42" s="139">
        <f t="shared" si="1"/>
        <v>57.2</v>
      </c>
      <c r="B42" s="140"/>
      <c r="C42" s="139">
        <v>14</v>
      </c>
      <c r="D42" s="140"/>
    </row>
    <row r="43" spans="1:4" x14ac:dyDescent="0.35">
      <c r="A43" s="139">
        <f t="shared" si="1"/>
        <v>59</v>
      </c>
      <c r="B43" s="140"/>
      <c r="C43" s="139">
        <v>15</v>
      </c>
      <c r="D43" s="140"/>
    </row>
    <row r="44" spans="1:4" x14ac:dyDescent="0.35">
      <c r="A44" s="139">
        <f t="shared" si="1"/>
        <v>60.8</v>
      </c>
      <c r="B44" s="140"/>
      <c r="C44" s="139">
        <v>16</v>
      </c>
      <c r="D44" s="140"/>
    </row>
    <row r="45" spans="1:4" x14ac:dyDescent="0.35">
      <c r="A45" s="139">
        <f t="shared" si="1"/>
        <v>62.6</v>
      </c>
      <c r="B45" s="140"/>
      <c r="C45" s="139">
        <v>17</v>
      </c>
      <c r="D45" s="140"/>
    </row>
    <row r="46" spans="1:4" x14ac:dyDescent="0.35">
      <c r="A46" s="139">
        <f t="shared" si="1"/>
        <v>64.400000000000006</v>
      </c>
      <c r="B46" s="140"/>
      <c r="C46" s="139">
        <v>18</v>
      </c>
      <c r="D46" s="140"/>
    </row>
    <row r="47" spans="1:4" x14ac:dyDescent="0.35">
      <c r="A47" s="139">
        <f t="shared" si="1"/>
        <v>66.2</v>
      </c>
      <c r="B47" s="140"/>
      <c r="C47" s="139">
        <v>19</v>
      </c>
      <c r="D47" s="140"/>
    </row>
    <row r="48" spans="1:4" x14ac:dyDescent="0.35">
      <c r="A48" s="139">
        <f t="shared" si="1"/>
        <v>68</v>
      </c>
      <c r="B48" s="140"/>
      <c r="C48" s="139">
        <v>20</v>
      </c>
      <c r="D48" s="140"/>
    </row>
    <row r="49" spans="1:4" x14ac:dyDescent="0.35">
      <c r="A49" s="139">
        <f t="shared" si="1"/>
        <v>69.800000000000011</v>
      </c>
      <c r="B49" s="140"/>
      <c r="C49" s="139">
        <v>21</v>
      </c>
      <c r="D49" s="140"/>
    </row>
    <row r="50" spans="1:4" x14ac:dyDescent="0.35">
      <c r="A50" s="139">
        <f t="shared" si="1"/>
        <v>71.599999999999994</v>
      </c>
      <c r="B50" s="140"/>
      <c r="C50" s="139">
        <v>22</v>
      </c>
      <c r="D50" s="140"/>
    </row>
    <row r="51" spans="1:4" x14ac:dyDescent="0.35">
      <c r="A51" s="139">
        <f t="shared" si="1"/>
        <v>73.400000000000006</v>
      </c>
      <c r="B51" s="140"/>
      <c r="C51" s="139">
        <v>23</v>
      </c>
      <c r="D51" s="140"/>
    </row>
    <row r="52" spans="1:4" x14ac:dyDescent="0.35">
      <c r="A52" s="139">
        <f t="shared" si="1"/>
        <v>75.2</v>
      </c>
      <c r="B52" s="140"/>
      <c r="C52" s="139">
        <v>24</v>
      </c>
      <c r="D52" s="140"/>
    </row>
    <row r="53" spans="1:4" x14ac:dyDescent="0.35">
      <c r="A53" s="139">
        <f t="shared" si="1"/>
        <v>77</v>
      </c>
      <c r="B53" s="140"/>
      <c r="C53" s="139">
        <v>25</v>
      </c>
      <c r="D53" s="140"/>
    </row>
    <row r="54" spans="1:4" x14ac:dyDescent="0.35">
      <c r="A54" s="139">
        <f t="shared" si="1"/>
        <v>78.800000000000011</v>
      </c>
      <c r="B54" s="140"/>
      <c r="C54" s="139">
        <v>26</v>
      </c>
      <c r="D54" s="140"/>
    </row>
    <row r="55" spans="1:4" x14ac:dyDescent="0.35">
      <c r="A55" s="139">
        <f t="shared" si="1"/>
        <v>80.599999999999994</v>
      </c>
      <c r="B55" s="140"/>
      <c r="C55" s="139">
        <v>27</v>
      </c>
      <c r="D55" s="140"/>
    </row>
    <row r="56" spans="1:4" x14ac:dyDescent="0.35">
      <c r="A56" s="139">
        <f t="shared" si="1"/>
        <v>82.4</v>
      </c>
      <c r="B56" s="140"/>
      <c r="C56" s="139">
        <v>28</v>
      </c>
      <c r="D56" s="140"/>
    </row>
    <row r="57" spans="1:4" x14ac:dyDescent="0.35">
      <c r="A57" s="139">
        <f t="shared" si="1"/>
        <v>84.2</v>
      </c>
      <c r="B57" s="140"/>
      <c r="C57" s="139">
        <v>29</v>
      </c>
      <c r="D57" s="140"/>
    </row>
    <row r="58" spans="1:4" x14ac:dyDescent="0.35">
      <c r="A58" s="139">
        <f t="shared" si="1"/>
        <v>86</v>
      </c>
      <c r="B58" s="140"/>
      <c r="C58" s="139">
        <v>30</v>
      </c>
      <c r="D58" s="140"/>
    </row>
    <row r="59" spans="1:4" x14ac:dyDescent="0.35">
      <c r="A59" s="139">
        <f t="shared" si="1"/>
        <v>87.800000000000011</v>
      </c>
      <c r="B59" s="140"/>
      <c r="C59" s="139">
        <v>31</v>
      </c>
      <c r="D59" s="140"/>
    </row>
    <row r="60" spans="1:4" x14ac:dyDescent="0.35">
      <c r="A60" s="139">
        <f t="shared" si="1"/>
        <v>89.6</v>
      </c>
      <c r="B60" s="140"/>
      <c r="C60" s="139">
        <v>32</v>
      </c>
      <c r="D60" s="140"/>
    </row>
    <row r="61" spans="1:4" x14ac:dyDescent="0.35">
      <c r="A61" s="139">
        <f t="shared" si="1"/>
        <v>91.4</v>
      </c>
      <c r="B61" s="140"/>
      <c r="C61" s="139">
        <v>33</v>
      </c>
      <c r="D61" s="140"/>
    </row>
    <row r="62" spans="1:4" x14ac:dyDescent="0.35">
      <c r="A62" s="139">
        <f t="shared" si="1"/>
        <v>93.2</v>
      </c>
      <c r="B62" s="140"/>
      <c r="C62" s="139">
        <v>34</v>
      </c>
      <c r="D62" s="140"/>
    </row>
    <row r="63" spans="1:4" x14ac:dyDescent="0.35">
      <c r="A63" s="139">
        <f t="shared" si="1"/>
        <v>95</v>
      </c>
      <c r="B63" s="140"/>
      <c r="C63" s="139">
        <v>35</v>
      </c>
      <c r="D63" s="140"/>
    </row>
    <row r="64" spans="1:4" x14ac:dyDescent="0.35">
      <c r="A64" s="139">
        <f t="shared" si="1"/>
        <v>96.8</v>
      </c>
      <c r="B64" s="140"/>
      <c r="C64" s="139">
        <v>36</v>
      </c>
      <c r="D64" s="140"/>
    </row>
    <row r="65" spans="1:4" x14ac:dyDescent="0.35">
      <c r="A65" s="139">
        <f t="shared" si="1"/>
        <v>98.600000000000009</v>
      </c>
      <c r="B65" s="140"/>
      <c r="C65" s="139">
        <v>37</v>
      </c>
      <c r="D65" s="140"/>
    </row>
    <row r="66" spans="1:4" x14ac:dyDescent="0.35">
      <c r="A66" s="139">
        <f t="shared" si="1"/>
        <v>100.4</v>
      </c>
      <c r="B66" s="140"/>
      <c r="C66" s="139">
        <v>38</v>
      </c>
      <c r="D66" s="140"/>
    </row>
    <row r="67" spans="1:4" x14ac:dyDescent="0.35">
      <c r="A67" s="139">
        <f t="shared" si="1"/>
        <v>102.2</v>
      </c>
      <c r="B67" s="140"/>
      <c r="C67" s="139">
        <v>39</v>
      </c>
      <c r="D67" s="140"/>
    </row>
    <row r="68" spans="1:4" x14ac:dyDescent="0.35">
      <c r="A68" s="139">
        <f t="shared" si="1"/>
        <v>104</v>
      </c>
      <c r="B68" s="140"/>
      <c r="C68" s="139">
        <v>40</v>
      </c>
      <c r="D68" s="140"/>
    </row>
    <row r="69" spans="1:4" x14ac:dyDescent="0.35">
      <c r="A69" s="139">
        <f t="shared" si="1"/>
        <v>105.8</v>
      </c>
      <c r="B69" s="140"/>
      <c r="C69" s="139">
        <v>41</v>
      </c>
      <c r="D69" s="140"/>
    </row>
    <row r="70" spans="1:4" x14ac:dyDescent="0.35">
      <c r="A70" s="139">
        <f t="shared" si="1"/>
        <v>107.60000000000001</v>
      </c>
      <c r="B70" s="140"/>
      <c r="C70" s="139">
        <v>42</v>
      </c>
      <c r="D70" s="140"/>
    </row>
    <row r="71" spans="1:4" x14ac:dyDescent="0.35">
      <c r="A71" s="139">
        <f t="shared" si="1"/>
        <v>109.4</v>
      </c>
      <c r="B71" s="140"/>
      <c r="C71" s="139">
        <v>43</v>
      </c>
      <c r="D71" s="140"/>
    </row>
    <row r="72" spans="1:4" x14ac:dyDescent="0.35">
      <c r="A72" s="139">
        <f t="shared" si="1"/>
        <v>111.2</v>
      </c>
      <c r="B72" s="140"/>
      <c r="C72" s="139">
        <v>44</v>
      </c>
      <c r="D72" s="140"/>
    </row>
    <row r="73" spans="1:4" x14ac:dyDescent="0.35">
      <c r="A73" s="139">
        <f t="shared" si="1"/>
        <v>113</v>
      </c>
      <c r="B73" s="140"/>
      <c r="C73" s="139">
        <v>45</v>
      </c>
      <c r="D73" s="140"/>
    </row>
    <row r="74" spans="1:4" x14ac:dyDescent="0.35">
      <c r="A74" s="139">
        <f t="shared" si="1"/>
        <v>114.8</v>
      </c>
      <c r="B74" s="140"/>
      <c r="C74" s="139">
        <v>46</v>
      </c>
      <c r="D74" s="140"/>
    </row>
    <row r="75" spans="1:4" x14ac:dyDescent="0.35">
      <c r="A75" s="139">
        <f t="shared" si="1"/>
        <v>116.60000000000001</v>
      </c>
      <c r="B75" s="140"/>
      <c r="C75" s="139">
        <v>47</v>
      </c>
      <c r="D75" s="140"/>
    </row>
    <row r="76" spans="1:4" x14ac:dyDescent="0.35">
      <c r="A76" s="139">
        <f t="shared" si="1"/>
        <v>118.4</v>
      </c>
      <c r="B76" s="140"/>
      <c r="C76" s="139">
        <v>48</v>
      </c>
      <c r="D76" s="140"/>
    </row>
    <row r="77" spans="1:4" x14ac:dyDescent="0.35">
      <c r="A77" s="139">
        <f t="shared" si="1"/>
        <v>120.2</v>
      </c>
      <c r="B77" s="140"/>
      <c r="C77" s="139">
        <v>49</v>
      </c>
      <c r="D77" s="140"/>
    </row>
    <row r="78" spans="1:4" x14ac:dyDescent="0.35">
      <c r="A78" s="139">
        <f t="shared" si="1"/>
        <v>122</v>
      </c>
      <c r="B78" s="140"/>
      <c r="C78" s="139">
        <v>50</v>
      </c>
      <c r="D78" s="140"/>
    </row>
    <row r="79" spans="1:4" x14ac:dyDescent="0.35">
      <c r="A79" s="139">
        <f t="shared" si="1"/>
        <v>123.8</v>
      </c>
      <c r="B79" s="140"/>
      <c r="C79" s="139">
        <v>51</v>
      </c>
      <c r="D79" s="140"/>
    </row>
    <row r="80" spans="1:4" x14ac:dyDescent="0.35">
      <c r="A80" s="139">
        <f t="shared" si="1"/>
        <v>125.60000000000001</v>
      </c>
      <c r="B80" s="140"/>
      <c r="C80" s="139">
        <v>52</v>
      </c>
      <c r="D80" s="140"/>
    </row>
    <row r="81" spans="1:4" x14ac:dyDescent="0.35">
      <c r="A81" s="139">
        <f t="shared" si="1"/>
        <v>127.4</v>
      </c>
      <c r="B81" s="140"/>
      <c r="C81" s="139">
        <v>53</v>
      </c>
      <c r="D81" s="140"/>
    </row>
    <row r="82" spans="1:4" x14ac:dyDescent="0.35">
      <c r="A82" s="139">
        <f t="shared" si="1"/>
        <v>129.19999999999999</v>
      </c>
      <c r="B82" s="140"/>
      <c r="C82" s="139">
        <v>54</v>
      </c>
      <c r="D82" s="140"/>
    </row>
    <row r="83" spans="1:4" x14ac:dyDescent="0.35">
      <c r="A83" s="139">
        <f t="shared" si="1"/>
        <v>131</v>
      </c>
      <c r="B83" s="140"/>
      <c r="C83" s="139">
        <v>55</v>
      </c>
      <c r="D83" s="140"/>
    </row>
    <row r="84" spans="1:4" x14ac:dyDescent="0.35">
      <c r="A84" s="139">
        <f t="shared" ref="A84:A138" si="2">(C84*(9/5))+32</f>
        <v>132.80000000000001</v>
      </c>
      <c r="B84" s="140"/>
      <c r="C84" s="139">
        <v>56</v>
      </c>
      <c r="D84" s="140"/>
    </row>
    <row r="85" spans="1:4" x14ac:dyDescent="0.35">
      <c r="A85" s="139">
        <f t="shared" si="2"/>
        <v>134.60000000000002</v>
      </c>
      <c r="B85" s="140"/>
      <c r="C85" s="139">
        <v>57</v>
      </c>
      <c r="D85" s="140"/>
    </row>
    <row r="86" spans="1:4" x14ac:dyDescent="0.35">
      <c r="A86" s="139">
        <f t="shared" si="2"/>
        <v>136.4</v>
      </c>
      <c r="B86" s="140"/>
      <c r="C86" s="139">
        <v>58</v>
      </c>
      <c r="D86" s="140"/>
    </row>
    <row r="87" spans="1:4" x14ac:dyDescent="0.35">
      <c r="A87" s="139">
        <f t="shared" si="2"/>
        <v>138.19999999999999</v>
      </c>
      <c r="B87" s="140"/>
      <c r="C87" s="139">
        <v>59</v>
      </c>
      <c r="D87" s="140"/>
    </row>
    <row r="88" spans="1:4" x14ac:dyDescent="0.35">
      <c r="A88" s="139">
        <f t="shared" si="2"/>
        <v>140</v>
      </c>
      <c r="B88" s="140"/>
      <c r="C88" s="139">
        <v>60</v>
      </c>
      <c r="D88" s="140"/>
    </row>
    <row r="89" spans="1:4" x14ac:dyDescent="0.35">
      <c r="A89" s="139">
        <f t="shared" si="2"/>
        <v>141.80000000000001</v>
      </c>
      <c r="B89" s="140"/>
      <c r="C89" s="139">
        <v>61</v>
      </c>
      <c r="D89" s="140"/>
    </row>
    <row r="90" spans="1:4" x14ac:dyDescent="0.35">
      <c r="A90" s="139">
        <f t="shared" si="2"/>
        <v>143.60000000000002</v>
      </c>
      <c r="B90" s="140"/>
      <c r="C90" s="139">
        <v>62</v>
      </c>
      <c r="D90" s="140"/>
    </row>
    <row r="91" spans="1:4" x14ac:dyDescent="0.35">
      <c r="A91" s="139">
        <f t="shared" si="2"/>
        <v>145.4</v>
      </c>
      <c r="B91" s="140"/>
      <c r="C91" s="139">
        <v>63</v>
      </c>
      <c r="D91" s="140"/>
    </row>
    <row r="92" spans="1:4" x14ac:dyDescent="0.35">
      <c r="A92" s="139">
        <f t="shared" si="2"/>
        <v>147.19999999999999</v>
      </c>
      <c r="B92" s="140"/>
      <c r="C92" s="139">
        <v>64</v>
      </c>
      <c r="D92" s="140"/>
    </row>
    <row r="93" spans="1:4" x14ac:dyDescent="0.35">
      <c r="A93" s="139">
        <f t="shared" si="2"/>
        <v>149</v>
      </c>
      <c r="B93" s="140"/>
      <c r="C93" s="139">
        <v>65</v>
      </c>
      <c r="D93" s="140"/>
    </row>
    <row r="94" spans="1:4" x14ac:dyDescent="0.35">
      <c r="A94" s="139">
        <f t="shared" si="2"/>
        <v>150.80000000000001</v>
      </c>
      <c r="B94" s="140"/>
      <c r="C94" s="139">
        <v>66</v>
      </c>
      <c r="D94" s="140"/>
    </row>
    <row r="95" spans="1:4" x14ac:dyDescent="0.35">
      <c r="A95" s="139">
        <f t="shared" si="2"/>
        <v>152.60000000000002</v>
      </c>
      <c r="B95" s="140"/>
      <c r="C95" s="139">
        <v>67</v>
      </c>
      <c r="D95" s="140"/>
    </row>
    <row r="96" spans="1:4" x14ac:dyDescent="0.35">
      <c r="A96" s="139">
        <f t="shared" si="2"/>
        <v>154.4</v>
      </c>
      <c r="B96" s="140"/>
      <c r="C96" s="139">
        <v>68</v>
      </c>
      <c r="D96" s="140"/>
    </row>
    <row r="97" spans="1:4" x14ac:dyDescent="0.35">
      <c r="A97" s="139">
        <f t="shared" si="2"/>
        <v>156.19999999999999</v>
      </c>
      <c r="B97" s="140"/>
      <c r="C97" s="139">
        <v>69</v>
      </c>
      <c r="D97" s="140"/>
    </row>
    <row r="98" spans="1:4" x14ac:dyDescent="0.35">
      <c r="A98" s="139">
        <f t="shared" si="2"/>
        <v>158</v>
      </c>
      <c r="B98" s="140"/>
      <c r="C98" s="139">
        <v>70</v>
      </c>
      <c r="D98" s="140"/>
    </row>
    <row r="99" spans="1:4" x14ac:dyDescent="0.35">
      <c r="A99" s="139">
        <f t="shared" si="2"/>
        <v>159.80000000000001</v>
      </c>
      <c r="B99" s="140"/>
      <c r="C99" s="139">
        <v>71</v>
      </c>
      <c r="D99" s="140"/>
    </row>
    <row r="100" spans="1:4" x14ac:dyDescent="0.35">
      <c r="A100" s="139">
        <f t="shared" si="2"/>
        <v>161.6</v>
      </c>
      <c r="B100" s="140"/>
      <c r="C100" s="139">
        <v>72</v>
      </c>
      <c r="D100" s="140"/>
    </row>
    <row r="101" spans="1:4" x14ac:dyDescent="0.35">
      <c r="A101" s="139">
        <f t="shared" si="2"/>
        <v>163.4</v>
      </c>
      <c r="B101" s="140"/>
      <c r="C101" s="139">
        <v>73</v>
      </c>
      <c r="D101" s="140"/>
    </row>
    <row r="102" spans="1:4" x14ac:dyDescent="0.35">
      <c r="A102" s="139">
        <f t="shared" si="2"/>
        <v>165.20000000000002</v>
      </c>
      <c r="B102" s="140"/>
      <c r="C102" s="139">
        <v>74</v>
      </c>
      <c r="D102" s="140"/>
    </row>
    <row r="103" spans="1:4" x14ac:dyDescent="0.35">
      <c r="A103" s="139">
        <f t="shared" si="2"/>
        <v>167</v>
      </c>
      <c r="B103" s="140"/>
      <c r="C103" s="139">
        <v>75</v>
      </c>
      <c r="D103" s="140"/>
    </row>
    <row r="104" spans="1:4" x14ac:dyDescent="0.35">
      <c r="A104" s="139">
        <f t="shared" si="2"/>
        <v>168.8</v>
      </c>
      <c r="B104" s="140"/>
      <c r="C104" s="139">
        <v>76</v>
      </c>
      <c r="D104" s="140"/>
    </row>
    <row r="105" spans="1:4" x14ac:dyDescent="0.35">
      <c r="A105" s="139">
        <f t="shared" si="2"/>
        <v>170.6</v>
      </c>
      <c r="B105" s="140"/>
      <c r="C105" s="139">
        <v>77</v>
      </c>
      <c r="D105" s="140"/>
    </row>
    <row r="106" spans="1:4" x14ac:dyDescent="0.35">
      <c r="A106" s="139">
        <f t="shared" si="2"/>
        <v>172.4</v>
      </c>
      <c r="B106" s="140"/>
      <c r="C106" s="139">
        <v>78</v>
      </c>
      <c r="D106" s="140"/>
    </row>
    <row r="107" spans="1:4" x14ac:dyDescent="0.35">
      <c r="A107" s="139">
        <f t="shared" si="2"/>
        <v>174.20000000000002</v>
      </c>
      <c r="B107" s="140"/>
      <c r="C107" s="139">
        <v>79</v>
      </c>
      <c r="D107" s="140"/>
    </row>
    <row r="108" spans="1:4" x14ac:dyDescent="0.35">
      <c r="A108" s="139">
        <f t="shared" si="2"/>
        <v>176</v>
      </c>
      <c r="B108" s="140"/>
      <c r="C108" s="139">
        <v>80</v>
      </c>
      <c r="D108" s="140"/>
    </row>
    <row r="109" spans="1:4" x14ac:dyDescent="0.35">
      <c r="A109" s="139">
        <f t="shared" si="2"/>
        <v>177.8</v>
      </c>
      <c r="B109" s="140"/>
      <c r="C109" s="139">
        <v>81</v>
      </c>
      <c r="D109" s="140"/>
    </row>
    <row r="110" spans="1:4" x14ac:dyDescent="0.35">
      <c r="A110" s="139">
        <f t="shared" si="2"/>
        <v>179.6</v>
      </c>
      <c r="B110" s="140"/>
      <c r="C110" s="139">
        <v>82</v>
      </c>
      <c r="D110" s="140"/>
    </row>
    <row r="111" spans="1:4" x14ac:dyDescent="0.35">
      <c r="A111" s="139">
        <f t="shared" si="2"/>
        <v>181.4</v>
      </c>
      <c r="B111" s="140"/>
      <c r="C111" s="139">
        <v>83</v>
      </c>
      <c r="D111" s="140"/>
    </row>
    <row r="112" spans="1:4" x14ac:dyDescent="0.35">
      <c r="A112" s="139">
        <f t="shared" si="2"/>
        <v>183.20000000000002</v>
      </c>
      <c r="B112" s="140"/>
      <c r="C112" s="139">
        <v>84</v>
      </c>
      <c r="D112" s="140"/>
    </row>
    <row r="113" spans="1:4" x14ac:dyDescent="0.35">
      <c r="A113" s="139">
        <f t="shared" si="2"/>
        <v>185</v>
      </c>
      <c r="B113" s="140"/>
      <c r="C113" s="139">
        <v>85</v>
      </c>
      <c r="D113" s="140"/>
    </row>
    <row r="114" spans="1:4" x14ac:dyDescent="0.35">
      <c r="A114" s="139">
        <f t="shared" si="2"/>
        <v>186.8</v>
      </c>
      <c r="B114" s="140"/>
      <c r="C114" s="139">
        <v>86</v>
      </c>
      <c r="D114" s="140"/>
    </row>
    <row r="115" spans="1:4" x14ac:dyDescent="0.35">
      <c r="A115" s="139">
        <f t="shared" si="2"/>
        <v>188.6</v>
      </c>
      <c r="B115" s="140"/>
      <c r="C115" s="139">
        <v>87</v>
      </c>
      <c r="D115" s="140"/>
    </row>
    <row r="116" spans="1:4" x14ac:dyDescent="0.35">
      <c r="A116" s="139">
        <f t="shared" si="2"/>
        <v>190.4</v>
      </c>
      <c r="B116" s="140"/>
      <c r="C116" s="139">
        <v>88</v>
      </c>
      <c r="D116" s="140"/>
    </row>
    <row r="117" spans="1:4" x14ac:dyDescent="0.35">
      <c r="A117" s="139">
        <f t="shared" si="2"/>
        <v>192.20000000000002</v>
      </c>
      <c r="B117" s="140"/>
      <c r="C117" s="139">
        <v>89</v>
      </c>
      <c r="D117" s="140"/>
    </row>
    <row r="118" spans="1:4" x14ac:dyDescent="0.35">
      <c r="A118" s="139">
        <f t="shared" si="2"/>
        <v>194</v>
      </c>
      <c r="B118" s="140"/>
      <c r="C118" s="139">
        <v>90</v>
      </c>
      <c r="D118" s="140"/>
    </row>
    <row r="119" spans="1:4" x14ac:dyDescent="0.35">
      <c r="A119" s="139">
        <f t="shared" si="2"/>
        <v>195.8</v>
      </c>
      <c r="B119" s="140"/>
      <c r="C119" s="139">
        <v>91</v>
      </c>
      <c r="D119" s="140"/>
    </row>
    <row r="120" spans="1:4" x14ac:dyDescent="0.35">
      <c r="A120" s="139">
        <f t="shared" si="2"/>
        <v>197.6</v>
      </c>
      <c r="B120" s="140"/>
      <c r="C120" s="139">
        <v>92</v>
      </c>
      <c r="D120" s="140"/>
    </row>
    <row r="121" spans="1:4" x14ac:dyDescent="0.35">
      <c r="A121" s="139">
        <f t="shared" si="2"/>
        <v>199.4</v>
      </c>
      <c r="B121" s="140"/>
      <c r="C121" s="139">
        <v>93</v>
      </c>
      <c r="D121" s="140"/>
    </row>
    <row r="122" spans="1:4" x14ac:dyDescent="0.35">
      <c r="A122" s="139">
        <f t="shared" si="2"/>
        <v>201.20000000000002</v>
      </c>
      <c r="B122" s="140"/>
      <c r="C122" s="139">
        <v>94</v>
      </c>
      <c r="D122" s="140"/>
    </row>
    <row r="123" spans="1:4" x14ac:dyDescent="0.35">
      <c r="A123" s="139">
        <f t="shared" si="2"/>
        <v>203</v>
      </c>
      <c r="B123" s="140"/>
      <c r="C123" s="139">
        <v>95</v>
      </c>
      <c r="D123" s="140"/>
    </row>
    <row r="124" spans="1:4" x14ac:dyDescent="0.35">
      <c r="A124" s="139">
        <f t="shared" si="2"/>
        <v>204.8</v>
      </c>
      <c r="B124" s="140"/>
      <c r="C124" s="139">
        <v>96</v>
      </c>
      <c r="D124" s="140"/>
    </row>
    <row r="125" spans="1:4" x14ac:dyDescent="0.35">
      <c r="A125" s="139">
        <f t="shared" si="2"/>
        <v>206.6</v>
      </c>
      <c r="B125" s="140"/>
      <c r="C125" s="139">
        <v>97</v>
      </c>
      <c r="D125" s="140"/>
    </row>
    <row r="126" spans="1:4" x14ac:dyDescent="0.35">
      <c r="A126" s="139">
        <f t="shared" si="2"/>
        <v>208.4</v>
      </c>
      <c r="B126" s="140"/>
      <c r="C126" s="139">
        <v>98</v>
      </c>
      <c r="D126" s="140"/>
    </row>
    <row r="127" spans="1:4" x14ac:dyDescent="0.35">
      <c r="A127" s="139">
        <f t="shared" si="2"/>
        <v>210.20000000000002</v>
      </c>
      <c r="B127" s="140"/>
      <c r="C127" s="139">
        <v>99</v>
      </c>
      <c r="D127" s="140"/>
    </row>
    <row r="128" spans="1:4" x14ac:dyDescent="0.35">
      <c r="A128" s="139">
        <f t="shared" si="2"/>
        <v>212</v>
      </c>
      <c r="B128" s="140"/>
      <c r="C128" s="139">
        <v>100</v>
      </c>
      <c r="D128" s="140"/>
    </row>
    <row r="129" spans="1:4" x14ac:dyDescent="0.35">
      <c r="A129" s="139">
        <f t="shared" si="2"/>
        <v>213.8</v>
      </c>
      <c r="B129" s="140"/>
      <c r="C129" s="139">
        <v>101</v>
      </c>
      <c r="D129" s="140"/>
    </row>
    <row r="130" spans="1:4" x14ac:dyDescent="0.35">
      <c r="A130" s="139">
        <f t="shared" si="2"/>
        <v>215.6</v>
      </c>
      <c r="B130" s="140"/>
      <c r="C130" s="139">
        <v>102</v>
      </c>
      <c r="D130" s="140"/>
    </row>
    <row r="131" spans="1:4" x14ac:dyDescent="0.35">
      <c r="A131" s="139">
        <f t="shared" si="2"/>
        <v>217.4</v>
      </c>
      <c r="B131" s="140"/>
      <c r="C131" s="139">
        <v>103</v>
      </c>
      <c r="D131" s="140"/>
    </row>
    <row r="132" spans="1:4" x14ac:dyDescent="0.35">
      <c r="A132" s="139">
        <f t="shared" si="2"/>
        <v>219.20000000000002</v>
      </c>
      <c r="B132" s="140"/>
      <c r="C132" s="139">
        <v>104</v>
      </c>
      <c r="D132" s="140"/>
    </row>
    <row r="133" spans="1:4" x14ac:dyDescent="0.35">
      <c r="A133" s="139">
        <f t="shared" si="2"/>
        <v>221</v>
      </c>
      <c r="B133" s="140"/>
      <c r="C133" s="139">
        <v>105</v>
      </c>
      <c r="D133" s="140"/>
    </row>
    <row r="134" spans="1:4" x14ac:dyDescent="0.35">
      <c r="A134" s="139">
        <f t="shared" si="2"/>
        <v>222.8</v>
      </c>
      <c r="B134" s="140"/>
      <c r="C134" s="139">
        <v>106</v>
      </c>
      <c r="D134" s="140"/>
    </row>
    <row r="135" spans="1:4" x14ac:dyDescent="0.35">
      <c r="A135" s="139">
        <f t="shared" si="2"/>
        <v>224.6</v>
      </c>
      <c r="B135" s="140"/>
      <c r="C135" s="139">
        <v>107</v>
      </c>
      <c r="D135" s="140"/>
    </row>
    <row r="136" spans="1:4" x14ac:dyDescent="0.35">
      <c r="A136" s="139">
        <f t="shared" si="2"/>
        <v>226.4</v>
      </c>
      <c r="B136" s="140"/>
      <c r="C136" s="139">
        <v>108</v>
      </c>
      <c r="D136" s="140"/>
    </row>
    <row r="137" spans="1:4" x14ac:dyDescent="0.35">
      <c r="A137" s="139">
        <f t="shared" si="2"/>
        <v>228.20000000000002</v>
      </c>
      <c r="B137" s="140"/>
      <c r="C137" s="139">
        <v>109</v>
      </c>
      <c r="D137" s="140"/>
    </row>
    <row r="138" spans="1:4" x14ac:dyDescent="0.35">
      <c r="A138" s="139">
        <f t="shared" si="2"/>
        <v>230</v>
      </c>
      <c r="B138" s="140"/>
      <c r="C138" s="139">
        <v>110</v>
      </c>
      <c r="D138" s="140"/>
    </row>
  </sheetData>
  <sheetProtection algorithmName="SHA-512" hashValue="Pp4d2r79bXK0jB9d6HofAkpaZ3AKmfEwSrU7sR0ct+4s/LrNh0pymarJ07dPolkJUgvF8L5EqaPKKV7jvYmnPQ==" saltValue="B26FHo24jZPY81XlwS+VDw==" spinCount="100000" sheet="1" selectLockedCells="1"/>
  <mergeCells count="273">
    <mergeCell ref="A137:B137"/>
    <mergeCell ref="C137:D137"/>
    <mergeCell ref="A138:B138"/>
    <mergeCell ref="C138:D138"/>
    <mergeCell ref="A134:B134"/>
    <mergeCell ref="C134:D134"/>
    <mergeCell ref="A135:B135"/>
    <mergeCell ref="C135:D135"/>
    <mergeCell ref="A136:B136"/>
    <mergeCell ref="C136:D136"/>
    <mergeCell ref="A131:B131"/>
    <mergeCell ref="C131:D131"/>
    <mergeCell ref="A132:B132"/>
    <mergeCell ref="C132:D132"/>
    <mergeCell ref="A133:B133"/>
    <mergeCell ref="C133:D133"/>
    <mergeCell ref="A128:B128"/>
    <mergeCell ref="C128:D128"/>
    <mergeCell ref="A129:B129"/>
    <mergeCell ref="C129:D129"/>
    <mergeCell ref="A130:B130"/>
    <mergeCell ref="C130:D130"/>
    <mergeCell ref="A125:B125"/>
    <mergeCell ref="C125:D125"/>
    <mergeCell ref="A126:B126"/>
    <mergeCell ref="C126:D126"/>
    <mergeCell ref="A127:B127"/>
    <mergeCell ref="C127:D127"/>
    <mergeCell ref="A122:B122"/>
    <mergeCell ref="C122:D122"/>
    <mergeCell ref="A123:B123"/>
    <mergeCell ref="C123:D123"/>
    <mergeCell ref="A124:B124"/>
    <mergeCell ref="C124:D124"/>
    <mergeCell ref="A119:B119"/>
    <mergeCell ref="C119:D119"/>
    <mergeCell ref="A120:B120"/>
    <mergeCell ref="C120:D120"/>
    <mergeCell ref="A121:B121"/>
    <mergeCell ref="C121:D121"/>
    <mergeCell ref="A116:B116"/>
    <mergeCell ref="C116:D116"/>
    <mergeCell ref="A117:B117"/>
    <mergeCell ref="C117:D117"/>
    <mergeCell ref="A118:B118"/>
    <mergeCell ref="C118:D118"/>
    <mergeCell ref="A113:B113"/>
    <mergeCell ref="C113:D113"/>
    <mergeCell ref="A114:B114"/>
    <mergeCell ref="C114:D114"/>
    <mergeCell ref="A115:B115"/>
    <mergeCell ref="C115:D115"/>
    <mergeCell ref="A110:B110"/>
    <mergeCell ref="C110:D110"/>
    <mergeCell ref="A111:B111"/>
    <mergeCell ref="C111:D111"/>
    <mergeCell ref="A112:B112"/>
    <mergeCell ref="C112:D112"/>
    <mergeCell ref="A107:B107"/>
    <mergeCell ref="C107:D107"/>
    <mergeCell ref="A108:B108"/>
    <mergeCell ref="C108:D108"/>
    <mergeCell ref="A109:B109"/>
    <mergeCell ref="C109:D109"/>
    <mergeCell ref="A104:B104"/>
    <mergeCell ref="C104:D104"/>
    <mergeCell ref="A105:B105"/>
    <mergeCell ref="C105:D105"/>
    <mergeCell ref="A106:B106"/>
    <mergeCell ref="C106:D106"/>
    <mergeCell ref="A101:B101"/>
    <mergeCell ref="C101:D101"/>
    <mergeCell ref="A102:B102"/>
    <mergeCell ref="C102:D102"/>
    <mergeCell ref="A103:B103"/>
    <mergeCell ref="C103:D103"/>
    <mergeCell ref="A98:B98"/>
    <mergeCell ref="C98:D98"/>
    <mergeCell ref="A99:B99"/>
    <mergeCell ref="C99:D99"/>
    <mergeCell ref="A100:B100"/>
    <mergeCell ref="C100:D100"/>
    <mergeCell ref="A95:B95"/>
    <mergeCell ref="C95:D95"/>
    <mergeCell ref="A96:B96"/>
    <mergeCell ref="C96:D96"/>
    <mergeCell ref="A97:B97"/>
    <mergeCell ref="C97:D97"/>
    <mergeCell ref="A92:B92"/>
    <mergeCell ref="C92:D92"/>
    <mergeCell ref="A93:B93"/>
    <mergeCell ref="C93:D93"/>
    <mergeCell ref="A94:B94"/>
    <mergeCell ref="C94:D94"/>
    <mergeCell ref="A89:B89"/>
    <mergeCell ref="C89:D89"/>
    <mergeCell ref="A90:B90"/>
    <mergeCell ref="C90:D90"/>
    <mergeCell ref="A91:B91"/>
    <mergeCell ref="C91:D91"/>
    <mergeCell ref="A86:B86"/>
    <mergeCell ref="C86:D86"/>
    <mergeCell ref="A87:B87"/>
    <mergeCell ref="C87:D87"/>
    <mergeCell ref="A88:B88"/>
    <mergeCell ref="C88:D88"/>
    <mergeCell ref="A83:B83"/>
    <mergeCell ref="C83:D83"/>
    <mergeCell ref="A84:B84"/>
    <mergeCell ref="C84:D84"/>
    <mergeCell ref="A85:B85"/>
    <mergeCell ref="C85:D85"/>
    <mergeCell ref="A80:B80"/>
    <mergeCell ref="C80:D80"/>
    <mergeCell ref="A81:B81"/>
    <mergeCell ref="C81:D81"/>
    <mergeCell ref="A82:B82"/>
    <mergeCell ref="C82:D82"/>
    <mergeCell ref="A77:B77"/>
    <mergeCell ref="C77:D77"/>
    <mergeCell ref="A78:B78"/>
    <mergeCell ref="C78:D78"/>
    <mergeCell ref="A79:B79"/>
    <mergeCell ref="C79:D79"/>
    <mergeCell ref="A74:B74"/>
    <mergeCell ref="C74:D74"/>
    <mergeCell ref="A75:B75"/>
    <mergeCell ref="C75:D75"/>
    <mergeCell ref="A76:B76"/>
    <mergeCell ref="C76:D76"/>
    <mergeCell ref="A71:B71"/>
    <mergeCell ref="C71:D71"/>
    <mergeCell ref="A72:B72"/>
    <mergeCell ref="C72:D72"/>
    <mergeCell ref="A73:B73"/>
    <mergeCell ref="C73:D73"/>
    <mergeCell ref="A68:B68"/>
    <mergeCell ref="C68:D68"/>
    <mergeCell ref="A69:B69"/>
    <mergeCell ref="C69:D69"/>
    <mergeCell ref="A70:B70"/>
    <mergeCell ref="C70:D70"/>
    <mergeCell ref="A65:B65"/>
    <mergeCell ref="C65:D65"/>
    <mergeCell ref="A66:B66"/>
    <mergeCell ref="C66:D66"/>
    <mergeCell ref="A67:B67"/>
    <mergeCell ref="C67:D67"/>
    <mergeCell ref="A62:B62"/>
    <mergeCell ref="C62:D62"/>
    <mergeCell ref="A63:B63"/>
    <mergeCell ref="C63:D63"/>
    <mergeCell ref="A64:B64"/>
    <mergeCell ref="C64:D64"/>
    <mergeCell ref="A59:B59"/>
    <mergeCell ref="C59:D59"/>
    <mergeCell ref="A60:B60"/>
    <mergeCell ref="C60:D60"/>
    <mergeCell ref="A61:B61"/>
    <mergeCell ref="C61:D61"/>
    <mergeCell ref="A56:B56"/>
    <mergeCell ref="C56:D56"/>
    <mergeCell ref="A57:B57"/>
    <mergeCell ref="C57:D57"/>
    <mergeCell ref="A58:B58"/>
    <mergeCell ref="C58:D58"/>
    <mergeCell ref="A53:B53"/>
    <mergeCell ref="C53:D53"/>
    <mergeCell ref="A54:B54"/>
    <mergeCell ref="C54:D54"/>
    <mergeCell ref="A55:B55"/>
    <mergeCell ref="C55:D55"/>
    <mergeCell ref="A50:B50"/>
    <mergeCell ref="C50:D50"/>
    <mergeCell ref="A51:B51"/>
    <mergeCell ref="C51:D51"/>
    <mergeCell ref="A52:B52"/>
    <mergeCell ref="C52:D52"/>
    <mergeCell ref="A47:B47"/>
    <mergeCell ref="C47:D47"/>
    <mergeCell ref="A48:B48"/>
    <mergeCell ref="C48:D48"/>
    <mergeCell ref="A49:B49"/>
    <mergeCell ref="C49:D49"/>
    <mergeCell ref="A44:B44"/>
    <mergeCell ref="C44:D44"/>
    <mergeCell ref="A45:B45"/>
    <mergeCell ref="C45:D45"/>
    <mergeCell ref="A46:B46"/>
    <mergeCell ref="C46:D46"/>
    <mergeCell ref="A41:B41"/>
    <mergeCell ref="C41:D41"/>
    <mergeCell ref="A42:B42"/>
    <mergeCell ref="C42:D42"/>
    <mergeCell ref="A43:B43"/>
    <mergeCell ref="C43:D43"/>
    <mergeCell ref="A38:B38"/>
    <mergeCell ref="C38:D38"/>
    <mergeCell ref="A39:B39"/>
    <mergeCell ref="C39:D39"/>
    <mergeCell ref="A40:B40"/>
    <mergeCell ref="C40:D40"/>
    <mergeCell ref="A35:B35"/>
    <mergeCell ref="C35:D35"/>
    <mergeCell ref="A36:B36"/>
    <mergeCell ref="C36:D36"/>
    <mergeCell ref="A37:B37"/>
    <mergeCell ref="C37:D37"/>
    <mergeCell ref="A32:B32"/>
    <mergeCell ref="C32:D32"/>
    <mergeCell ref="A33:B33"/>
    <mergeCell ref="C33:D33"/>
    <mergeCell ref="A34:B34"/>
    <mergeCell ref="C34:D34"/>
    <mergeCell ref="A29:B29"/>
    <mergeCell ref="C29:D29"/>
    <mergeCell ref="A30:B30"/>
    <mergeCell ref="C30:D30"/>
    <mergeCell ref="A31:B31"/>
    <mergeCell ref="C31:D31"/>
    <mergeCell ref="A26:B26"/>
    <mergeCell ref="C26:D26"/>
    <mergeCell ref="A27:B27"/>
    <mergeCell ref="C27:D27"/>
    <mergeCell ref="A28:B28"/>
    <mergeCell ref="C28:D28"/>
    <mergeCell ref="A23:B23"/>
    <mergeCell ref="C23:D23"/>
    <mergeCell ref="A24:B24"/>
    <mergeCell ref="C24:D24"/>
    <mergeCell ref="A25:B25"/>
    <mergeCell ref="C25:D25"/>
    <mergeCell ref="A20:B20"/>
    <mergeCell ref="C20:D20"/>
    <mergeCell ref="A21:B21"/>
    <mergeCell ref="C21:D21"/>
    <mergeCell ref="A22:B22"/>
    <mergeCell ref="C22:D22"/>
    <mergeCell ref="C15:D15"/>
    <mergeCell ref="C16:D16"/>
    <mergeCell ref="C17:D17"/>
    <mergeCell ref="A1:D1"/>
    <mergeCell ref="A3:B3"/>
    <mergeCell ref="C3:D3"/>
    <mergeCell ref="A18:B18"/>
    <mergeCell ref="C18:D18"/>
    <mergeCell ref="A19:B19"/>
    <mergeCell ref="C19:D19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4:B4"/>
    <mergeCell ref="C5:D5"/>
    <mergeCell ref="C6:D6"/>
    <mergeCell ref="C4:D4"/>
    <mergeCell ref="C9:D9"/>
    <mergeCell ref="C10:D10"/>
    <mergeCell ref="C11:D11"/>
    <mergeCell ref="C12:D12"/>
    <mergeCell ref="C13:D13"/>
    <mergeCell ref="C14:D14"/>
    <mergeCell ref="C7:D7"/>
    <mergeCell ref="C8:D8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1D3B-E1BA-4C4F-B78D-9DCF8F6E57C5}">
  <sheetPr codeName="Sheet5"/>
  <dimension ref="A1:G62"/>
  <sheetViews>
    <sheetView workbookViewId="0">
      <selection activeCell="I58" sqref="I58"/>
    </sheetView>
  </sheetViews>
  <sheetFormatPr defaultRowHeight="14.5" x14ac:dyDescent="0.35"/>
  <sheetData>
    <row r="1" spans="1:7" x14ac:dyDescent="0.35">
      <c r="A1" t="s">
        <v>64</v>
      </c>
      <c r="G1" t="s">
        <v>141</v>
      </c>
    </row>
    <row r="2" spans="1:7" x14ac:dyDescent="0.35">
      <c r="A2" t="s">
        <v>63</v>
      </c>
      <c r="G2" s="12">
        <v>1</v>
      </c>
    </row>
    <row r="3" spans="1:7" x14ac:dyDescent="0.35">
      <c r="A3" t="s">
        <v>60</v>
      </c>
      <c r="G3">
        <v>0.99</v>
      </c>
    </row>
    <row r="4" spans="1:7" x14ac:dyDescent="0.35">
      <c r="A4" t="s">
        <v>61</v>
      </c>
      <c r="G4">
        <v>0.98</v>
      </c>
    </row>
    <row r="5" spans="1:7" x14ac:dyDescent="0.35">
      <c r="A5" t="s">
        <v>65</v>
      </c>
      <c r="G5" s="12">
        <v>0.97</v>
      </c>
    </row>
    <row r="6" spans="1:7" x14ac:dyDescent="0.35">
      <c r="A6" t="s">
        <v>66</v>
      </c>
      <c r="G6">
        <v>0.96</v>
      </c>
    </row>
    <row r="7" spans="1:7" x14ac:dyDescent="0.35">
      <c r="A7" t="s">
        <v>67</v>
      </c>
      <c r="G7">
        <v>0.95</v>
      </c>
    </row>
    <row r="8" spans="1:7" x14ac:dyDescent="0.35">
      <c r="G8" s="12">
        <v>0.94</v>
      </c>
    </row>
    <row r="9" spans="1:7" x14ac:dyDescent="0.35">
      <c r="A9" t="s">
        <v>23</v>
      </c>
      <c r="G9">
        <v>0.93</v>
      </c>
    </row>
    <row r="10" spans="1:7" x14ac:dyDescent="0.35">
      <c r="A10" t="s">
        <v>25</v>
      </c>
      <c r="B10" t="s">
        <v>27</v>
      </c>
      <c r="G10">
        <v>0.92</v>
      </c>
    </row>
    <row r="11" spans="1:7" x14ac:dyDescent="0.35">
      <c r="A11" t="s">
        <v>24</v>
      </c>
      <c r="B11" t="s">
        <v>28</v>
      </c>
      <c r="G11" s="12">
        <v>0.91</v>
      </c>
    </row>
    <row r="12" spans="1:7" x14ac:dyDescent="0.35">
      <c r="A12" t="s">
        <v>26</v>
      </c>
      <c r="B12" t="s">
        <v>29</v>
      </c>
      <c r="G12">
        <v>0.9</v>
      </c>
    </row>
    <row r="13" spans="1:7" x14ac:dyDescent="0.35">
      <c r="G13">
        <v>0.89</v>
      </c>
    </row>
    <row r="14" spans="1:7" x14ac:dyDescent="0.35">
      <c r="A14" t="s">
        <v>31</v>
      </c>
      <c r="G14" s="12">
        <v>0.88</v>
      </c>
    </row>
    <row r="15" spans="1:7" x14ac:dyDescent="0.35">
      <c r="A15" t="s">
        <v>32</v>
      </c>
      <c r="G15">
        <v>0.87</v>
      </c>
    </row>
    <row r="16" spans="1:7" x14ac:dyDescent="0.35">
      <c r="A16" t="s">
        <v>33</v>
      </c>
      <c r="G16">
        <v>0.86</v>
      </c>
    </row>
    <row r="17" spans="1:7" x14ac:dyDescent="0.35">
      <c r="A17" t="s">
        <v>30</v>
      </c>
      <c r="G17" s="12">
        <v>0.85</v>
      </c>
    </row>
    <row r="18" spans="1:7" x14ac:dyDescent="0.35">
      <c r="A18" t="s">
        <v>34</v>
      </c>
      <c r="G18">
        <v>0.84</v>
      </c>
    </row>
    <row r="19" spans="1:7" x14ac:dyDescent="0.35">
      <c r="A19" t="s">
        <v>35</v>
      </c>
      <c r="G19">
        <v>0.83</v>
      </c>
    </row>
    <row r="20" spans="1:7" x14ac:dyDescent="0.35">
      <c r="G20" s="12">
        <v>0.82</v>
      </c>
    </row>
    <row r="21" spans="1:7" x14ac:dyDescent="0.35">
      <c r="A21" t="s">
        <v>39</v>
      </c>
      <c r="G21">
        <v>0.81</v>
      </c>
    </row>
    <row r="22" spans="1:7" x14ac:dyDescent="0.35">
      <c r="A22" t="s">
        <v>40</v>
      </c>
      <c r="B22" t="s">
        <v>43</v>
      </c>
      <c r="G22">
        <v>0.8</v>
      </c>
    </row>
    <row r="23" spans="1:7" x14ac:dyDescent="0.35">
      <c r="A23" t="s">
        <v>41</v>
      </c>
      <c r="B23" t="s">
        <v>44</v>
      </c>
      <c r="G23" s="12">
        <v>0.79</v>
      </c>
    </row>
    <row r="24" spans="1:7" x14ac:dyDescent="0.35">
      <c r="A24" t="s">
        <v>42</v>
      </c>
      <c r="B24" t="s">
        <v>45</v>
      </c>
      <c r="G24">
        <v>0.78</v>
      </c>
    </row>
    <row r="25" spans="1:7" x14ac:dyDescent="0.35">
      <c r="G25">
        <v>0.77</v>
      </c>
    </row>
    <row r="26" spans="1:7" x14ac:dyDescent="0.35">
      <c r="A26" t="s">
        <v>56</v>
      </c>
      <c r="G26" s="12">
        <v>0.76</v>
      </c>
    </row>
    <row r="27" spans="1:7" x14ac:dyDescent="0.35">
      <c r="A27" t="s">
        <v>53</v>
      </c>
      <c r="B27" t="s">
        <v>55</v>
      </c>
      <c r="G27">
        <v>0.75</v>
      </c>
    </row>
    <row r="28" spans="1:7" x14ac:dyDescent="0.35">
      <c r="A28" t="s">
        <v>52</v>
      </c>
      <c r="B28" t="s">
        <v>54</v>
      </c>
      <c r="G28">
        <v>0.74</v>
      </c>
    </row>
    <row r="29" spans="1:7" x14ac:dyDescent="0.35">
      <c r="G29" s="12">
        <v>0.73</v>
      </c>
    </row>
    <row r="30" spans="1:7" x14ac:dyDescent="0.35">
      <c r="A30" t="s">
        <v>57</v>
      </c>
      <c r="G30">
        <v>0.72</v>
      </c>
    </row>
    <row r="31" spans="1:7" x14ac:dyDescent="0.35">
      <c r="A31" s="10" t="s">
        <v>58</v>
      </c>
      <c r="B31" s="10" t="s">
        <v>59</v>
      </c>
      <c r="G31">
        <v>0.71</v>
      </c>
    </row>
    <row r="32" spans="1:7" x14ac:dyDescent="0.35">
      <c r="A32">
        <v>5</v>
      </c>
      <c r="B32">
        <v>10</v>
      </c>
      <c r="G32" s="12">
        <v>0.7</v>
      </c>
    </row>
    <row r="33" spans="1:7" x14ac:dyDescent="0.35">
      <c r="A33">
        <v>8</v>
      </c>
      <c r="B33">
        <v>13</v>
      </c>
      <c r="G33">
        <v>0.69</v>
      </c>
    </row>
    <row r="34" spans="1:7" x14ac:dyDescent="0.35">
      <c r="A34">
        <v>15</v>
      </c>
      <c r="B34">
        <v>21</v>
      </c>
      <c r="G34">
        <v>0.68</v>
      </c>
    </row>
    <row r="35" spans="1:7" x14ac:dyDescent="0.35">
      <c r="A35">
        <v>20</v>
      </c>
      <c r="B35">
        <v>26</v>
      </c>
      <c r="G35" s="12">
        <v>0.67</v>
      </c>
    </row>
    <row r="36" spans="1:7" x14ac:dyDescent="0.35">
      <c r="A36">
        <v>25</v>
      </c>
      <c r="B36">
        <v>32</v>
      </c>
      <c r="G36">
        <v>0.66</v>
      </c>
    </row>
    <row r="37" spans="1:7" x14ac:dyDescent="0.35">
      <c r="A37">
        <v>28</v>
      </c>
      <c r="B37">
        <v>36</v>
      </c>
      <c r="G37">
        <v>0.65</v>
      </c>
    </row>
    <row r="38" spans="1:7" x14ac:dyDescent="0.35">
      <c r="A38">
        <v>30</v>
      </c>
      <c r="B38">
        <v>38</v>
      </c>
      <c r="G38" s="12">
        <v>0.64</v>
      </c>
    </row>
    <row r="39" spans="1:7" x14ac:dyDescent="0.35">
      <c r="A39">
        <v>35</v>
      </c>
      <c r="B39">
        <v>44</v>
      </c>
      <c r="G39">
        <v>0.63</v>
      </c>
    </row>
    <row r="40" spans="1:7" x14ac:dyDescent="0.35">
      <c r="A40">
        <v>46</v>
      </c>
      <c r="B40">
        <v>57</v>
      </c>
      <c r="G40">
        <v>0.62</v>
      </c>
    </row>
    <row r="41" spans="1:7" x14ac:dyDescent="0.35">
      <c r="A41">
        <v>69</v>
      </c>
      <c r="B41">
        <v>84</v>
      </c>
      <c r="G41" s="12">
        <v>0.61</v>
      </c>
    </row>
    <row r="42" spans="1:7" x14ac:dyDescent="0.35">
      <c r="G42">
        <v>0.6</v>
      </c>
    </row>
    <row r="43" spans="1:7" x14ac:dyDescent="0.35">
      <c r="G43">
        <v>0.59</v>
      </c>
    </row>
    <row r="44" spans="1:7" x14ac:dyDescent="0.35">
      <c r="G44" s="12">
        <v>0.57999999999999996</v>
      </c>
    </row>
    <row r="45" spans="1:7" x14ac:dyDescent="0.35">
      <c r="A45" t="s">
        <v>46</v>
      </c>
      <c r="G45">
        <v>0.56999999999999995</v>
      </c>
    </row>
    <row r="46" spans="1:7" x14ac:dyDescent="0.35">
      <c r="A46" t="s">
        <v>21</v>
      </c>
      <c r="G46">
        <v>0.56000000000000005</v>
      </c>
    </row>
    <row r="47" spans="1:7" x14ac:dyDescent="0.35">
      <c r="A47" t="s">
        <v>20</v>
      </c>
      <c r="G47" s="12">
        <v>0.55000000000000004</v>
      </c>
    </row>
    <row r="48" spans="1:7" x14ac:dyDescent="0.35">
      <c r="A48" t="s">
        <v>38</v>
      </c>
      <c r="G48">
        <v>0.54</v>
      </c>
    </row>
    <row r="49" spans="1:7" x14ac:dyDescent="0.35">
      <c r="G49">
        <v>0.53</v>
      </c>
    </row>
    <row r="50" spans="1:7" x14ac:dyDescent="0.35">
      <c r="A50" t="s">
        <v>139</v>
      </c>
      <c r="G50" s="12">
        <v>0.52</v>
      </c>
    </row>
    <row r="51" spans="1:7" x14ac:dyDescent="0.35">
      <c r="A51" t="s">
        <v>136</v>
      </c>
      <c r="G51">
        <v>0.51</v>
      </c>
    </row>
    <row r="52" spans="1:7" x14ac:dyDescent="0.35">
      <c r="A52" t="s">
        <v>140</v>
      </c>
      <c r="G52">
        <v>0.5</v>
      </c>
    </row>
    <row r="53" spans="1:7" x14ac:dyDescent="0.35">
      <c r="A53" t="s">
        <v>137</v>
      </c>
      <c r="G53" s="12">
        <v>0.49</v>
      </c>
    </row>
    <row r="54" spans="1:7" x14ac:dyDescent="0.35">
      <c r="A54" t="s">
        <v>138</v>
      </c>
      <c r="G54">
        <v>0.48</v>
      </c>
    </row>
    <row r="55" spans="1:7" x14ac:dyDescent="0.35">
      <c r="G55">
        <v>0.47</v>
      </c>
    </row>
    <row r="56" spans="1:7" x14ac:dyDescent="0.35">
      <c r="G56" s="12">
        <v>0.46</v>
      </c>
    </row>
    <row r="57" spans="1:7" x14ac:dyDescent="0.35">
      <c r="G57">
        <v>0.45</v>
      </c>
    </row>
    <row r="58" spans="1:7" x14ac:dyDescent="0.35">
      <c r="G58">
        <v>0.44</v>
      </c>
    </row>
    <row r="59" spans="1:7" x14ac:dyDescent="0.35">
      <c r="G59" s="12">
        <v>0.42999999999999899</v>
      </c>
    </row>
    <row r="60" spans="1:7" x14ac:dyDescent="0.35">
      <c r="G60">
        <v>0.41999999999999899</v>
      </c>
    </row>
    <row r="61" spans="1:7" x14ac:dyDescent="0.35">
      <c r="G61">
        <v>0.40999999999999898</v>
      </c>
    </row>
    <row r="62" spans="1:7" x14ac:dyDescent="0.35">
      <c r="G62" s="12">
        <v>0.39999999999999902</v>
      </c>
    </row>
  </sheetData>
  <sheetProtection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Test Sheet</vt:lpstr>
      <vt:lpstr>NETA ATS 7.3.3</vt:lpstr>
      <vt:lpstr>TCF</vt:lpstr>
      <vt:lpstr>Temp Conv</vt:lpstr>
      <vt:lpstr>Dropdowns</vt:lpstr>
      <vt:lpstr>'Test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Rodgers</dc:creator>
  <cp:lastModifiedBy>Ryan Marthaler</cp:lastModifiedBy>
  <cp:lastPrinted>2026-07-12T03:31:15Z</cp:lastPrinted>
  <dcterms:created xsi:type="dcterms:W3CDTF">2009-06-02T15:38:13Z</dcterms:created>
  <dcterms:modified xsi:type="dcterms:W3CDTF">2026-08-18T19:18:43Z</dcterms:modified>
</cp:coreProperties>
</file>